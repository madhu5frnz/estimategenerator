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Mulkala kaluva\SLRB\"/>
    </mc:Choice>
  </mc:AlternateContent>
  <xr:revisionPtr revIDLastSave="0" documentId="13_ncr:1_{12ABEA16-1D53-4C40-B6D0-517C611EAE52}" xr6:coauthVersionLast="47" xr6:coauthVersionMax="47" xr10:uidLastSave="{00000000-0000-0000-0000-000000000000}"/>
  <bookViews>
    <workbookView xWindow="-120" yWindow="-120" windowWidth="29040" windowHeight="15840" tabRatio="500" firstSheet="2" activeTab="6" xr2:uid="{00000000-000D-0000-FFFF-FFFF00000000}"/>
  </bookViews>
  <sheets>
    <sheet name="Cover Page." sheetId="12" r:id="rId1"/>
    <sheet name="Check slip - TS" sheetId="2" r:id="rId2"/>
    <sheet name="Gen Abst" sheetId="3" r:id="rId3"/>
    <sheet name="Abstract" sheetId="4" r:id="rId4"/>
    <sheet name="detailed " sheetId="5" r:id="rId5"/>
    <sheet name="DATA-26-27" sheetId="6" r:id="rId6"/>
    <sheet name="seignorage" sheetId="7" r:id="rId7"/>
    <sheet name="lead chart" sheetId="8" r:id="rId8"/>
    <sheet name="steel" sheetId="9" r:id="rId9"/>
    <sheet name="Quarry Map" sheetId="13" r:id="rId10"/>
    <sheet name="theoritical requirement" sheetId="11"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___________imp1">#REF!</definedName>
    <definedName name="______________imp2">#REF!</definedName>
    <definedName name="______________imp3">#REF!</definedName>
    <definedName name="______________imp4">#REF!</definedName>
    <definedName name="______________imp5">#REF!</definedName>
    <definedName name="______________imp6">#REF!</definedName>
    <definedName name="_____________imp1">#REF!</definedName>
    <definedName name="_____________imp2">#REF!</definedName>
    <definedName name="_____________imp3">#REF!</definedName>
    <definedName name="_____________imp4">#REF!</definedName>
    <definedName name="_____________imp5">#REF!</definedName>
    <definedName name="_____________imp6">#REF!</definedName>
    <definedName name="____________imp1">#REF!</definedName>
    <definedName name="____________imp2">#REF!</definedName>
    <definedName name="____________imp3">#REF!</definedName>
    <definedName name="____________imp4">#REF!</definedName>
    <definedName name="____________imp5">#REF!</definedName>
    <definedName name="____________imp6">#REF!</definedName>
    <definedName name="___________imp1">#REF!</definedName>
    <definedName name="___________imp2">#REF!</definedName>
    <definedName name="___________imp3">#REF!</definedName>
    <definedName name="___________imp4">#REF!</definedName>
    <definedName name="___________imp5">#REF!</definedName>
    <definedName name="___________imp6">#REF!</definedName>
    <definedName name="__________imp1">#REF!</definedName>
    <definedName name="__________imp2">#REF!</definedName>
    <definedName name="__________imp3">#REF!</definedName>
    <definedName name="__________imp4">#REF!</definedName>
    <definedName name="__________imp5">#REF!</definedName>
    <definedName name="__________imp6">#REF!</definedName>
    <definedName name="_________imp1">#REF!</definedName>
    <definedName name="_________imp2">#REF!</definedName>
    <definedName name="_________imp3">#REF!</definedName>
    <definedName name="_________imp4">#REF!</definedName>
    <definedName name="_________imp5">#REF!</definedName>
    <definedName name="_________imp6">#REF!</definedName>
    <definedName name="________imp1">#REF!</definedName>
    <definedName name="________imp2">#REF!</definedName>
    <definedName name="________imp3">#REF!</definedName>
    <definedName name="________imp4">#REF!</definedName>
    <definedName name="________imp5">#REF!</definedName>
    <definedName name="________imp6">#REF!</definedName>
    <definedName name="_______imp1">#REF!</definedName>
    <definedName name="_______imp2">#REF!</definedName>
    <definedName name="_______imp3">#REF!</definedName>
    <definedName name="_______imp4">#REF!</definedName>
    <definedName name="_______imp5">#REF!</definedName>
    <definedName name="_______imp6">#REF!</definedName>
    <definedName name="______imp1">#REF!</definedName>
    <definedName name="______imp2">#REF!</definedName>
    <definedName name="______imp3">#REF!</definedName>
    <definedName name="______imp4">#REF!</definedName>
    <definedName name="______imp5">#REF!</definedName>
    <definedName name="______imp6">#REF!</definedName>
    <definedName name="_____imp1">#REF!</definedName>
    <definedName name="_____imp2">#REF!</definedName>
    <definedName name="_____imp3">#REF!</definedName>
    <definedName name="_____imp4">#REF!</definedName>
    <definedName name="_____imp5">#REF!</definedName>
    <definedName name="_____imp6">#REF!</definedName>
    <definedName name="_____IRC12">[1]MRATES!$M$9</definedName>
    <definedName name="_____IRC19">[1]MRATES!$M$10</definedName>
    <definedName name="_____IRC25">[1]MRATES!$M$11</definedName>
    <definedName name="_____IRC40">[1]MRATES!$M$12</definedName>
    <definedName name="_____IRC5">[1]MRATES!$M$7</definedName>
    <definedName name="_____IRC9">[1]MRATES!$M$8</definedName>
    <definedName name="_____MS6">[1]MRATES!$P$50</definedName>
    <definedName name="_____OH1">[1]MRATES!$C$35</definedName>
    <definedName name="_____QS25">[1]MRATES!$G$16</definedName>
    <definedName name="_____QS40">[1]MRATES!$G$17</definedName>
    <definedName name="_____SS10">[1]MRATES!$J$7</definedName>
    <definedName name="_____SS12">[1]MRATES!$J$8</definedName>
    <definedName name="_____SS150">[1]MRATES!$G$13</definedName>
    <definedName name="_____SS20">[1]MRATES!$J$9</definedName>
    <definedName name="_____SS300">[1]MRATES!$G$15</definedName>
    <definedName name="_____SS40">[1]MRATES!$J$11</definedName>
    <definedName name="____imp1">#REF!</definedName>
    <definedName name="____imp2">#REF!</definedName>
    <definedName name="____imp3">#REF!</definedName>
    <definedName name="____imp4">#REF!</definedName>
    <definedName name="____imp5">#REF!</definedName>
    <definedName name="____imp6">#REF!</definedName>
    <definedName name="____IRC12">[2]MRATES!$M$9</definedName>
    <definedName name="____IRC19">[2]MRATES!$M$10</definedName>
    <definedName name="____IRC25">[2]MRATES!$M$11</definedName>
    <definedName name="____IRC40">[2]MRATES!$M$12</definedName>
    <definedName name="____IRC5">[2]MRATES!$M$7</definedName>
    <definedName name="____IRC9">[2]MRATES!$M$8</definedName>
    <definedName name="____MS6">[2]MRATES!$P$50</definedName>
    <definedName name="____OH1">[2]MRATES!$C$35</definedName>
    <definedName name="____QS25">[2]MRATES!$G$16</definedName>
    <definedName name="____QS40">[2]MRATES!$G$17</definedName>
    <definedName name="____SS10">[2]MRATES!$J$7</definedName>
    <definedName name="____SS12">[2]MRATES!$J$8</definedName>
    <definedName name="____SS150">[2]MRATES!$G$13</definedName>
    <definedName name="____SS20">[2]MRATES!$J$9</definedName>
    <definedName name="____SS300">[2]MRATES!$G$15</definedName>
    <definedName name="____SS40">[2]MRATES!$J$11</definedName>
    <definedName name="___imp1">#REF!</definedName>
    <definedName name="___imp2">#REF!</definedName>
    <definedName name="___imp3">#REF!</definedName>
    <definedName name="___imp4">#REF!</definedName>
    <definedName name="___imp5">#REF!</definedName>
    <definedName name="___imp6">#REF!</definedName>
    <definedName name="___IRC12">[2]MRATES!$M$9</definedName>
    <definedName name="___IRC19">[2]MRATES!$M$10</definedName>
    <definedName name="___IRC25">[2]MRATES!$M$11</definedName>
    <definedName name="___IRC40">[2]MRATES!$M$12</definedName>
    <definedName name="___IRC5">[2]MRATES!$M$7</definedName>
    <definedName name="___IRC50">[1]MRATES!$M$13</definedName>
    <definedName name="___IRC60">[1]MRATES!$M$14</definedName>
    <definedName name="___IRC9">[2]MRATES!$M$8</definedName>
    <definedName name="___MS6">[2]MRATES!$P$50</definedName>
    <definedName name="___OH1">[2]MRATES!$C$35</definedName>
    <definedName name="___QS25">[2]MRATES!$G$16</definedName>
    <definedName name="___QS40">[2]MRATES!$G$17</definedName>
    <definedName name="___SS10">[2]MRATES!$J$7</definedName>
    <definedName name="___SS12">[2]MRATES!$J$8</definedName>
    <definedName name="___SS150">[2]MRATES!$G$13</definedName>
    <definedName name="___SS20">[2]MRATES!$J$9</definedName>
    <definedName name="___SS225">[1]MRATES!$G$14</definedName>
    <definedName name="___SS25">[1]MRATES!$J$10</definedName>
    <definedName name="___SS300">[2]MRATES!$G$15</definedName>
    <definedName name="___SS40">[2]MRATES!$J$11</definedName>
    <definedName name="___SS6">[1]MRATES!$J$6</definedName>
    <definedName name="__F1">#REF!</definedName>
    <definedName name="__imp1">#REF!</definedName>
    <definedName name="__imp2">#REF!</definedName>
    <definedName name="__imp3">#REF!</definedName>
    <definedName name="__imp4">#REF!</definedName>
    <definedName name="__imp5">#REF!</definedName>
    <definedName name="__imp6">#REF!</definedName>
    <definedName name="__IRC12">[3]MRATES!$F$9</definedName>
    <definedName name="__IRC19">[3]MRATES!$F$10</definedName>
    <definedName name="__IRC25">[3]MRATES!$F$11</definedName>
    <definedName name="__IRC40">[3]MRATES!$F$12</definedName>
    <definedName name="__IRC5">[3]MRATES!$F$7</definedName>
    <definedName name="__IRC50">[3]MRATES!$F$13</definedName>
    <definedName name="__IRC60">[3]MRATES!$F$14</definedName>
    <definedName name="__IRC9">[3]MRATES!$F$8</definedName>
    <definedName name="__MFL1">#REF!</definedName>
    <definedName name="__MS6">[3]MRATES!$T$17</definedName>
    <definedName name="__OH1">[3]MRATES!$T$26</definedName>
    <definedName name="__QS25">[3]MRATES!$I$15</definedName>
    <definedName name="__QS40">[3]MRATES!$I$16</definedName>
    <definedName name="__SS10">[3]MRATES!$C$7</definedName>
    <definedName name="__SS12">[3]MRATES!$C$8</definedName>
    <definedName name="__SS150">[3]MRATES!$I$12</definedName>
    <definedName name="__SS20">[3]MRATES!$C$9</definedName>
    <definedName name="__SS225">[3]MRATES!$I$13</definedName>
    <definedName name="__SS25">[3]MRATES!$C$10</definedName>
    <definedName name="__SS300">[3]MRATES!$I$14</definedName>
    <definedName name="__SS40">[3]MRATES!$C$11</definedName>
    <definedName name="__SS6">[3]MRATES!$C$6</definedName>
    <definedName name="_CHI1">#REF!</definedName>
    <definedName name="_CHI2">#REF!</definedName>
    <definedName name="_F1">#REF!</definedName>
    <definedName name="_imp1">#REF!</definedName>
    <definedName name="_imp2">#REF!</definedName>
    <definedName name="_imp3">#REF!</definedName>
    <definedName name="_imp4">#REF!</definedName>
    <definedName name="_imp5">#REF!</definedName>
    <definedName name="_imp6">#REF!</definedName>
    <definedName name="_IRC12">[4]MRATES!$M$9</definedName>
    <definedName name="_IRC19">[4]MRATES!$M$10</definedName>
    <definedName name="_IRC25">[4]MRATES!$M$11</definedName>
    <definedName name="_IRC40">[4]MRATES!$M$12</definedName>
    <definedName name="_IRC5">[4]MRATES!$M$7</definedName>
    <definedName name="_IRC50">[4]MRATES!$M$13</definedName>
    <definedName name="_IRC60">[4]MRATES!$M$14</definedName>
    <definedName name="_IRC9">[4]MRATES!$M$8</definedName>
    <definedName name="_L_BX">#REF!</definedName>
    <definedName name="_L_CX">#REF!</definedName>
    <definedName name="_l1">#REF!</definedName>
    <definedName name="_L2">#REF!</definedName>
    <definedName name="_L3">#REF!</definedName>
    <definedName name="_L4">#REF!</definedName>
    <definedName name="_MFL1">#REF!</definedName>
    <definedName name="_MS6">[4]MRATES!$P$50</definedName>
    <definedName name="_MT1">#REF!</definedName>
    <definedName name="_MT10">#REF!</definedName>
    <definedName name="_MT100">#REF!</definedName>
    <definedName name="_MT101">#REF!</definedName>
    <definedName name="_MT102">#REF!</definedName>
    <definedName name="_MT103">#REF!</definedName>
    <definedName name="_MT104">#REF!</definedName>
    <definedName name="_MT105">#REF!</definedName>
    <definedName name="_MT106">#REF!</definedName>
    <definedName name="_MT107">#REF!</definedName>
    <definedName name="_MT108">#REF!</definedName>
    <definedName name="_MT109">#REF!</definedName>
    <definedName name="_MT11">#REF!</definedName>
    <definedName name="_MT110">#REF!</definedName>
    <definedName name="_MT111">#REF!</definedName>
    <definedName name="_MT112">#REF!</definedName>
    <definedName name="_MT113">#REF!</definedName>
    <definedName name="_MT114">#REF!</definedName>
    <definedName name="_MT115">#REF!</definedName>
    <definedName name="_MT116">#REF!</definedName>
    <definedName name="_MT117">#REF!</definedName>
    <definedName name="_MT118">#REF!</definedName>
    <definedName name="_MT119">#REF!</definedName>
    <definedName name="_MT12">#REF!</definedName>
    <definedName name="_MT120">#REF!</definedName>
    <definedName name="_MT121">#REF!</definedName>
    <definedName name="_MT122">#REF!</definedName>
    <definedName name="_MT123">#REF!</definedName>
    <definedName name="_MT124">#REF!</definedName>
    <definedName name="_MT125">#REF!</definedName>
    <definedName name="_MT126">#REF!</definedName>
    <definedName name="_MT127">#REF!</definedName>
    <definedName name="_MT128">#REF!</definedName>
    <definedName name="_MT129">#REF!</definedName>
    <definedName name="_MT13">#REF!</definedName>
    <definedName name="_MT130">#REF!</definedName>
    <definedName name="_MT131">#REF!</definedName>
    <definedName name="_MT132">#REF!</definedName>
    <definedName name="_MT133">#REF!</definedName>
    <definedName name="_MT134">#REF!</definedName>
    <definedName name="_MT135">#REF!</definedName>
    <definedName name="_MT136">#REF!</definedName>
    <definedName name="_MT137">#REF!</definedName>
    <definedName name="_MT138">#REF!</definedName>
    <definedName name="_MT139">#REF!</definedName>
    <definedName name="_MT14">#REF!</definedName>
    <definedName name="_MT140">#REF!</definedName>
    <definedName name="_MT141">#REF!</definedName>
    <definedName name="_MT142">#REF!</definedName>
    <definedName name="_MT143">#REF!</definedName>
    <definedName name="_MT144">#REF!</definedName>
    <definedName name="_MT145">#REF!</definedName>
    <definedName name="_MT146">#REF!</definedName>
    <definedName name="_MT147">#REF!</definedName>
    <definedName name="_MT148">#REF!</definedName>
    <definedName name="_MT149">#REF!</definedName>
    <definedName name="_MT15">#REF!</definedName>
    <definedName name="_MT150">#REF!</definedName>
    <definedName name="_MT16">#REF!</definedName>
    <definedName name="_MT17">#REF!</definedName>
    <definedName name="_MT18">#REF!</definedName>
    <definedName name="_MT19">#REF!</definedName>
    <definedName name="_MT2">#REF!</definedName>
    <definedName name="_MT20">#REF!</definedName>
    <definedName name="_MT21">#REF!</definedName>
    <definedName name="_MT22">#REF!</definedName>
    <definedName name="_MT23">#REF!</definedName>
    <definedName name="_MT24">#REF!</definedName>
    <definedName name="_MT25">#REF!</definedName>
    <definedName name="_MT26">#REF!</definedName>
    <definedName name="_MT27">#REF!</definedName>
    <definedName name="_MT28">#REF!</definedName>
    <definedName name="_MT29">#REF!</definedName>
    <definedName name="_MT3">#REF!</definedName>
    <definedName name="_MT30">#REF!</definedName>
    <definedName name="_MT31">#REF!</definedName>
    <definedName name="_MT32">#REF!</definedName>
    <definedName name="_MT33">#REF!</definedName>
    <definedName name="_MT34">#REF!</definedName>
    <definedName name="_MT35">#REF!</definedName>
    <definedName name="_MT36">#REF!</definedName>
    <definedName name="_MT37">#REF!</definedName>
    <definedName name="_MT38">#REF!</definedName>
    <definedName name="_MT39">#REF!</definedName>
    <definedName name="_MT4">#REF!</definedName>
    <definedName name="_MT40">#REF!</definedName>
    <definedName name="_MT41">#REF!</definedName>
    <definedName name="_MT42">#REF!</definedName>
    <definedName name="_MT43">#REF!</definedName>
    <definedName name="_MT44">#REF!</definedName>
    <definedName name="_MT45">#REF!</definedName>
    <definedName name="_MT46">#REF!</definedName>
    <definedName name="_MT47">#REF!</definedName>
    <definedName name="_MT48">#REF!</definedName>
    <definedName name="_MT49">#REF!</definedName>
    <definedName name="_MT5">#REF!</definedName>
    <definedName name="_MT50">#REF!</definedName>
    <definedName name="_MT500">#REF!</definedName>
    <definedName name="_MT51">#REF!</definedName>
    <definedName name="_MT52">#REF!</definedName>
    <definedName name="_MT53">#REF!</definedName>
    <definedName name="_MT54">#REF!</definedName>
    <definedName name="_MT55">#REF!</definedName>
    <definedName name="_MT56">#REF!</definedName>
    <definedName name="_MT57">#REF!</definedName>
    <definedName name="_MT58">#REF!</definedName>
    <definedName name="_MT59">#REF!</definedName>
    <definedName name="_MT6">#REF!</definedName>
    <definedName name="_MT60">#REF!</definedName>
    <definedName name="_MT61">#REF!</definedName>
    <definedName name="_MT62">#REF!</definedName>
    <definedName name="_MT63">#REF!</definedName>
    <definedName name="_MT64">#REF!</definedName>
    <definedName name="_MT65">#REF!</definedName>
    <definedName name="_MT66">#REF!</definedName>
    <definedName name="_MT67">#REF!</definedName>
    <definedName name="_MT68">#REF!</definedName>
    <definedName name="_MT69">#REF!</definedName>
    <definedName name="_MT7">#REF!</definedName>
    <definedName name="_MT70">#REF!</definedName>
    <definedName name="_MT71">#REF!</definedName>
    <definedName name="_MT72">#REF!</definedName>
    <definedName name="_MT73">#REF!</definedName>
    <definedName name="_MT74">#REF!</definedName>
    <definedName name="_MT75">#REF!</definedName>
    <definedName name="_MT76">#REF!</definedName>
    <definedName name="_MT77">#REF!</definedName>
    <definedName name="_MT78">#REF!</definedName>
    <definedName name="_MT79">#REF!</definedName>
    <definedName name="_MT8">#REF!</definedName>
    <definedName name="_MT80">#REF!</definedName>
    <definedName name="_MT81">#REF!</definedName>
    <definedName name="_MT82">#REF!</definedName>
    <definedName name="_MT83">#REF!</definedName>
    <definedName name="_MT84">#REF!</definedName>
    <definedName name="_MT85">#REF!</definedName>
    <definedName name="_MT86">#REF!</definedName>
    <definedName name="_MT87">#REF!</definedName>
    <definedName name="_MT88">#REF!</definedName>
    <definedName name="_MT89">#REF!</definedName>
    <definedName name="_MT9">#REF!</definedName>
    <definedName name="_MT90">#REF!</definedName>
    <definedName name="_MT91">#REF!</definedName>
    <definedName name="_MT92">#REF!</definedName>
    <definedName name="_MT93">#REF!</definedName>
    <definedName name="_MT94">#REF!</definedName>
    <definedName name="_MT95">#REF!</definedName>
    <definedName name="_MT96">#REF!</definedName>
    <definedName name="_MT97">#REF!</definedName>
    <definedName name="_MT98">#REF!</definedName>
    <definedName name="_MT99">#REF!</definedName>
    <definedName name="_OH1">[4]MRATES!$C$35</definedName>
    <definedName name="_PPA14">#REF!</definedName>
    <definedName name="_PPB154">#REF!</definedName>
    <definedName name="_PPB155">#REF!</definedName>
    <definedName name="_PPB16">#REF!</definedName>
    <definedName name="_PPB17">#REF!</definedName>
    <definedName name="_PPB18">#REF!</definedName>
    <definedName name="_PPB19">#REF!</definedName>
    <definedName name="_PPB2">#REF!</definedName>
    <definedName name="_PPB20">#REF!</definedName>
    <definedName name="_PPB21">#REF!</definedName>
    <definedName name="_PPB22">#REF!</definedName>
    <definedName name="_PPB23">#REF!</definedName>
    <definedName name="_PPB24">#REF!</definedName>
    <definedName name="_PPB25">#REF!</definedName>
    <definedName name="_PPB26">#REF!</definedName>
    <definedName name="_PPB27">#REF!</definedName>
    <definedName name="_PPB28">#REF!</definedName>
    <definedName name="_PPB29">#REF!</definedName>
    <definedName name="_PPB3">#REF!</definedName>
    <definedName name="_PPB30">#REF!</definedName>
    <definedName name="_PPB31">#REF!</definedName>
    <definedName name="_PPB32">#REF!</definedName>
    <definedName name="_PPB33">#REF!</definedName>
    <definedName name="_PPB34">#REF!</definedName>
    <definedName name="_PPB35">#REF!</definedName>
    <definedName name="_PPB36">#REF!</definedName>
    <definedName name="_PPB37">#REF!</definedName>
    <definedName name="_PPB38">#REF!</definedName>
    <definedName name="_PPB39">#REF!</definedName>
    <definedName name="_PPB4">#REF!</definedName>
    <definedName name="_PPB40">#REF!</definedName>
    <definedName name="_PPB41">#REF!</definedName>
    <definedName name="_PPB42">#REF!</definedName>
    <definedName name="_PPB43">#REF!</definedName>
    <definedName name="_PPB44">#REF!</definedName>
    <definedName name="_PPB45">#REF!</definedName>
    <definedName name="_PPB46">#REF!</definedName>
    <definedName name="_PPB47">#REF!</definedName>
    <definedName name="_PPB48">#REF!</definedName>
    <definedName name="_PPB49">#REF!</definedName>
    <definedName name="_PPB5">#REF!</definedName>
    <definedName name="_PPB50">#REF!</definedName>
    <definedName name="_PPB51">#REF!</definedName>
    <definedName name="_PPB52">#REF!</definedName>
    <definedName name="_PPB53">#REF!</definedName>
    <definedName name="_PPB54">#REF!</definedName>
    <definedName name="_PPB55">#REF!</definedName>
    <definedName name="_PPB56">#REF!</definedName>
    <definedName name="_PPB57">#REF!</definedName>
    <definedName name="_PPB58">#REF!</definedName>
    <definedName name="_PPB59">#REF!</definedName>
    <definedName name="_PPB6">#REF!</definedName>
    <definedName name="_PPB60">#REF!</definedName>
    <definedName name="_PPB61">#REF!</definedName>
    <definedName name="_PPB62">#REF!</definedName>
    <definedName name="_PPB63">#REF!</definedName>
    <definedName name="_PPB64">#REF!</definedName>
    <definedName name="_PPB65">#REF!</definedName>
    <definedName name="_PPB66">#REF!</definedName>
    <definedName name="_PPB67">#REF!</definedName>
    <definedName name="_PPB68">#REF!</definedName>
    <definedName name="_PPB69">#REF!</definedName>
    <definedName name="_PPB7">#REF!</definedName>
    <definedName name="_PPB70">#REF!</definedName>
    <definedName name="_PPB71">#REF!</definedName>
    <definedName name="_PPB72">#REF!</definedName>
    <definedName name="_PPB73">#REF!</definedName>
    <definedName name="_PPB74">#REF!</definedName>
    <definedName name="_PPB75">#REF!</definedName>
    <definedName name="_PPB76">#REF!</definedName>
    <definedName name="_PPB77">#REF!</definedName>
    <definedName name="_PPB78">#REF!</definedName>
    <definedName name="_PPB79">#REF!</definedName>
    <definedName name="_PPB8">#REF!</definedName>
    <definedName name="_PPB80">#REF!</definedName>
    <definedName name="_PPB81">#REF!</definedName>
    <definedName name="_PPB82">#REF!</definedName>
    <definedName name="_PPB83">#REF!</definedName>
    <definedName name="_PPB84">#REF!</definedName>
    <definedName name="_PPB85">#REF!</definedName>
    <definedName name="_PPB86">#REF!</definedName>
    <definedName name="_PPB87">#REF!</definedName>
    <definedName name="_PPB88">#REF!</definedName>
    <definedName name="_PPB89">#REF!</definedName>
    <definedName name="_PPB9">#REF!</definedName>
    <definedName name="_PPB90">#REF!</definedName>
    <definedName name="_PPB91">#REF!</definedName>
    <definedName name="_PPB92">#REF!</definedName>
    <definedName name="_PPB93">#REF!</definedName>
    <definedName name="_PPB94">#REF!</definedName>
    <definedName name="_PPB95">#REF!</definedName>
    <definedName name="_PPB96">#REF!</definedName>
    <definedName name="_PPB97">#REF!</definedName>
    <definedName name="_PPB98">#REF!</definedName>
    <definedName name="_PPB99">#REF!</definedName>
    <definedName name="_PPC1">#REF!</definedName>
    <definedName name="_PPC10">#REF!</definedName>
    <definedName name="_PPC100">#REF!</definedName>
    <definedName name="_PPC101">#REF!</definedName>
    <definedName name="_PPC102">#REF!</definedName>
    <definedName name="_PPC103">#REF!</definedName>
    <definedName name="_PPC104">#REF!</definedName>
    <definedName name="_PPC105">#REF!</definedName>
    <definedName name="_PPC106">#REF!</definedName>
    <definedName name="_PPC107">#REF!</definedName>
    <definedName name="_PPC108">#REF!</definedName>
    <definedName name="_PPC109">#REF!</definedName>
    <definedName name="_PPC11">#REF!</definedName>
    <definedName name="_PPC110">#REF!</definedName>
    <definedName name="_PPC111">#REF!</definedName>
    <definedName name="_PPC112">#REF!</definedName>
    <definedName name="_PPC113">#REF!</definedName>
    <definedName name="_PPC114">#REF!</definedName>
    <definedName name="_PPC115">#REF!</definedName>
    <definedName name="_PPC116">#REF!</definedName>
    <definedName name="_PPC117">#REF!</definedName>
    <definedName name="_PPC118">#REF!</definedName>
    <definedName name="_PPC119">#REF!</definedName>
    <definedName name="_PPC12">#REF!</definedName>
    <definedName name="_PPC120">#REF!</definedName>
    <definedName name="_PPC121">#REF!</definedName>
    <definedName name="_PPC122">#REF!</definedName>
    <definedName name="_PPC123">#REF!</definedName>
    <definedName name="_PPC124">#REF!</definedName>
    <definedName name="_PPC125">#REF!</definedName>
    <definedName name="_PPC126">#REF!</definedName>
    <definedName name="_PPC127">#REF!</definedName>
    <definedName name="_PPC128">#REF!</definedName>
    <definedName name="_PPC129">#REF!</definedName>
    <definedName name="_PPC13">#REF!</definedName>
    <definedName name="_PPC130">#REF!</definedName>
    <definedName name="_PPC131">#REF!</definedName>
    <definedName name="_PPC132">#REF!</definedName>
    <definedName name="_PPC133">#REF!</definedName>
    <definedName name="_PPC134">#REF!</definedName>
    <definedName name="_PPC135">#REF!</definedName>
    <definedName name="_PPC136">#REF!</definedName>
    <definedName name="_PPC137">#REF!</definedName>
    <definedName name="_PPC138">#REF!</definedName>
    <definedName name="_PPC139">#REF!</definedName>
    <definedName name="_PPC14">#REF!</definedName>
    <definedName name="_PPC140">#REF!</definedName>
    <definedName name="_PPC141">#REF!</definedName>
    <definedName name="_PPC142">#REF!</definedName>
    <definedName name="_PPC143">#REF!</definedName>
    <definedName name="_PPC144">#REF!</definedName>
    <definedName name="_PPC145">#REF!</definedName>
    <definedName name="_PPC146">#REF!</definedName>
    <definedName name="_PPC147">#REF!</definedName>
    <definedName name="_PPC148">#REF!</definedName>
    <definedName name="_PPC149">#REF!</definedName>
    <definedName name="_PPC15">#REF!</definedName>
    <definedName name="_PPC150">#REF!</definedName>
    <definedName name="_PPC151">#REF!</definedName>
    <definedName name="_PPC152">#REF!</definedName>
    <definedName name="_PPC153">#REF!</definedName>
    <definedName name="_PPC154">#REF!</definedName>
    <definedName name="_PPC155">#REF!</definedName>
    <definedName name="_PPC16">#REF!</definedName>
    <definedName name="_PPC17">#REF!</definedName>
    <definedName name="_PPC18">#REF!</definedName>
    <definedName name="_PPC19">#REF!</definedName>
    <definedName name="_PPC2">#REF!</definedName>
    <definedName name="_PPC20">#REF!</definedName>
    <definedName name="_PPC21">#REF!</definedName>
    <definedName name="_PPC22">#REF!</definedName>
    <definedName name="_PPC23">#REF!</definedName>
    <definedName name="_PPC24">#REF!</definedName>
    <definedName name="_PPC25">#REF!</definedName>
    <definedName name="_PPC26">#REF!</definedName>
    <definedName name="_PPC27">#REF!</definedName>
    <definedName name="_PPC28">#REF!</definedName>
    <definedName name="_PPC29">#REF!</definedName>
    <definedName name="_PPC3">#REF!</definedName>
    <definedName name="_PPC30">#REF!</definedName>
    <definedName name="_PPC31">#REF!</definedName>
    <definedName name="_PPC32">#REF!</definedName>
    <definedName name="_PPC33">#REF!</definedName>
    <definedName name="_PPC34">#REF!</definedName>
    <definedName name="_PPC35">#REF!</definedName>
    <definedName name="_PPC36">#REF!</definedName>
    <definedName name="_PPC37">#REF!</definedName>
    <definedName name="_PPC38">#REF!</definedName>
    <definedName name="_PPC39">#REF!</definedName>
    <definedName name="_PPC4">#REF!</definedName>
    <definedName name="_PPC40">#REF!</definedName>
    <definedName name="_PPC41">#REF!</definedName>
    <definedName name="_PPC42">#REF!</definedName>
    <definedName name="_PPC43">#REF!</definedName>
    <definedName name="_PPC44">#REF!</definedName>
    <definedName name="_PPC45">#REF!</definedName>
    <definedName name="_PPC46">#REF!</definedName>
    <definedName name="_PPC47">#REF!</definedName>
    <definedName name="_PPC48">#REF!</definedName>
    <definedName name="_PPC49">#REF!</definedName>
    <definedName name="_PPC5">#REF!</definedName>
    <definedName name="_PPC50">#REF!</definedName>
    <definedName name="_PPC51">#REF!</definedName>
    <definedName name="_PPC52">#REF!</definedName>
    <definedName name="_PPC53">#REF!</definedName>
    <definedName name="_PPC54">#REF!</definedName>
    <definedName name="_PPC55">#REF!</definedName>
    <definedName name="_PPC56">#REF!</definedName>
    <definedName name="_PPC57">#REF!</definedName>
    <definedName name="_PPC58">#REF!</definedName>
    <definedName name="_PPC59">#REF!</definedName>
    <definedName name="_PPC6">#REF!</definedName>
    <definedName name="_PPC60">#REF!</definedName>
    <definedName name="_PPC61">#REF!</definedName>
    <definedName name="_PPC62">#REF!</definedName>
    <definedName name="_PPC63">#REF!</definedName>
    <definedName name="_PPC64">#REF!</definedName>
    <definedName name="_PPC65">#REF!</definedName>
    <definedName name="_PPC66">#REF!</definedName>
    <definedName name="_PPC67">#REF!</definedName>
    <definedName name="_PPC68">#REF!</definedName>
    <definedName name="_PPC69">#REF!</definedName>
    <definedName name="_PPC7">#REF!</definedName>
    <definedName name="_PPC70">#REF!</definedName>
    <definedName name="_PPC71">#REF!</definedName>
    <definedName name="_PPC72">#REF!</definedName>
    <definedName name="_PPC73">#REF!</definedName>
    <definedName name="_PPC74">#REF!</definedName>
    <definedName name="_PPC75">#REF!</definedName>
    <definedName name="_PPC76">#REF!</definedName>
    <definedName name="_PPC77">#REF!</definedName>
    <definedName name="_PPC78">#REF!</definedName>
    <definedName name="_PPC79">#REF!</definedName>
    <definedName name="_PPC8">#REF!</definedName>
    <definedName name="_PPC80">#REF!</definedName>
    <definedName name="_PPC81">#REF!</definedName>
    <definedName name="_PPC82">#REF!</definedName>
    <definedName name="_PPC83">#REF!</definedName>
    <definedName name="_PPC84">#REF!</definedName>
    <definedName name="_PPC85">#REF!</definedName>
    <definedName name="_PPC86">#REF!</definedName>
    <definedName name="_PPC87">#REF!</definedName>
    <definedName name="_PPC88">#REF!</definedName>
    <definedName name="_PPC89">#REF!</definedName>
    <definedName name="_PPC9">#REF!</definedName>
    <definedName name="_PPC90">#REF!</definedName>
    <definedName name="_PPC91">#REF!</definedName>
    <definedName name="_PPC92">#REF!</definedName>
    <definedName name="_PPC93">#REF!</definedName>
    <definedName name="_PPC94">#REF!</definedName>
    <definedName name="_PPC95">#REF!</definedName>
    <definedName name="_PPD114">#REF!</definedName>
    <definedName name="_PPD89">#REF!</definedName>
    <definedName name="_QS25">[4]MRATES!$G$16</definedName>
    <definedName name="_QS40">[4]MRATES!$G$17</definedName>
    <definedName name="_RF1">#REF!</definedName>
    <definedName name="_RF10">#REF!</definedName>
    <definedName name="_RF11">#REF!</definedName>
    <definedName name="_RF12">#REF!</definedName>
    <definedName name="_RF2">#REF!</definedName>
    <definedName name="_RF3">#REF!</definedName>
    <definedName name="_RF4">#REF!</definedName>
    <definedName name="_RF5">#REF!</definedName>
    <definedName name="_RF6">#REF!</definedName>
    <definedName name="_RF7">#REF!</definedName>
    <definedName name="_RF8">#REF!</definedName>
    <definedName name="_RF9">#REF!</definedName>
    <definedName name="_SD1">#REF!</definedName>
    <definedName name="_SD10">#REF!</definedName>
    <definedName name="_SD100">#REF!</definedName>
    <definedName name="_SD101">#REF!</definedName>
    <definedName name="_SD102">#REF!</definedName>
    <definedName name="_SD103">#REF!</definedName>
    <definedName name="_SD104">#REF!</definedName>
    <definedName name="_SD105">#REF!</definedName>
    <definedName name="_SD106">#REF!</definedName>
    <definedName name="_SD107">#REF!</definedName>
    <definedName name="_SD108">#REF!</definedName>
    <definedName name="_SD109">#REF!</definedName>
    <definedName name="_SD11">#REF!</definedName>
    <definedName name="_SD110">#REF!</definedName>
    <definedName name="_SD111">#REF!</definedName>
    <definedName name="_SD112">#REF!</definedName>
    <definedName name="_SD113">#REF!</definedName>
    <definedName name="_SD114">#REF!</definedName>
    <definedName name="_SD115">#REF!</definedName>
    <definedName name="_SD116">#REF!</definedName>
    <definedName name="_SD117">#REF!</definedName>
    <definedName name="_SD118">#REF!</definedName>
    <definedName name="_SD119">#REF!</definedName>
    <definedName name="_SD12">#REF!</definedName>
    <definedName name="_SD120">#REF!</definedName>
    <definedName name="_SD121">#REF!</definedName>
    <definedName name="_SD122">#REF!</definedName>
    <definedName name="_SD123">#REF!</definedName>
    <definedName name="_SD124">#REF!</definedName>
    <definedName name="_SD125">#REF!</definedName>
    <definedName name="_SD126">#REF!</definedName>
    <definedName name="_SD127">#REF!</definedName>
    <definedName name="_SD128">#REF!</definedName>
    <definedName name="_SD129">#REF!</definedName>
    <definedName name="_SD13">#REF!</definedName>
    <definedName name="_SD130">#REF!</definedName>
    <definedName name="_SD131">#REF!</definedName>
    <definedName name="_SD132">#REF!</definedName>
    <definedName name="_SD133">#REF!</definedName>
    <definedName name="_SD134">#REF!</definedName>
    <definedName name="_SD135">#REF!</definedName>
    <definedName name="_SD136">#REF!</definedName>
    <definedName name="_SD137">#REF!</definedName>
    <definedName name="_SD138">#REF!</definedName>
    <definedName name="_SD139">#REF!</definedName>
    <definedName name="_SD14">#REF!</definedName>
    <definedName name="_SD140">#REF!</definedName>
    <definedName name="_SD141">#REF!</definedName>
    <definedName name="_SD142">#REF!</definedName>
    <definedName name="_SD143">#REF!</definedName>
    <definedName name="_SD144">#REF!</definedName>
    <definedName name="_SD145">#REF!</definedName>
    <definedName name="_SD146">#REF!</definedName>
    <definedName name="_SD147">#REF!</definedName>
    <definedName name="_SD148">#REF!</definedName>
    <definedName name="_SD149">#REF!</definedName>
    <definedName name="_SD15">#REF!</definedName>
    <definedName name="_SD150">#REF!</definedName>
    <definedName name="_SD16">#REF!</definedName>
    <definedName name="_SD17">#REF!</definedName>
    <definedName name="_SD18">#REF!</definedName>
    <definedName name="_SD19">#REF!</definedName>
    <definedName name="_SD2">#REF!</definedName>
    <definedName name="_SD20">#REF!</definedName>
    <definedName name="_SD21">#REF!</definedName>
    <definedName name="_SD22">#REF!</definedName>
    <definedName name="_SD23">#REF!</definedName>
    <definedName name="_SD24">#REF!</definedName>
    <definedName name="_SD25">#REF!</definedName>
    <definedName name="_SD250">#REF!</definedName>
    <definedName name="_SD26">#REF!</definedName>
    <definedName name="_SD27">#REF!</definedName>
    <definedName name="_SD28">#REF!</definedName>
    <definedName name="_SD29">#REF!</definedName>
    <definedName name="_SD3">#REF!</definedName>
    <definedName name="_SD30">#REF!</definedName>
    <definedName name="_SD31">#REF!</definedName>
    <definedName name="_SD32">#REF!</definedName>
    <definedName name="_SD33">#REF!</definedName>
    <definedName name="_SD34">#REF!</definedName>
    <definedName name="_SD35">#REF!</definedName>
    <definedName name="_SD36">#REF!</definedName>
    <definedName name="_SD37">#REF!</definedName>
    <definedName name="_SD38">#REF!</definedName>
    <definedName name="_SD39">#REF!</definedName>
    <definedName name="_SD4">#REF!</definedName>
    <definedName name="_SD40">#REF!</definedName>
    <definedName name="_SD41">#REF!</definedName>
    <definedName name="_SD42">#REF!</definedName>
    <definedName name="_SD43">#REF!</definedName>
    <definedName name="_SD44">#REF!</definedName>
    <definedName name="_SD45">#REF!</definedName>
    <definedName name="_SD46">#REF!</definedName>
    <definedName name="_SD47">#REF!</definedName>
    <definedName name="_SD48">#REF!</definedName>
    <definedName name="_SD49">#REF!</definedName>
    <definedName name="_SD5">#REF!</definedName>
    <definedName name="_SD50">#REF!</definedName>
    <definedName name="_SD500">#REF!</definedName>
    <definedName name="_SD51">#REF!</definedName>
    <definedName name="_SD52">#REF!</definedName>
    <definedName name="_SD53">#REF!</definedName>
    <definedName name="_SD54">#REF!</definedName>
    <definedName name="_SD55">#REF!</definedName>
    <definedName name="_SD56">#REF!</definedName>
    <definedName name="_SD57">#REF!</definedName>
    <definedName name="_SD58">#REF!</definedName>
    <definedName name="_SD59">#REF!</definedName>
    <definedName name="_SD6">#REF!</definedName>
    <definedName name="_SD60">#REF!</definedName>
    <definedName name="_SD61">#REF!</definedName>
    <definedName name="_SD62">#REF!</definedName>
    <definedName name="_SD63">#REF!</definedName>
    <definedName name="_SD64">#REF!</definedName>
    <definedName name="_SD65">#REF!</definedName>
    <definedName name="_SD66">#REF!</definedName>
    <definedName name="_SD67">#REF!</definedName>
    <definedName name="_SD68">#REF!</definedName>
    <definedName name="_SD69">#REF!</definedName>
    <definedName name="_SD7">#REF!</definedName>
    <definedName name="_SD70">#REF!</definedName>
    <definedName name="_SD71">#REF!</definedName>
    <definedName name="_SD72">#REF!</definedName>
    <definedName name="_SD73">#REF!</definedName>
    <definedName name="_SD74">#REF!</definedName>
    <definedName name="_SD75">#REF!</definedName>
    <definedName name="_SD76">#REF!</definedName>
    <definedName name="_SD77">#REF!</definedName>
    <definedName name="_SD78">#REF!</definedName>
    <definedName name="_SD79">#REF!</definedName>
    <definedName name="_SD8">#REF!</definedName>
    <definedName name="_SD80">#REF!</definedName>
    <definedName name="_SD81">#REF!</definedName>
    <definedName name="_SD82">#REF!</definedName>
    <definedName name="_SD83">#REF!</definedName>
    <definedName name="_SD84">#REF!</definedName>
    <definedName name="_SD85">#REF!</definedName>
    <definedName name="_SD86">#REF!</definedName>
    <definedName name="_SD87">#REF!</definedName>
    <definedName name="_SD88">#REF!</definedName>
    <definedName name="_SD89">#REF!</definedName>
    <definedName name="_SD9">#REF!</definedName>
    <definedName name="_SD90">#REF!</definedName>
    <definedName name="_SD91">#REF!</definedName>
    <definedName name="_SD92">#REF!</definedName>
    <definedName name="_SD93">#REF!</definedName>
    <definedName name="_SD94">#REF!</definedName>
    <definedName name="_SD95">#REF!</definedName>
    <definedName name="_SD96">#REF!</definedName>
    <definedName name="_SD97">#REF!</definedName>
    <definedName name="_SD98">#REF!</definedName>
    <definedName name="_SD99">#REF!</definedName>
    <definedName name="_SS10">[4]MRATES!$J$7</definedName>
    <definedName name="_SS12">[4]MRATES!$J$8</definedName>
    <definedName name="_SS150">[4]MRATES!$G$13</definedName>
    <definedName name="_SS20">[4]MRATES!$J$9</definedName>
    <definedName name="_SS225">[4]MRATES!$G$14</definedName>
    <definedName name="_SS25">[4]MRATES!$J$10</definedName>
    <definedName name="_SS300">[4]MRATES!$G$15</definedName>
    <definedName name="_SS40">[4]MRATES!$J$11</definedName>
    <definedName name="_SS6">[4]MRATES!$J$6</definedName>
    <definedName name="_Y1">#REF!</definedName>
    <definedName name="_Y2">#REF!</definedName>
    <definedName name="_Y3">#REF!</definedName>
    <definedName name="a">#REF!</definedName>
    <definedName name="aaaaaaaaaaa1">#REF!</definedName>
    <definedName name="alpha">#REF!</definedName>
    <definedName name="April">[5]m!$A$2</definedName>
    <definedName name="ASL">[6]DATA!#REF!</definedName>
    <definedName name="ASR">[6]DATA!#REF!</definedName>
    <definedName name="B">#REF!</definedName>
    <definedName name="bbb">#REF!</definedName>
    <definedName name="BE">#REF!</definedName>
    <definedName name="BILLCC">#REF!</definedName>
    <definedName name="BLAST">[2]MRATES!$J$16</definedName>
    <definedName name="BLAST2">[2]MRATES!$J$18</definedName>
    <definedName name="BLAST3">[2]MRATES!$J$17</definedName>
    <definedName name="BOND600">[2]MRATES!$G$12</definedName>
    <definedName name="BSG">[7]abs!#REF!</definedName>
    <definedName name="BWIRE">[2]MRATES!$P$52</definedName>
    <definedName name="ccc">#REF!</definedName>
    <definedName name="CEL">[6]DATA!$F$89</definedName>
    <definedName name="CEMENT">[2]MRATES!$P$48</definedName>
    <definedName name="checking2">[6]DATA!#REF!</definedName>
    <definedName name="CHP">#REF!</definedName>
    <definedName name="CHRL">#REF!</definedName>
    <definedName name="CMFD">#REF!</definedName>
    <definedName name="COLLAR">"Rectangle 67"</definedName>
    <definedName name="cover">[7]abs!#REF!</definedName>
    <definedName name="CP">[2]MRATES!$C$36</definedName>
    <definedName name="CRS">[2]MRATES!$G$10</definedName>
    <definedName name="CSAND">[2]MRATES!$G$8</definedName>
    <definedName name="CWSUMP">'[8]DATA-BASE'!$I$6:$T$22</definedName>
    <definedName name="D">'[9]UT Without Drop'!$H$77</definedName>
    <definedName name="D.L.R.B.___Km.8.395_of_Left_Main_Canal">#REF!</definedName>
    <definedName name="DBM">[7]abs!#REF!</definedName>
    <definedName name="ddd">#REF!</definedName>
    <definedName name="Diff">#REF!</definedName>
    <definedName name="disp2">#REF!</definedName>
    <definedName name="dk" localSheetId="2">#REF!</definedName>
    <definedName name="dk" localSheetId="6">#REF!</definedName>
    <definedName name="dk">#REF!</definedName>
    <definedName name="DName">#REF!</definedName>
    <definedName name="dsdsds">#REF!</definedName>
    <definedName name="DSMFL">#REF!</definedName>
    <definedName name="dt">#REF!</definedName>
    <definedName name="DTS_APTS">#REF!</definedName>
    <definedName name="DTS_BT6">#REF!</definedName>
    <definedName name="DTS_BT8">#REF!</definedName>
    <definedName name="DTS_BTE">#REF!</definedName>
    <definedName name="DTS_C1">#REF!</definedName>
    <definedName name="DTS_CC">#REF!</definedName>
    <definedName name="DTS_CEM">#REF!</definedName>
    <definedName name="DTS_ECV">#REF!</definedName>
    <definedName name="DTS_EMD">#REF!</definedName>
    <definedName name="DTS_EW">#REF!</definedName>
    <definedName name="DTS_GSB">#REF!</definedName>
    <definedName name="DTS_HYSD">#REF!</definedName>
    <definedName name="DTS_LIQ">#REF!</definedName>
    <definedName name="DTS_MSS">#REF!</definedName>
    <definedName name="DTS_PER">#REF!</definedName>
    <definedName name="DTS_REG">#REF!</definedName>
    <definedName name="DTS_SIM">#REF!</definedName>
    <definedName name="DTS_VRCC">#REF!</definedName>
    <definedName name="DTS_WBM">#REF!</definedName>
    <definedName name="DUST">[2]MRATES!$M$17</definedName>
    <definedName name="E_17">[10]Rates!$C$24</definedName>
    <definedName name="EARTH_D">[2]MRATES!$K$33</definedName>
    <definedName name="ec">[11]m!$M$3</definedName>
    <definedName name="ECV">#REF!</definedName>
    <definedName name="EMMS">[12]mrates!#REF!</definedName>
    <definedName name="EWork">#REF!</definedName>
    <definedName name="EWSTM">[13]ewst!$E$13:$R$171</definedName>
    <definedName name="ewstmt">#REF!</definedName>
    <definedName name="Excel_BuiltIn__FilterDatabase_2">'[14]ew d.est'!#REF!</definedName>
    <definedName name="Excel_BuiltIn__FilterDatabase_23">#REF!</definedName>
    <definedName name="Excel_BuiltIn__FilterDatabase_25">#REF!</definedName>
    <definedName name="Excel_BuiltIn__FilterDatabase_26">[15]structures!#REF!</definedName>
    <definedName name="Excel_BuiltIn__FilterDatabase_3">#REF!</definedName>
    <definedName name="Excel_BuiltIn__FilterDatabase_30">#REF!</definedName>
    <definedName name="Excel_BuiltIn_Print_Area">#REF!</definedName>
    <definedName name="Excel_BuiltIn_Print_Area_1" localSheetId="6">#REF!</definedName>
    <definedName name="Excel_BuiltIn_Print_Area_1">#REF!</definedName>
    <definedName name="Excel_BuiltIn_Print_Area_1_1" localSheetId="6">#REF!</definedName>
    <definedName name="Excel_BuiltIn_Print_Area_1_1">#REF!</definedName>
    <definedName name="Excel_BuiltIn_Print_Area_2">#REF!</definedName>
    <definedName name="Excel_BuiltIn_Print_Area_2_1_1">#REF!</definedName>
    <definedName name="Excel_BuiltIn_Print_Area_3">#REF!</definedName>
    <definedName name="Excel_BuiltIn_Print_Area_3_1" localSheetId="2">#REF!</definedName>
    <definedName name="Excel_BuiltIn_Print_Area_3_1" localSheetId="6">#REF!</definedName>
    <definedName name="Excel_BuiltIn_Print_Area_3_1">#REF!</definedName>
    <definedName name="Excel_BuiltIn_Print_Area_3_1_1">#REF!</definedName>
    <definedName name="Excel_BuiltIn_Print_Area_4">#REF!</definedName>
    <definedName name="Excel_BuiltIn_Print_Area_4_1">#REF!</definedName>
    <definedName name="Excel_BuiltIn_Print_Area_4_1_1">#REF!</definedName>
    <definedName name="Excel_BuiltIn_Print_Area_5" localSheetId="6">#REF!</definedName>
    <definedName name="Excel_BuiltIn_Print_Area_5">#REF!</definedName>
    <definedName name="Excel_BuiltIn_Print_Area_5_1">#REF!</definedName>
    <definedName name="Excel_BuiltIn_Print_Area_5_1_1">#REF!</definedName>
    <definedName name="Excel_BuiltIn_Print_Area_6_1">#REF!</definedName>
    <definedName name="Excel_BuiltIn_Print_Area_6_1_1">#REF!</definedName>
    <definedName name="Excel_BuiltIn_Print_Titles_3" localSheetId="1">#REF!</definedName>
    <definedName name="Excel_BuiltIn_Print_Titles_3">#REF!</definedName>
    <definedName name="f">#REF!</definedName>
    <definedName name="FB">#REF!</definedName>
    <definedName name="fc">[16]data!#REF!</definedName>
    <definedName name="ff">#REF!</definedName>
    <definedName name="FSAND">[2]MRATES!$G$9</definedName>
    <definedName name="fsdfdsf">#REF!</definedName>
    <definedName name="GNUT1">#REF!</definedName>
    <definedName name="GNUT2">#REF!</definedName>
    <definedName name="gr">#REF!</definedName>
    <definedName name="GRAVEL">[2]MRATES!$G$6</definedName>
    <definedName name="GRAVEL_D">[2]MRATES!$K$34</definedName>
    <definedName name="hfkg">#REF!</definedName>
    <definedName name="hgle">#REF!</definedName>
    <definedName name="HYSD">[2]MRATES!$P$49</definedName>
    <definedName name="id">#REF!</definedName>
    <definedName name="id10.0">#REF!</definedName>
    <definedName name="id2.5">#REF!</definedName>
    <definedName name="id4.0">#REF!</definedName>
    <definedName name="id6.0">#REF!</definedName>
    <definedName name="IRC2.36">[2]MRATES!$M$6</definedName>
    <definedName name="ItemNo">#REF!</definedName>
    <definedName name="ITI">'[12]mroad data'!#REF!</definedName>
    <definedName name="jeev">#REF!</definedName>
    <definedName name="jj">#REF!</definedName>
    <definedName name="JUNGLE">[7]abs!#REF!</definedName>
    <definedName name="kk" localSheetId="2">#REF!</definedName>
    <definedName name="kk" localSheetId="6">#REF!</definedName>
    <definedName name="kk">#REF!</definedName>
    <definedName name="kk_5">#REF!</definedName>
    <definedName name="KM">[6]DATA!$F$4</definedName>
    <definedName name="L_Bhisti">[17]Labour!$D$3</definedName>
    <definedName name="L_BitumenSprayer">[17]Labour!$D$4</definedName>
    <definedName name="L_Blacksmith">[17]Labour!$D$5</definedName>
    <definedName name="L_Blaster">[17]Labour!$D$6</definedName>
    <definedName name="L_Carpenter_1stClass">[17]Labour!$D$7</definedName>
    <definedName name="L_ChipsSpreader">[17]Labour!$D$8</definedName>
    <definedName name="L_Chiseller">[17]Labour!$D$9</definedName>
    <definedName name="L_Dresser_Skilled">[17]Labour!$D$10</definedName>
    <definedName name="L_Driller">[17]Labour!$D$11</definedName>
    <definedName name="L_Fitter">[18]Labour!$D$13</definedName>
    <definedName name="L_Mason_1stClass">[17]Labour!$D$14</definedName>
    <definedName name="L_Mason_2ndClass">[17]Labour!$D$15</definedName>
    <definedName name="L_Mate">[17]Labour!$D$16</definedName>
    <definedName name="L_Mazdoor">[17]Labour!$D$17</definedName>
    <definedName name="L_Mazdoor_Semi">[17]Labour!$D$18</definedName>
    <definedName name="L_Mazdoor_Skilled">[17]Labour!$D$19</definedName>
    <definedName name="L_Painter_1stClass">[17]Labour!$D$20</definedName>
    <definedName name="L_Plumber">[17]Labour!$D$21</definedName>
    <definedName name="L_Surveyor">[17]Labour!$D$22</definedName>
    <definedName name="L_WhiteWasher">[17]Labour!$D$23</definedName>
    <definedName name="LA">[16]data!#REF!</definedName>
    <definedName name="LBM">[7]abs!#REF!</definedName>
    <definedName name="LBW">#REF!</definedName>
    <definedName name="LCE">'[12]mroad data'!#REF!</definedName>
    <definedName name="LEAD_1">#REF!</definedName>
    <definedName name="LEAD_2">#REF!</definedName>
    <definedName name="LEAD_3">#REF!</definedName>
    <definedName name="lead_MIDDLE">#REF!</definedName>
    <definedName name="LEAD_Y1">#REF!</definedName>
    <definedName name="LEAD_Y2">#REF!</definedName>
    <definedName name="Leads" localSheetId="5">#REF!</definedName>
    <definedName name="Leads" localSheetId="2">#REF!</definedName>
    <definedName name="Leads">#REF!</definedName>
    <definedName name="M_ACPipe_100">[17]Material!$D$3</definedName>
    <definedName name="M_Aggregate_10">[17]Material!$D$17</definedName>
    <definedName name="M_Aggregate_20">[17]Material!$D$18</definedName>
    <definedName name="M_Aggregate_224_236m_WMM">[17]Material!$D$26</definedName>
    <definedName name="M_Aggregate_375mmMaximum_224_56mm">[17]Material!$D$4</definedName>
    <definedName name="M_Aggregate_375mmMaximum_45_225mm">[17]Material!$D$5</definedName>
    <definedName name="M_Aggregate_375mmMaximum_Below_56mm">[17]Material!$D$6</definedName>
    <definedName name="M_Aggregate_40">[17]Material!$D$19</definedName>
    <definedName name="M_Aggregate_45_224m_WMM">[17]Material!$D$27</definedName>
    <definedName name="M_Aggregate_53mmMaximum_225_56mm">[17]Material!$D$7</definedName>
    <definedName name="M_Aggregate_53mmMaximum_63_45mm">[17]Material!$D$8</definedName>
    <definedName name="M_Aggregate_53mmMaximum_below_56mm">[17]Material!$D$9</definedName>
    <definedName name="M_Aggregate_Crushable_GradeI">[17]Material!$D$20</definedName>
    <definedName name="M_Aggregate_Crushable_GradeII">[17]Material!$D$21</definedName>
    <definedName name="M_Aggregate_Crushable_GradeIII">[17]Material!$D$22</definedName>
    <definedName name="M_Aggregate_GradeI_40mmNominal_10_5mm">[17]Material!$D$10</definedName>
    <definedName name="M_Aggregate_GradeI_40mmNominal_25_10mm">[17]Material!$D$11</definedName>
    <definedName name="M_Aggregate_GradeI_40mmNominal_3725_25mm">[17]Material!$D$12</definedName>
    <definedName name="M_Aggregate_GradeI_40mmNominal_5mm">[17]Material!$D$13</definedName>
    <definedName name="M_Aggregate_GradeI_90_45mm">[17]Material!$D$23</definedName>
    <definedName name="M_Aggregate_GradeII_19mmNominal_10_5mm">[17]Material!$D$14</definedName>
    <definedName name="M_Aggregate_GradeII_19mmNominal_25_10mm">[17]Material!$D$15</definedName>
    <definedName name="M_Aggregate_GradeII_19mmNominal_5mm_below">[17]Material!$D$16</definedName>
    <definedName name="M_Aggregate_GradeII_63_45mm">[17]Material!$D$24</definedName>
    <definedName name="M_Aggregate_GradeIII_53_224mm">[17]Material!$D$25</definedName>
    <definedName name="M_AluminiumSheeting_15mm">[17]Material!$D$28</definedName>
    <definedName name="M_AluminiumStuds_100_100_Lense">[17]Material!$D$29</definedName>
    <definedName name="M_Bamboo_1stClass_85_100mm_25m_long">[17]Material!$D$31</definedName>
    <definedName name="M_Bamboo_1stClass_85_100mm_2m_long">[17]Material!$D$30</definedName>
    <definedName name="M_Bamboo_1stClass_85_100mm_3m_long">[17]Material!$D$32</definedName>
    <definedName name="M_Bamboo_1stClass_85_100mm_45_55m_long">[17]Material!$D$33</definedName>
    <definedName name="M_Bamboo_2ndClass_75mm_18_25m_long">[17]Material!$D$34</definedName>
    <definedName name="M_Bamboo_2ndClass_75mm_21_30m_long">[17]Material!$D$35</definedName>
    <definedName name="M_BarbedWire">[17]Material!$D$36</definedName>
    <definedName name="M_BindingMaterial">[17]Material!$D$37</definedName>
    <definedName name="M_BindingWire">[17]Material!$D$38</definedName>
    <definedName name="M_Bitumen_CRM">[17]Material!$D$39</definedName>
    <definedName name="M_Bitumen_NRM">[17]Material!$D$40</definedName>
    <definedName name="M_Bitumen_PM">[17]Material!$D$41</definedName>
    <definedName name="M_Bitumen_S65">[17]Material!$D$42</definedName>
    <definedName name="M_Bitumen_S90">[17]Material!$D$43</definedName>
    <definedName name="M_BitumenEmulsion_RS1">[17]Material!$D$44</definedName>
    <definedName name="M_BitumenEmulsion_SS1">[17]Material!$D$45</definedName>
    <definedName name="M_BitumenSealant">[17]Material!$D$46</definedName>
    <definedName name="M_Blasted_Rubble">[17]Material!$D$47</definedName>
    <definedName name="M_BlastingMaterial">[17]Material!$D$48</definedName>
    <definedName name="M_BondStone_400_150_150mm">[17]Material!$D$49</definedName>
    <definedName name="M_Brick_1stClass">[17]Material!$D$50</definedName>
    <definedName name="M_Cement">[17]Material!$D$51</definedName>
    <definedName name="M_CementPrimer">[17]Material!$D$52</definedName>
    <definedName name="M_ChlorpreneElastomer_OR_ClosedCellFoamSealingElement">[18]Material!$D$53</definedName>
    <definedName name="M_CompensationForEarthTakenFromPrivateLand">[17]Material!$D$54</definedName>
    <definedName name="M_CompressibleFibreBoard">[18]Material!$D$55</definedName>
    <definedName name="M_CopperPlate">[18]Material!$D$56</definedName>
    <definedName name="M_CorrosionResistantStructuralSteelGrating">[18]Material!$D$58</definedName>
    <definedName name="M_CreditForExcavatedRock">[17]Material!$D$59</definedName>
    <definedName name="M_CrushedSand_OR_Grit">[17]Material!$D$61</definedName>
    <definedName name="M_CrushedSlag">[17]Material!$D$62</definedName>
    <definedName name="M_CrushedStoneAggregate_265_75">[17]Material!$D$63</definedName>
    <definedName name="M_CrushedStoneChipping_132">[17]Material!$D$64</definedName>
    <definedName name="M_CrushedStoneChipping_67mm_100Passing_112mm">[17]Material!$D$65</definedName>
    <definedName name="M_CrushedStoneChipping_67mm_100Passing_95mm">[17]Material!$D$66</definedName>
    <definedName name="M_CrushedStoneChipping_95">[17]Material!$D$67</definedName>
    <definedName name="M_CrushedStoneCoarseAggregatePassing_53mm">[17]Material!$D$68</definedName>
    <definedName name="M_CuringCompound">[17]Material!$D$69</definedName>
    <definedName name="M_DebondingStrips">[17]Material!$D$70</definedName>
    <definedName name="M_EdgeStone_450_350_200mm">[17]Material!$D$72</definedName>
    <definedName name="M_ElastomericBearingAssembly">[17]Material!$D$73</definedName>
    <definedName name="M_ElectricDetonator">[17]Material!$D$74</definedName>
    <definedName name="M_EpoxyPaint">[17]Material!$D$75</definedName>
    <definedName name="M_FarmyardManure">[17]Material!$D$77</definedName>
    <definedName name="M_FevicolAdhesive">[17]Material!$D$78</definedName>
    <definedName name="M_FilterMedia">[17]Material!$D$79</definedName>
    <definedName name="M_FineAggregate_CrushedSand">[17]Material!$D$80</definedName>
    <definedName name="M_GalvanisedAngle">[18]Material!$D$81</definedName>
    <definedName name="M_Gelatine_80">[17]Material!$D$83</definedName>
    <definedName name="M_GIPipe_100mm">[18]Material!$D$84</definedName>
    <definedName name="M_GIPipe_50mm">[17]Material!$D$85</definedName>
    <definedName name="M_GIWires">[17]Material!$D$86</definedName>
    <definedName name="M_GradedStoneAggregate">[17]Material!$D$87</definedName>
    <definedName name="M_GranularMaterial">[17]Material!$D$88</definedName>
    <definedName name="M_HandBrokenMetal_40mm">[17]Material!$D$89</definedName>
    <definedName name="M_Indigo">[17]Material!$D$90</definedName>
    <definedName name="M_InterlockingBlocks_60mm">[17]Material!$D$91</definedName>
    <definedName name="M_InterlockingBlocks_80mm">[17]Material!$D$92</definedName>
    <definedName name="M_JointFillerBoard">[17]Material!$D$93</definedName>
    <definedName name="M_JuteNetting_OpenWeave_25mm">[17]Material!$D$94</definedName>
    <definedName name="M_JuteRope_12mm">[17]Material!$D$95</definedName>
    <definedName name="M_KeyAggregatesPassing_224mm">[17]Material!$D$96</definedName>
    <definedName name="M_Lime">[17]Material!$D$97</definedName>
    <definedName name="M_LocalWoodPiles_1stClass">[17]Material!$D$99</definedName>
    <definedName name="M_LocalWoodPiles_1stClass_100_75mm">[17]Material!$D$100</definedName>
    <definedName name="M_MS_Sheet_15mm">[17]Material!$D$105</definedName>
    <definedName name="M_MS_Sheet_2mm">[17]Material!$D$106</definedName>
    <definedName name="M_MSClamps">[17]Material!$D$102</definedName>
    <definedName name="M_MSFlat_StructuralSteel">[17]Material!$D$103</definedName>
    <definedName name="M_MSSheetTube_47_47mm_12_SWG">[17]Material!$D$104</definedName>
    <definedName name="M_Nuts_Bolts_Rivets">[17]Material!$D$107</definedName>
    <definedName name="M_Paint_SyntheticEnamel">[17]Material!$D$108</definedName>
    <definedName name="M_Plasticizer">[17]Material!$D$109</definedName>
    <definedName name="M_PolytheneSheet_125">[17]Material!$D$110</definedName>
    <definedName name="M_PolytheneSheething">[17]Material!$D$111</definedName>
    <definedName name="M_RCCPipeNP3_1000mm">[17]Material!$D$114</definedName>
    <definedName name="M_RCCPipeNP3_1200mm">[17]Material!$D$113</definedName>
    <definedName name="M_RCCPipeNP3_500mm">[17]Material!$D$117</definedName>
    <definedName name="M_RCCPipeNP3_750mm">[17]Material!$D$115</definedName>
    <definedName name="M_RCCPipeNP4_1000mm">[17]Material!$D$119</definedName>
    <definedName name="M_RCCPipeNP4_1200mm">[17]Material!$D$118</definedName>
    <definedName name="M_RCCPipeNP4_500mm">[17]Material!$D$122</definedName>
    <definedName name="M_RCCPipeNP4_750mm">[17]Material!$D$120</definedName>
    <definedName name="M_RedOxidePrimer">[17]Material!$D$123</definedName>
    <definedName name="M_RoadMarkingPaint">[17]Material!$D$124</definedName>
    <definedName name="M_Sand_Coarse">[17]Material!$D$125</definedName>
    <definedName name="M_Sand_Fine">[17]Material!$D$126</definedName>
    <definedName name="M_Seeds">[17]Material!$D$127</definedName>
    <definedName name="M_SteelPipe_500mm">[18]Material!$D$128</definedName>
    <definedName name="M_SteelReinforcement_HYSDBars">[17]Material!$D$129</definedName>
    <definedName name="M_SteelReinforcement_MSRoundBars">[17]Material!$D$130</definedName>
    <definedName name="M_SteelReinforcement_TMTBars">[17]Material!$D$131</definedName>
    <definedName name="M_StoneBoulder_150mm_below">[17]Material!$D$132</definedName>
    <definedName name="M_StoneChips_12mm">[17]Material!$D$133</definedName>
    <definedName name="M_StoneCrushedAggregate_112_009mm">[17]Material!$D$135</definedName>
    <definedName name="M_StoneForCoarseRubbleMasonry_1stSort">[17]Material!$D$136</definedName>
    <definedName name="M_StoneForCoarseRubbleMasonry_2ndSort">[17]Material!$D$137</definedName>
    <definedName name="M_StoneForRandomRubbleMasonry">[17]Material!$D$138</definedName>
    <definedName name="M_StoneForStoneSetPavement">[17]Material!$D$139</definedName>
    <definedName name="M_StoneScreening_TypeA_132mm_Grade1">[17]Material!$D$140</definedName>
    <definedName name="M_StoneScreening_TypeB_112mm_Grade2">[17]Material!$D$142</definedName>
    <definedName name="M_StoneScreening_TypeB_112mm_Grade3">[17]Material!$D$143</definedName>
    <definedName name="M_StoneSpalls">[17]Material!$D$144</definedName>
    <definedName name="M_TrafficCones">[17]Material!$D$145</definedName>
    <definedName name="M_Water">[17]Material!$D$146</definedName>
    <definedName name="M_WellGradedGranularBaseMaterial_GradeA_236mm">[17]Material!$D$147</definedName>
    <definedName name="M_WellGradedGranularBaseMaterial_GradeA_265_475mm">[17]Material!$D$148</definedName>
    <definedName name="M_WellGradedGranularBaseMaterial_GradeA_53_265mm">[17]Material!$D$149</definedName>
    <definedName name="M_WellGradedGranularBaseMaterial_GradeB_236mm_below">[17]Material!$D$150</definedName>
    <definedName name="M_WellGradedGranularBaseMaterial_GradeB_265_475mm">[17]Material!$D$151</definedName>
    <definedName name="M_WellGradedGranularBaseMaterial_GradeC_236mm_below">[17]Material!$D$152</definedName>
    <definedName name="M_WellGradedGranularBaseMaterial_GradeC_95_475mm">[17]Material!$D$153</definedName>
    <definedName name="M_WellGradedMateralForSubbase_GradeI_236mm_below">[17]Material!$D$154</definedName>
    <definedName name="M_WellGradedMateralForSubbase_GradeI_53_95mm">[17]Material!$D$155</definedName>
    <definedName name="M_WellGradedMateralForSubbase_GradeI_95_236mm">[17]Material!$D$156</definedName>
    <definedName name="M_WellGradedMateralForSubbase_GradeII_236mm_below">[17]Material!$D$157</definedName>
    <definedName name="M_WellGradedMateralForSubbase_GradeII_265_95mm">[17]Material!$D$158</definedName>
    <definedName name="M_WellGradedMateralForSubbase_GradeII_95_236mm">[17]Material!$D$159</definedName>
    <definedName name="M_WellGradedMateralForSubbase_GradeIII_236mm_below">[17]Material!$D$160</definedName>
    <definedName name="M_WellGradedMateralForSubbase_GradeIII_475_236mm">[17]Material!$D$161</definedName>
    <definedName name="M_WellGradedMateralForSubbase_GradeIII_95_475mm">[17]Material!$D$162</definedName>
    <definedName name="mab">#REF!</definedName>
    <definedName name="MAN">[11]m!$B$149</definedName>
    <definedName name="Mani">#REF!</definedName>
    <definedName name="MASON">'[12]mroad data'!#REF!</definedName>
    <definedName name="MASTICPAD">[19]MRATES!$I$23</definedName>
    <definedName name="MAZDOOR">'[12]mroad data'!#REF!</definedName>
    <definedName name="mba">#REF!</definedName>
    <definedName name="MEL">[6]DATA!$F$87</definedName>
    <definedName name="METAL_D">[2]MRATES!$K$30</definedName>
    <definedName name="MFD">[20]Note!$E$63</definedName>
    <definedName name="MFL">#REF!</definedName>
    <definedName name="MI_06">[21]RMR!$K$16</definedName>
    <definedName name="MI_10">[21]RMR!$K$15</definedName>
    <definedName name="MI_12">[21]RMR!$K$14</definedName>
    <definedName name="MI_20">[21]RMR!$K$13</definedName>
    <definedName name="MI_236">[21]RMR!$K$17</definedName>
    <definedName name="MI_25">[21]RMR!$K$12</definedName>
    <definedName name="MIX_SEAL_WBM">[7]abs!#REF!</definedName>
    <definedName name="MLOAD">[2]MRATES!$X$11</definedName>
    <definedName name="MS">[2]MRATES!$P$51</definedName>
    <definedName name="MSAND">[2]MRATES!$G$7</definedName>
    <definedName name="MSTACK">[2]MRATES!$X$13</definedName>
    <definedName name="MUNLOAD">[2]MRATES!$X$12</definedName>
    <definedName name="name">[21]BTR!$D$4</definedName>
    <definedName name="od">#REF!</definedName>
    <definedName name="OH">[2]MRATES!$C$34</definedName>
    <definedName name="one" localSheetId="1">#REF!</definedName>
    <definedName name="p">#REF!</definedName>
    <definedName name="permissible_bending">#REF!</definedName>
    <definedName name="permissible_comp">#REF!</definedName>
    <definedName name="permissible_shear">#REF!</definedName>
    <definedName name="pi">3.1415</definedName>
    <definedName name="PM_AirCompressor_210cfm">'[17]Plant &amp;  Machinery'!$G$4</definedName>
    <definedName name="PM_BatchMixHMP_46_60THP">'[17]Plant &amp;  Machinery'!$G$5</definedName>
    <definedName name="PM_BatchTypeHMP_30_40">'[17]Plant &amp;  Machinery'!$G$6</definedName>
    <definedName name="PM_BitumenBoilerOilFired_1000">'[17]Plant &amp;  Machinery'!$G$9</definedName>
    <definedName name="PM_BitumenBoilerOilFired_200">'[17]Plant &amp;  Machinery'!$G$8</definedName>
    <definedName name="PM_BitumenEmulsionPressureDistributor">'[17]Plant &amp;  Machinery'!$G$10</definedName>
    <definedName name="PM_ConcreteMixer">'[17]Plant &amp;  Machinery'!$G$11</definedName>
    <definedName name="PM_Dozer_D50">'[17]Plant &amp;  Machinery'!$G$13</definedName>
    <definedName name="PM_ElectricGeneratorSet_125">'[17]Plant &amp;  Machinery'!$G$15</definedName>
    <definedName name="PM_FrontEndLoader_1cum">'[17]Plant &amp;  Machinery'!$G$17</definedName>
    <definedName name="PM_HydraulicBroom">'[17]Plant &amp;  Machinery'!$G$19</definedName>
    <definedName name="PM_HydraulicExcavator_09cum">'[17]Plant &amp;  Machinery'!$G$20</definedName>
    <definedName name="PM_HydraulicSelfPropelledChipSpreader">'[17]Plant &amp;  Machinery'!$G$21</definedName>
    <definedName name="PM_JackHammer">'[17]Plant &amp;  Machinery'!$G$22</definedName>
    <definedName name="PM_JointCuttingMachine">'[17]Plant &amp;  Machinery'!$G$23</definedName>
    <definedName name="PM_Mixall_6_10t">'[17]Plant &amp;  Machinery'!$G$24</definedName>
    <definedName name="PM_MotorGrader">'[17]Plant &amp;  Machinery'!$G$25</definedName>
    <definedName name="PM_NeedleVibrator">'[17]Plant &amp;  Machinery'!$G$27</definedName>
    <definedName name="PM_PaverFinisher">'[17]Plant &amp;  Machinery'!$G$28</definedName>
    <definedName name="PM_PlateCompactor">'[17]Plant &amp;  Machinery'!$G$29</definedName>
    <definedName name="PM_PlateVibrator">'[17]Plant &amp;  Machinery'!$G$30</definedName>
    <definedName name="PM_ScreedVibrator">'[17]Plant &amp;  Machinery'!$G$31</definedName>
    <definedName name="PM_ThreeWheeled_80_100kN_StaticRoller">'[17]Plant &amp;  Machinery'!$G$34</definedName>
    <definedName name="PM_Tipper_55">'[17]Plant &amp;  Machinery'!$G$45</definedName>
    <definedName name="PM_Tractor_DiscHarrows">'[17]Plant &amp;  Machinery'!$G$46</definedName>
    <definedName name="PM_Tractor_Ripper">'[17]Plant &amp;  Machinery'!$G$47</definedName>
    <definedName name="PM_Tractor_Rotavator">'[17]Plant &amp;  Machinery'!$G$49</definedName>
    <definedName name="PM_Tractor_Trolley">'[17]Plant &amp;  Machinery'!$G$48</definedName>
    <definedName name="PM_Truck">'[18]Plant &amp;  Machinery'!$G$50</definedName>
    <definedName name="PM_VibratoryRoller_80_100kN">'[17]Plant &amp;  Machinery'!$G$51</definedName>
    <definedName name="PM_WaterTanker_6kl">'[17]Plant &amp;  Machinery'!$G$53</definedName>
    <definedName name="PM_WetMixPlant_or_PugMill">'[17]Plant &amp;  Machinery'!$G$54</definedName>
    <definedName name="PR">#REF!</definedName>
    <definedName name="_xlnm.Print_Area" localSheetId="3">Abstract!$A$1:$G$18</definedName>
    <definedName name="_xlnm.Print_Area" localSheetId="1">'Check slip - TS'!$A$1:$D$56</definedName>
    <definedName name="_xlnm.Print_Area" localSheetId="5">'DATA-26-27'!$A$1:$H$559</definedName>
    <definedName name="_xlnm.Print_Area" localSheetId="4">'detailed '!$A$1:$J$63</definedName>
    <definedName name="_xlnm.Print_Area" localSheetId="2">'Gen Abst'!$A$1:$C$23</definedName>
    <definedName name="_xlnm.Print_Area" localSheetId="7">'lead chart'!$A$1:$Q$15</definedName>
    <definedName name="_xlnm.Print_Area" localSheetId="6">seignorage!$A$1:$N$29</definedName>
    <definedName name="_xlnm.Print_Area" localSheetId="8">steel!$A$1:$K$53</definedName>
    <definedName name="_xlnm.Print_Titles" localSheetId="8">steel!$4:$4</definedName>
    <definedName name="psr">#REF!</definedName>
    <definedName name="Q">#REF!</definedName>
    <definedName name="Q_EW_FOUND">[21]Line!$E$36</definedName>
    <definedName name="R_136_BCCP">'[21]Road data'!$K$768</definedName>
    <definedName name="R_136_BODY">'[21]Road data'!$K$958</definedName>
    <definedName name="R_136_FLY_BCCP">'[21]Road data'!$K$826</definedName>
    <definedName name="R_136_FOUND">'[21]Road data'!$K$930</definedName>
    <definedName name="R_148_BCCP">'[21]Road data'!$K$742</definedName>
    <definedName name="R_BACKFILL">'[21]Road data'!$K$1390</definedName>
    <definedName name="R_BC">'[21]Road data'!$K$600</definedName>
    <definedName name="R_BED_HP">'[21]Road data'!$K$904</definedName>
    <definedName name="r_BM_100">'[21]Road data'!$K$692</definedName>
    <definedName name="R_BM_50">'[21]Road data'!$K$646</definedName>
    <definedName name="R_BT_PATCH">'[21]Road data'!$K$1636</definedName>
    <definedName name="R_BT_PATCH_40">'[21]Road data'!$K$1654</definedName>
    <definedName name="R_EW_C">'[21]Road data'!$K$61</definedName>
    <definedName name="R_EW_FOUND">'[21]Road data'!$K$881</definedName>
    <definedName name="R_EW_S">'[21]Road data'!$K$30</definedName>
    <definedName name="R_EW_T">'[21]Road data'!$K$83</definedName>
    <definedName name="R_EW_USS">'[21]Road data'!$K$106</definedName>
    <definedName name="R_FILL_INB_BODY">'[21]Road data'!$K$1037</definedName>
    <definedName name="R_FILTER_ABUT">'[21]Road data'!$K$1416</definedName>
    <definedName name="R_FILTER_BPITCH">'[21]Road data'!$K$1078</definedName>
    <definedName name="R_G2_22B_AS_PR">'[21]Road data'!$K$199</definedName>
    <definedName name="R_G2_22B_AS_VR">'[21]Road data'!$K$305</definedName>
    <definedName name="R_G2_45B_AS_PR">'[21]Road data'!$K$252</definedName>
    <definedName name="R_G2_45B_AS_VR">'[21]Road data'!$K$358</definedName>
    <definedName name="R_G3_22B_BS_PR">'[21]Road data'!$K$225</definedName>
    <definedName name="R_G3_22B_BS_VR">'[21]Road data'!$K$331</definedName>
    <definedName name="R_G3_45B_BS_PR">'[21]Road data'!$K$278</definedName>
    <definedName name="R_G3_45B_BS_VR">'[21]Road data'!$K$384</definedName>
    <definedName name="R_GROUT_REV">'[21]Road data'!$K$1367</definedName>
    <definedName name="R_GS">'[21]Road data'!$K$716</definedName>
    <definedName name="R_GSB">'[21]Road data'!$K$133</definedName>
    <definedName name="R_HP_1000">'[21]Road data'!$K$1014</definedName>
    <definedName name="R_HP_600">'[21]Road data'!$K$980</definedName>
    <definedName name="R_HP_800">'[21]Road data'!$K$997</definedName>
    <definedName name="R_HYSD_FOUND">'[21]Road data'!$K$1473</definedName>
    <definedName name="R_HYSD_SUB">'[21]Road data'!$K$1454</definedName>
    <definedName name="R_HYSD_SUPER">'[21]Road data'!$K$1435</definedName>
    <definedName name="R_M15_DIVIDERS">'[21]Road data'!$K$1538</definedName>
    <definedName name="R_M15_FOUND">'[21]Road data'!$K$1107</definedName>
    <definedName name="R_M15_LEVEL">'[21]Road data'!$K$1328</definedName>
    <definedName name="R_M15_SUB">'[21]Road data'!$K$1136</definedName>
    <definedName name="R_M20R_BEDBLOCKS">'[21]Road data'!$K$1164</definedName>
    <definedName name="R_M20R_COVER_SLAB">'[21]Road data'!$K$1566</definedName>
    <definedName name="R_M20R_DECK">'[21]Road data'!$K$1192</definedName>
    <definedName name="R_M20R_RAIL">'[21]Road data'!$K$1301</definedName>
    <definedName name="R_M25R_APP">'[21]Road data'!$K$1249</definedName>
    <definedName name="R_M30R_WC">'[21]Road data'!$K$1220</definedName>
    <definedName name="R_M35_CCP">'[21]Road data'!$K$797</definedName>
    <definedName name="R_M35_FLY_CCP">'[21]Road data'!$K$859</definedName>
    <definedName name="R_MILD">'[21]Road data'!$K$1492</definedName>
    <definedName name="R_MSS">'[21]Road data'!$K$525</definedName>
    <definedName name="R_PAINT">'[21]Road data'!$K$1616</definedName>
    <definedName name="R_PLAST">'[21]Road data'!$K$1585</definedName>
    <definedName name="R_REV300">'[21]Road data'!$K$1057</definedName>
    <definedName name="R_SANDFILL">'[21]Road data'!$K$1509</definedName>
    <definedName name="R_SCAR_BT">'[21]Road data'!$K$172</definedName>
    <definedName name="R_SCAR_GRA">'[21]Road data'!$K$151</definedName>
    <definedName name="R_SCSD">'[21]Road data'!#REF!</definedName>
    <definedName name="R_SCSD_6070">'[21]Road data'!$K$473</definedName>
    <definedName name="R_SCSD_80100">'[21]Road data'!$K$444</definedName>
    <definedName name="R_SDBC">'[21]Road data'!$K$560</definedName>
    <definedName name="R_TACK">'[21]Road data'!$K$496</definedName>
    <definedName name="R_WMM">'[21]Road data'!$K$415</definedName>
    <definedName name="raju">#REF!</definedName>
    <definedName name="ran">#REF!</definedName>
    <definedName name="ravi">#REF!</definedName>
    <definedName name="RBW">#REF!</definedName>
    <definedName name="RLCH">#REF!</definedName>
    <definedName name="ROUGH">[2]MRATES!$G$11</definedName>
    <definedName name="s">#REF!</definedName>
    <definedName name="SAL">[6]DATA!$F$88</definedName>
    <definedName name="sample">#REF!</definedName>
    <definedName name="SAND_D">[2]MRATES!$K$32</definedName>
    <definedName name="SD">[11]m!$D$149</definedName>
    <definedName name="SerialOrder">#REF!</definedName>
    <definedName name="SeriesOrder" localSheetId="2">OFFSET(#REF!,0,0,COUNTA(#REF!)-COUNTBLANK(#REF!),1)</definedName>
    <definedName name="SGGRAVEL">[2]MRATES!$H$34</definedName>
    <definedName name="SGMETAL">[2]MRATES!$H$30</definedName>
    <definedName name="SGSAND">[2]MRATES!$H$32</definedName>
    <definedName name="sh">#REF!</definedName>
    <definedName name="sheet">[16]data!#REF!</definedName>
    <definedName name="SHOULDERS">[7]abs!#REF!</definedName>
    <definedName name="SLAB">'[9]UT Without Drop'!$B$248:$K$349</definedName>
    <definedName name="SLOAD">[2]MRATES!$AD$10</definedName>
    <definedName name="SMAZDOOR">'[12]mroad data'!#REF!</definedName>
    <definedName name="SortOrder" localSheetId="5">#REF!</definedName>
    <definedName name="SortOrder" localSheetId="2">#REF!</definedName>
    <definedName name="SortOrder">#REF!</definedName>
    <definedName name="SPD">#REF!</definedName>
    <definedName name="SPREADING_40MM">[7]abs!#REF!</definedName>
    <definedName name="SPREADING_65MM">[7]abs!#REF!</definedName>
    <definedName name="srrr">#REF!</definedName>
    <definedName name="ss">'[9]UT Without Drop'!$H$77</definedName>
    <definedName name="SSB">#REF!</definedName>
    <definedName name="SSC">#REF!</definedName>
    <definedName name="SSR">#REF!</definedName>
    <definedName name="sss">#REF!</definedName>
    <definedName name="SSTACK">[2]MRATES!$AD$12</definedName>
    <definedName name="STL">[6]DATA!$F$90</definedName>
    <definedName name="StreamDS">[20]Note!$D$22</definedName>
    <definedName name="StreamUS">[20]Note!$D$23</definedName>
    <definedName name="SUNLOAD">[2]MRATES!$AD$11</definedName>
    <definedName name="three" localSheetId="1">#REF!</definedName>
    <definedName name="TIME">#REF!</definedName>
    <definedName name="TOPDOME">'[8]DATA-ABSTRACT'!$A$11:$B$13</definedName>
    <definedName name="Total">#REF!</definedName>
    <definedName name="TOTAL_PROJECT_COST">#REF!</definedName>
    <definedName name="TREE">[7]abs!#REF!</definedName>
    <definedName name="twc">#REF!</definedName>
    <definedName name="two" localSheetId="1">#REF!</definedName>
    <definedName name="USMFL">#REF!</definedName>
    <definedName name="v">#REF!</definedName>
    <definedName name="VAT">[1]MRATES!$C$37</definedName>
    <definedName name="veena">#REF!</definedName>
    <definedName name="WACL">[6]DATA!$F$91</definedName>
    <definedName name="WAEL">[6]DATA!$F$92</definedName>
    <definedName name="Wet">#REF!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 i="8" l="1"/>
  <c r="F536" i="6" l="1"/>
  <c r="F537" i="6" s="1"/>
  <c r="H523" i="6"/>
  <c r="H524" i="6"/>
  <c r="H525" i="6"/>
  <c r="H526" i="6"/>
  <c r="H527" i="6"/>
  <c r="H528" i="6"/>
  <c r="H529" i="6"/>
  <c r="H530" i="6"/>
  <c r="H531" i="6"/>
  <c r="H532" i="6"/>
  <c r="H533" i="6"/>
  <c r="H522" i="6"/>
  <c r="F501" i="6"/>
  <c r="H501" i="6" s="1"/>
  <c r="F502" i="6"/>
  <c r="H502" i="6"/>
  <c r="H512" i="6"/>
  <c r="H513" i="6"/>
  <c r="H514" i="6"/>
  <c r="H515" i="6"/>
  <c r="H516" i="6"/>
  <c r="H511" i="6"/>
  <c r="H517" i="6" s="1"/>
  <c r="H541" i="6" s="1"/>
  <c r="H498" i="6"/>
  <c r="H499" i="6"/>
  <c r="H500" i="6"/>
  <c r="H503" i="6"/>
  <c r="H504" i="6"/>
  <c r="H505" i="6"/>
  <c r="H497" i="6"/>
  <c r="H56" i="6"/>
  <c r="H57" i="6"/>
  <c r="H58" i="6"/>
  <c r="H61" i="6"/>
  <c r="H62" i="6"/>
  <c r="I56" i="5"/>
  <c r="I57" i="5" s="1"/>
  <c r="F15" i="7" s="1"/>
  <c r="I51" i="5"/>
  <c r="I50" i="5"/>
  <c r="I49" i="5"/>
  <c r="I48" i="5"/>
  <c r="I43" i="5"/>
  <c r="I42" i="5"/>
  <c r="I34" i="5"/>
  <c r="I33" i="5"/>
  <c r="I32" i="5"/>
  <c r="I27" i="5"/>
  <c r="I26" i="5"/>
  <c r="I21" i="5"/>
  <c r="I20" i="5"/>
  <c r="I19" i="5"/>
  <c r="I18" i="5"/>
  <c r="I13" i="5"/>
  <c r="I12" i="5"/>
  <c r="I11" i="5"/>
  <c r="I10" i="5"/>
  <c r="I9" i="5"/>
  <c r="M12" i="8"/>
  <c r="L12" i="8"/>
  <c r="P12" i="8" s="1"/>
  <c r="Q12" i="8" s="1"/>
  <c r="J12" i="8"/>
  <c r="H534" i="6" l="1"/>
  <c r="H542" i="6" s="1"/>
  <c r="N15" i="7"/>
  <c r="L15" i="7"/>
  <c r="J15" i="7"/>
  <c r="I28" i="5"/>
  <c r="H506" i="6"/>
  <c r="H540" i="6" s="1"/>
  <c r="H543" i="6" s="1"/>
  <c r="H544" i="6" s="1"/>
  <c r="H545" i="6" s="1"/>
  <c r="H546" i="6" s="1"/>
  <c r="I14" i="5"/>
  <c r="D7" i="4" s="1"/>
  <c r="I52" i="5"/>
  <c r="I35" i="5"/>
  <c r="I44" i="5"/>
  <c r="I22" i="5"/>
  <c r="F10" i="7" l="1"/>
  <c r="N10" i="7" s="1"/>
  <c r="D8" i="4"/>
  <c r="D13" i="4"/>
  <c r="F14" i="7"/>
  <c r="N14" i="7" s="1"/>
  <c r="D10" i="4"/>
  <c r="F12" i="7"/>
  <c r="N12" i="7" s="1"/>
  <c r="F13" i="7"/>
  <c r="N13" i="7" s="1"/>
  <c r="D12" i="4"/>
  <c r="D9" i="4"/>
  <c r="F11" i="7"/>
  <c r="N11" i="7" s="1"/>
  <c r="G549" i="6"/>
  <c r="H549" i="6" s="1"/>
  <c r="G548" i="6"/>
  <c r="H548" i="6" s="1"/>
  <c r="G547" i="6"/>
  <c r="G467" i="6"/>
  <c r="G466" i="6"/>
  <c r="H466" i="6" s="1"/>
  <c r="G465" i="6"/>
  <c r="H446" i="6"/>
  <c r="H447" i="6"/>
  <c r="H448" i="6"/>
  <c r="H449" i="6"/>
  <c r="H450" i="6"/>
  <c r="H440" i="6"/>
  <c r="H441" i="6"/>
  <c r="H442" i="6"/>
  <c r="H443" i="6"/>
  <c r="H414" i="6"/>
  <c r="H415" i="6"/>
  <c r="H416" i="6"/>
  <c r="H419" i="6"/>
  <c r="H420" i="6"/>
  <c r="F417" i="6"/>
  <c r="H417" i="6" s="1"/>
  <c r="F418" i="6"/>
  <c r="H418" i="6" s="1"/>
  <c r="G384" i="6"/>
  <c r="H384" i="6" s="1"/>
  <c r="G383" i="6"/>
  <c r="H383" i="6" s="1"/>
  <c r="G382" i="6"/>
  <c r="H356" i="6"/>
  <c r="H357" i="6"/>
  <c r="H358" i="6"/>
  <c r="H359" i="6"/>
  <c r="H360" i="6"/>
  <c r="H361" i="6"/>
  <c r="H362" i="6"/>
  <c r="H363" i="6"/>
  <c r="H364" i="6"/>
  <c r="H365" i="6"/>
  <c r="H366" i="6"/>
  <c r="H367" i="6"/>
  <c r="H343" i="6"/>
  <c r="H344" i="6"/>
  <c r="H345" i="6"/>
  <c r="H346" i="6"/>
  <c r="H347" i="6"/>
  <c r="H348" i="6"/>
  <c r="H349" i="6"/>
  <c r="H336" i="6"/>
  <c r="H328" i="6"/>
  <c r="H329" i="6"/>
  <c r="H330" i="6"/>
  <c r="H333" i="6"/>
  <c r="H334" i="6"/>
  <c r="F331" i="6"/>
  <c r="H331" i="6" s="1"/>
  <c r="F332" i="6"/>
  <c r="H332" i="6" s="1"/>
  <c r="G272" i="6"/>
  <c r="H272" i="6" s="1"/>
  <c r="G271" i="6"/>
  <c r="H271" i="6" s="1"/>
  <c r="G270" i="6"/>
  <c r="H223" i="6"/>
  <c r="H247" i="6"/>
  <c r="H248" i="6"/>
  <c r="H232" i="6"/>
  <c r="H233" i="6"/>
  <c r="H234" i="6"/>
  <c r="H235" i="6"/>
  <c r="H236" i="6"/>
  <c r="H216" i="6"/>
  <c r="H217" i="6"/>
  <c r="H218" i="6"/>
  <c r="H219" i="6"/>
  <c r="H220" i="6"/>
  <c r="H224" i="6"/>
  <c r="H225" i="6" s="1"/>
  <c r="F221" i="6"/>
  <c r="H221" i="6" s="1"/>
  <c r="F222" i="6"/>
  <c r="H222" i="6" s="1"/>
  <c r="F180" i="6"/>
  <c r="F179" i="6"/>
  <c r="H179" i="6" s="1"/>
  <c r="F178" i="6"/>
  <c r="H159" i="6"/>
  <c r="H160" i="6"/>
  <c r="H161" i="6"/>
  <c r="H162" i="6"/>
  <c r="H163" i="6"/>
  <c r="H164" i="6"/>
  <c r="H165" i="6"/>
  <c r="K131" i="6"/>
  <c r="H127" i="6"/>
  <c r="H128" i="6"/>
  <c r="H131" i="6"/>
  <c r="H132" i="6"/>
  <c r="F129" i="6"/>
  <c r="H129" i="6" s="1"/>
  <c r="F130" i="6"/>
  <c r="H130" i="6" s="1"/>
  <c r="F108" i="6"/>
  <c r="F107" i="6"/>
  <c r="H107" i="6" s="1"/>
  <c r="F106" i="6"/>
  <c r="P8" i="8"/>
  <c r="Q8" i="8" s="1"/>
  <c r="O10" i="8"/>
  <c r="O11" i="8" s="1"/>
  <c r="M10" i="8"/>
  <c r="M11" i="8" s="1"/>
  <c r="L10" i="8"/>
  <c r="L11" i="8" s="1"/>
  <c r="K10" i="8"/>
  <c r="K11" i="8" s="1"/>
  <c r="J10" i="8"/>
  <c r="J11" i="8" s="1"/>
  <c r="I10" i="8"/>
  <c r="P9" i="8"/>
  <c r="Q9" i="8" s="1"/>
  <c r="P7" i="8"/>
  <c r="Q7" i="8" s="1"/>
  <c r="H91" i="6"/>
  <c r="H92" i="6"/>
  <c r="H93" i="6"/>
  <c r="H94" i="6" s="1"/>
  <c r="H89" i="6"/>
  <c r="H90" i="6"/>
  <c r="H88" i="6"/>
  <c r="F59" i="6"/>
  <c r="H59" i="6" s="1"/>
  <c r="F60" i="6"/>
  <c r="H60" i="6" s="1"/>
  <c r="N16" i="7" l="1"/>
  <c r="N18" i="7" s="1"/>
  <c r="P11" i="8"/>
  <c r="Q11" i="8" s="1"/>
  <c r="P10" i="8"/>
  <c r="Q10" i="8" s="1"/>
  <c r="A2" i="11"/>
  <c r="J26" i="9"/>
  <c r="G26" i="9"/>
  <c r="F26" i="9"/>
  <c r="J25" i="9"/>
  <c r="G25" i="9"/>
  <c r="F25" i="9"/>
  <c r="J23" i="9"/>
  <c r="G23" i="9"/>
  <c r="F23" i="9"/>
  <c r="J22" i="9"/>
  <c r="G22" i="9"/>
  <c r="F22" i="9"/>
  <c r="J20" i="9"/>
  <c r="G20" i="9"/>
  <c r="F20" i="9"/>
  <c r="J19" i="9"/>
  <c r="F19" i="9"/>
  <c r="I19" i="9" s="1"/>
  <c r="J17" i="9"/>
  <c r="G17" i="9"/>
  <c r="F17" i="9"/>
  <c r="J16" i="9"/>
  <c r="F16" i="9"/>
  <c r="I16" i="9" s="1"/>
  <c r="J14" i="9"/>
  <c r="G14" i="9"/>
  <c r="F14" i="9"/>
  <c r="J13" i="9"/>
  <c r="F13" i="9"/>
  <c r="I13" i="9" s="1"/>
  <c r="J11" i="9"/>
  <c r="G11" i="9"/>
  <c r="I11" i="9" s="1"/>
  <c r="J10" i="9"/>
  <c r="G10" i="9"/>
  <c r="F10" i="9"/>
  <c r="J9" i="9"/>
  <c r="G9" i="9"/>
  <c r="F9" i="9"/>
  <c r="J8" i="9"/>
  <c r="G8" i="9"/>
  <c r="F8" i="9"/>
  <c r="J7" i="9"/>
  <c r="G7" i="9"/>
  <c r="F7" i="9"/>
  <c r="J6" i="9"/>
  <c r="G6" i="9"/>
  <c r="F6" i="9"/>
  <c r="R7" i="8"/>
  <c r="S7" i="8" s="1"/>
  <c r="H270" i="6"/>
  <c r="H18" i="7"/>
  <c r="H547" i="6"/>
  <c r="H550" i="6" s="1"/>
  <c r="H465" i="6"/>
  <c r="H451" i="6"/>
  <c r="H445" i="6"/>
  <c r="H444" i="6"/>
  <c r="H439" i="6"/>
  <c r="H433" i="6"/>
  <c r="H432" i="6"/>
  <c r="H431" i="6"/>
  <c r="H430" i="6"/>
  <c r="H429" i="6"/>
  <c r="H428" i="6"/>
  <c r="H422" i="6"/>
  <c r="H421" i="6"/>
  <c r="J414" i="6"/>
  <c r="I414" i="6"/>
  <c r="J413" i="6"/>
  <c r="I413" i="6"/>
  <c r="H413" i="6"/>
  <c r="H368" i="6"/>
  <c r="H355" i="6"/>
  <c r="H342" i="6"/>
  <c r="H335" i="6"/>
  <c r="J328" i="6"/>
  <c r="I328" i="6"/>
  <c r="J327" i="6"/>
  <c r="I327" i="6"/>
  <c r="H327" i="6"/>
  <c r="H302" i="6"/>
  <c r="H301" i="6"/>
  <c r="H300" i="6"/>
  <c r="H287" i="6"/>
  <c r="H286" i="6"/>
  <c r="H285" i="6"/>
  <c r="H255" i="6"/>
  <c r="H256" i="6" s="1"/>
  <c r="H254" i="6"/>
  <c r="H253" i="6"/>
  <c r="H252" i="6"/>
  <c r="H251" i="6"/>
  <c r="H250" i="6"/>
  <c r="H249" i="6"/>
  <c r="H246" i="6"/>
  <c r="H245" i="6"/>
  <c r="H244" i="6"/>
  <c r="H243" i="6"/>
  <c r="H242" i="6"/>
  <c r="H231" i="6"/>
  <c r="J216" i="6"/>
  <c r="I216" i="6"/>
  <c r="J215" i="6"/>
  <c r="I215" i="6"/>
  <c r="H215" i="6"/>
  <c r="H226" i="6" s="1"/>
  <c r="H263" i="6" s="1"/>
  <c r="E180" i="6"/>
  <c r="H178" i="6"/>
  <c r="H166" i="6"/>
  <c r="H158" i="6"/>
  <c r="H157" i="6"/>
  <c r="H156" i="6"/>
  <c r="H155" i="6"/>
  <c r="H154" i="6"/>
  <c r="H153" i="6"/>
  <c r="H147" i="6"/>
  <c r="H146" i="6"/>
  <c r="H145" i="6"/>
  <c r="H144" i="6"/>
  <c r="H143" i="6"/>
  <c r="H142" i="6"/>
  <c r="H141" i="6"/>
  <c r="H140" i="6"/>
  <c r="H134" i="6"/>
  <c r="H126" i="6"/>
  <c r="H125" i="6"/>
  <c r="J124" i="6"/>
  <c r="I124" i="6"/>
  <c r="H124" i="6"/>
  <c r="K129" i="6" s="1"/>
  <c r="J123" i="6"/>
  <c r="I123" i="6"/>
  <c r="E108" i="6"/>
  <c r="H106" i="6"/>
  <c r="H86" i="6"/>
  <c r="H85" i="6"/>
  <c r="H84" i="6"/>
  <c r="H83" i="6"/>
  <c r="H82" i="6"/>
  <c r="H81" i="6"/>
  <c r="H76" i="6"/>
  <c r="H75" i="6"/>
  <c r="H74" i="6"/>
  <c r="H73" i="6"/>
  <c r="H72" i="6"/>
  <c r="H71" i="6"/>
  <c r="H70" i="6"/>
  <c r="H69" i="6"/>
  <c r="H64" i="6"/>
  <c r="H63" i="6"/>
  <c r="J55" i="6"/>
  <c r="I55" i="6"/>
  <c r="H55" i="6"/>
  <c r="J54" i="6"/>
  <c r="I54" i="6"/>
  <c r="H54" i="6"/>
  <c r="H26" i="6"/>
  <c r="H25" i="6"/>
  <c r="H24" i="6"/>
  <c r="H18" i="6"/>
  <c r="H17" i="6"/>
  <c r="A3" i="4"/>
  <c r="D14" i="4"/>
  <c r="K11" i="9" l="1"/>
  <c r="A2" i="7"/>
  <c r="A2" i="3"/>
  <c r="I23" i="9"/>
  <c r="K23" i="9" s="1"/>
  <c r="I8" i="9"/>
  <c r="K8" i="9" s="1"/>
  <c r="I7" i="9"/>
  <c r="K7" i="9" s="1"/>
  <c r="I6" i="9"/>
  <c r="K6" i="9" s="1"/>
  <c r="K13" i="9"/>
  <c r="I26" i="9"/>
  <c r="K26" i="9" s="1"/>
  <c r="I14" i="9"/>
  <c r="K14" i="9" s="1"/>
  <c r="I22" i="9"/>
  <c r="K22" i="9" s="1"/>
  <c r="K16" i="9"/>
  <c r="I25" i="9"/>
  <c r="K25" i="9" s="1"/>
  <c r="I9" i="9"/>
  <c r="K9" i="9" s="1"/>
  <c r="I17" i="9"/>
  <c r="K17" i="9" s="1"/>
  <c r="C33" i="9" s="1"/>
  <c r="I10" i="9"/>
  <c r="K10" i="9" s="1"/>
  <c r="C34" i="9" s="1"/>
  <c r="K19" i="9"/>
  <c r="I20" i="9"/>
  <c r="K20" i="9" s="1"/>
  <c r="C13" i="11"/>
  <c r="C22" i="11" s="1"/>
  <c r="G22" i="11" s="1"/>
  <c r="H65" i="6"/>
  <c r="H99" i="6" s="1"/>
  <c r="H95" i="6"/>
  <c r="H101" i="6" s="1"/>
  <c r="J56" i="6"/>
  <c r="H467" i="6"/>
  <c r="H468" i="6" s="1"/>
  <c r="H469" i="6" s="1"/>
  <c r="E13" i="4" s="1"/>
  <c r="G13" i="4" s="1"/>
  <c r="H303" i="6"/>
  <c r="H310" i="6" s="1"/>
  <c r="H337" i="6"/>
  <c r="H375" i="6" s="1"/>
  <c r="I329" i="6"/>
  <c r="I125" i="6"/>
  <c r="H288" i="6"/>
  <c r="H308" i="6" s="1"/>
  <c r="I56" i="6"/>
  <c r="H423" i="6"/>
  <c r="H458" i="6" s="1"/>
  <c r="H108" i="6"/>
  <c r="J125" i="6"/>
  <c r="I126" i="6" s="1"/>
  <c r="J329" i="6"/>
  <c r="J217" i="6"/>
  <c r="J415" i="6"/>
  <c r="H77" i="6"/>
  <c r="H100" i="6" s="1"/>
  <c r="H27" i="6"/>
  <c r="F28" i="6" s="1"/>
  <c r="H237" i="6"/>
  <c r="H264" i="6" s="1"/>
  <c r="H180" i="6"/>
  <c r="H434" i="6"/>
  <c r="H459" i="6" s="1"/>
  <c r="I217" i="6"/>
  <c r="I415" i="6"/>
  <c r="H257" i="6"/>
  <c r="H265" i="6" s="1"/>
  <c r="H452" i="6"/>
  <c r="F453" i="6" s="1"/>
  <c r="H19" i="6"/>
  <c r="H34" i="6" s="1"/>
  <c r="H350" i="6"/>
  <c r="H376" i="6" s="1"/>
  <c r="H135" i="6"/>
  <c r="H148" i="6"/>
  <c r="H172" i="6" s="1"/>
  <c r="C12" i="11"/>
  <c r="C36" i="9"/>
  <c r="C8" i="11"/>
  <c r="H167" i="6"/>
  <c r="H369" i="6"/>
  <c r="L12" i="7"/>
  <c r="J12" i="7"/>
  <c r="J13" i="7"/>
  <c r="L13" i="7"/>
  <c r="H382" i="6"/>
  <c r="C10" i="11"/>
  <c r="C11" i="11"/>
  <c r="G13" i="11" l="1"/>
  <c r="P17" i="9"/>
  <c r="P16" i="9"/>
  <c r="K28" i="9"/>
  <c r="C35" i="9"/>
  <c r="C37" i="9" s="1"/>
  <c r="F96" i="6"/>
  <c r="F97" i="6" s="1"/>
  <c r="F98" i="6" s="1"/>
  <c r="H311" i="6"/>
  <c r="H312" i="6" s="1"/>
  <c r="H313" i="6" s="1"/>
  <c r="H314" i="6" s="1"/>
  <c r="E11" i="4" s="1"/>
  <c r="I57" i="6"/>
  <c r="H171" i="6"/>
  <c r="K130" i="6"/>
  <c r="H102" i="6"/>
  <c r="H103" i="6" s="1"/>
  <c r="H104" i="6" s="1"/>
  <c r="H105" i="6" s="1"/>
  <c r="H109" i="6" s="1"/>
  <c r="H110" i="6" s="1"/>
  <c r="E8" i="4" s="1"/>
  <c r="G8" i="4" s="1"/>
  <c r="F304" i="6"/>
  <c r="F305" i="6" s="1"/>
  <c r="F306" i="6" s="1"/>
  <c r="I218" i="6"/>
  <c r="I330" i="6"/>
  <c r="I416" i="6"/>
  <c r="H266" i="6"/>
  <c r="H267" i="6" s="1"/>
  <c r="H268" i="6" s="1"/>
  <c r="H269" i="6" s="1"/>
  <c r="H273" i="6" s="1"/>
  <c r="H274" i="6" s="1"/>
  <c r="E10" i="4" s="1"/>
  <c r="G10" i="4" s="1"/>
  <c r="H35" i="6"/>
  <c r="H36" i="6" s="1"/>
  <c r="H37" i="6" s="1"/>
  <c r="H38" i="6" s="1"/>
  <c r="H39" i="6" s="1"/>
  <c r="H40" i="6" s="1"/>
  <c r="E7" i="4" s="1"/>
  <c r="G7" i="4" s="1"/>
  <c r="F258" i="6"/>
  <c r="F259" i="6" s="1"/>
  <c r="F260" i="6" s="1"/>
  <c r="H460" i="6"/>
  <c r="H461" i="6" s="1"/>
  <c r="C9" i="11"/>
  <c r="C18" i="11" s="1"/>
  <c r="G18" i="11" s="1"/>
  <c r="L11" i="7"/>
  <c r="J11" i="7"/>
  <c r="G10" i="11"/>
  <c r="C19" i="11"/>
  <c r="G19" i="11" s="1"/>
  <c r="F29" i="6"/>
  <c r="F30" i="6" s="1"/>
  <c r="L10" i="7"/>
  <c r="J10" i="7"/>
  <c r="J16" i="7" s="1"/>
  <c r="F454" i="6"/>
  <c r="F455" i="6" s="1"/>
  <c r="G8" i="11"/>
  <c r="C17" i="11"/>
  <c r="G17" i="11" s="1"/>
  <c r="H377" i="6"/>
  <c r="H378" i="6" s="1"/>
  <c r="F370" i="6"/>
  <c r="L14" i="7"/>
  <c r="J14" i="7"/>
  <c r="H173" i="6"/>
  <c r="F168" i="6"/>
  <c r="G12" i="11"/>
  <c r="C21" i="11"/>
  <c r="G21" i="11" s="1"/>
  <c r="G11" i="11"/>
  <c r="C20" i="11"/>
  <c r="G20" i="11" s="1"/>
  <c r="L16" i="7" l="1"/>
  <c r="L18" i="7" s="1"/>
  <c r="K29" i="9"/>
  <c r="I38" i="5" s="1"/>
  <c r="D11" i="4" s="1"/>
  <c r="G11" i="4" s="1"/>
  <c r="H462" i="6"/>
  <c r="H463" i="6" s="1"/>
  <c r="G9" i="11"/>
  <c r="H174" i="6"/>
  <c r="H175" i="6" s="1"/>
  <c r="H176" i="6" s="1"/>
  <c r="H177" i="6" s="1"/>
  <c r="H181" i="6" s="1"/>
  <c r="H182" i="6" s="1"/>
  <c r="E9" i="4" s="1"/>
  <c r="G9" i="4" s="1"/>
  <c r="F169" i="6"/>
  <c r="F170" i="6" s="1"/>
  <c r="H379" i="6"/>
  <c r="H380" i="6" s="1"/>
  <c r="H381" i="6" s="1"/>
  <c r="H385" i="6" s="1"/>
  <c r="H386" i="6" s="1"/>
  <c r="E12" i="4" s="1"/>
  <c r="G12" i="4" s="1"/>
  <c r="G23" i="11"/>
  <c r="G14" i="11"/>
  <c r="F371" i="6"/>
  <c r="F372" i="6" s="1"/>
  <c r="J18" i="7"/>
  <c r="H24" i="7" s="1"/>
  <c r="C13" i="3" s="1"/>
  <c r="H551" i="6"/>
  <c r="E14" i="4" s="1"/>
  <c r="G14" i="4" s="1"/>
  <c r="G15" i="4" l="1"/>
  <c r="H19" i="7"/>
  <c r="H21" i="7" l="1"/>
  <c r="H20" i="7"/>
  <c r="C12" i="3" s="1"/>
  <c r="C10" i="3"/>
  <c r="C5" i="3"/>
  <c r="C6" i="3" s="1"/>
  <c r="C11" i="3" l="1"/>
  <c r="C9" i="3"/>
  <c r="C8" i="3"/>
  <c r="H22" i="7"/>
  <c r="H23" i="7" s="1"/>
  <c r="C14" i="3" l="1"/>
  <c r="C15" i="3" s="1"/>
  <c r="C16" i="3" l="1"/>
  <c r="C17" i="3" s="1"/>
  <c r="C18" i="3" s="1"/>
  <c r="G18" i="12" s="1"/>
</calcChain>
</file>

<file path=xl/sharedStrings.xml><?xml version="1.0" encoding="utf-8"?>
<sst xmlns="http://schemas.openxmlformats.org/spreadsheetml/2006/main" count="1503" uniqueCount="495">
  <si>
    <t>s</t>
  </si>
  <si>
    <t>Name of the Project /Scheme/Work</t>
  </si>
  <si>
    <t>:</t>
  </si>
  <si>
    <t>--</t>
  </si>
  <si>
    <t>i)</t>
  </si>
  <si>
    <t>-</t>
  </si>
  <si>
    <t>GENERAL ABSTRACT</t>
  </si>
  <si>
    <t>DESCRIPTION OF WORK</t>
  </si>
  <si>
    <t>Total ECV Amount</t>
  </si>
  <si>
    <t>Total Rs.</t>
  </si>
  <si>
    <t>Part B</t>
  </si>
  <si>
    <t>Sub Total</t>
  </si>
  <si>
    <t>Rounding off and unforseen expenditure</t>
  </si>
  <si>
    <t xml:space="preserve"> Total Rs.</t>
  </si>
  <si>
    <t>ABSTRACT</t>
  </si>
  <si>
    <t>Sl.No.</t>
  </si>
  <si>
    <t>Description of Item</t>
  </si>
  <si>
    <t>Qty</t>
  </si>
  <si>
    <t>Rate</t>
  </si>
  <si>
    <t>Amount</t>
  </si>
  <si>
    <t>IRR-CCDW-1-2</t>
  </si>
  <si>
    <t>Earth work in excavation in all kinds of soils of foundation of structures as per drawing and technical specification, including setting out, shoring and bracing, dressing of sides and bottom and backfilling with approved material.</t>
  </si>
  <si>
    <t>Cum</t>
  </si>
  <si>
    <t>IRR-CCDW-2-3</t>
  </si>
  <si>
    <t>Providing and laying insitu vibrated M-15 grade cement concrete using 40 mm down size graded aggregates for foundation filling, complete with initial lead upto 50 m and all lifts.</t>
  </si>
  <si>
    <t>IRR-CCDW-2-9</t>
  </si>
  <si>
    <t>Providing and laying insitu vibrated M-15 grade cement concrete using 20 mm down size graded aggregates for bed apron &amp; canal lining, complete with initial lead upto 50 m and all lifts.</t>
  </si>
  <si>
    <t>IRR-CCDW-2-22</t>
  </si>
  <si>
    <t>Providing and laying insitu vibrated M-15 grade cement concrete using 40 mm down size graded aggregates with placing and sinking plums upto 15 percent for abutments, wing &amp; return walls, complete.</t>
  </si>
  <si>
    <t>IRR-CCDW-2-1</t>
  </si>
  <si>
    <t>Providing, fabricating and placing in position reinforcement steel bars for RCC works including cleaning, straightening, cutting, bending, lapping, tying etc., complete (as per BBS).</t>
  </si>
  <si>
    <t>kg</t>
  </si>
  <si>
    <t>IRR-CCDW-2-10</t>
  </si>
  <si>
    <t>M-20 data rate - replace with M-25</t>
  </si>
  <si>
    <t>IRR-CCDW-2-25</t>
  </si>
  <si>
    <t>ECV</t>
  </si>
  <si>
    <t>or say</t>
  </si>
  <si>
    <t>Dy.Executive Engineer</t>
  </si>
  <si>
    <t>Executive Engineer</t>
  </si>
  <si>
    <t>Miryalaguda</t>
  </si>
  <si>
    <t>Detailed Estimate</t>
  </si>
  <si>
    <t>No</t>
  </si>
  <si>
    <t>Earth work in excavation in all kinds of soils  of foundation of  structures as per drawing and technical specification, including setting out, construction of shoring and bracing, removal of stumps and other deleterious matter, dressing  of sides and bottom and backfilling with approved material.</t>
  </si>
  <si>
    <t>S.L.R.B. @ Km 5.506</t>
  </si>
  <si>
    <t>For abutments</t>
  </si>
  <si>
    <t>x</t>
  </si>
  <si>
    <t>for wing walls</t>
  </si>
  <si>
    <t>for return walls</t>
  </si>
  <si>
    <t>bed &amp; slope trimming for apron / lining</t>
  </si>
  <si>
    <t>Total</t>
  </si>
  <si>
    <t>Providing and laying insitu vibrated M-15 ( 28 days cube compressive strength not less than15 N / sq mm ) grade cement concrete using 40 mm down size approved, clean, hard, gradedaggregates for foundation filling including cost of all materials, machinery, labour, formwork,cleaning, batching, mixing, placing in position, levelling, vibrating, finishing, curing etc.complete  with initial lead upto 50 m and all lifts. (Cement content: 260 kg / cum with use of super  plasticiser(0.4% by wt. of cement), CA : 0.90cum, Blending Ratio of CA--50:30:20, FA : 0.40 cum)</t>
  </si>
  <si>
    <t>For abutment foundation</t>
  </si>
  <si>
    <t>for shear keys under wing &amp; return walls</t>
  </si>
  <si>
    <t>Bed apron in between abutments (150 thk)</t>
  </si>
  <si>
    <t>CC lining bed &amp; slopes u/s &amp; d/s 15 m each (100 thk)</t>
  </si>
  <si>
    <t xml:space="preserve">Providing and laying insitu vibrated M-15 ( 28 days cube compressive strength not less than15 N / sq mm ) grade cement concrete using 40 mm down size approved, clean, hard, gradedaggregates with placing and sinking plums of size 150 to 80 mm upto 15 percent for gravitytype retaining walls / piers / abutments etc., including cost of all materials, machinery,labour, formwork, scaffolding, cleaning, batching, mixing, placing in position, levelling, vibrating,finishing, curing etc.,complete with initial lead upto 50 m and all lifts. </t>
  </si>
  <si>
    <t>For abutments (1.00+2.00)/2</t>
  </si>
  <si>
    <t>for wing walls (0.60+2.20)/2</t>
  </si>
  <si>
    <t>for return walls (0.60+2.20)/2</t>
  </si>
  <si>
    <t>Providing, fabricating and placing in position reinforcement steel bars for RCC works including
cleaning, straightening, cutting, bending, hooking, lapping, welding wherever required,tying with
1.25 mm dia soft annealed steel wire, including cost of all materials, machinery, labour etc.,
complete with initial lead upto 50 and all lifts.</t>
  </si>
  <si>
    <t>Qty sheet enclosed (Bar Bending Schedule)</t>
  </si>
  <si>
    <t>kgs</t>
  </si>
  <si>
    <t>for bed blocks on abutments</t>
  </si>
  <si>
    <t>for dirt walls</t>
  </si>
  <si>
    <t>for deck slab</t>
  </si>
  <si>
    <t>for kerb walls</t>
  </si>
  <si>
    <t>for RCC Parapet wall (200x900)</t>
  </si>
  <si>
    <t>for approach slab</t>
  </si>
  <si>
    <t>wearing coat over carriageway</t>
  </si>
  <si>
    <t>Assistant Executive Engineer</t>
  </si>
  <si>
    <t>Irr.Sub-Division No.3,Miryalaguda</t>
  </si>
  <si>
    <t>Irr.Division No.3,Miryalaguda</t>
  </si>
  <si>
    <t>Unit = cum</t>
  </si>
  <si>
    <t>Unit</t>
  </si>
  <si>
    <t>cum</t>
  </si>
  <si>
    <t>DATA:</t>
  </si>
  <si>
    <t>RATE ANALYSIS</t>
  </si>
  <si>
    <t xml:space="preserve">Depth upto 3 m </t>
  </si>
  <si>
    <t>Taking output = 240 cum</t>
  </si>
  <si>
    <t>A. Materials:</t>
  </si>
  <si>
    <t>Sl No</t>
  </si>
  <si>
    <t>Description</t>
  </si>
  <si>
    <t>Quantity</t>
  </si>
  <si>
    <t>in Rs.</t>
  </si>
  <si>
    <t>NIL</t>
  </si>
  <si>
    <t>B. Machinery:</t>
  </si>
  <si>
    <t xml:space="preserve">Hydraulic excavator 1.0 cum bucket capacity </t>
  </si>
  <si>
    <t>hour</t>
  </si>
  <si>
    <t>Fuel/ Energy charges</t>
  </si>
  <si>
    <t>Total in Rs.</t>
  </si>
  <si>
    <t>C. Labour:</t>
  </si>
  <si>
    <t>work inspector</t>
  </si>
  <si>
    <t>day</t>
  </si>
  <si>
    <t>Mazdoor</t>
  </si>
  <si>
    <t>crew for excavator</t>
  </si>
  <si>
    <t>labour component/unit qty</t>
  </si>
  <si>
    <t>Add contractor's profit and overhead charges</t>
  </si>
  <si>
    <t>labour component/unit qty (including contractor's profit)</t>
  </si>
  <si>
    <t>Abstract</t>
  </si>
  <si>
    <t>a) Material</t>
  </si>
  <si>
    <t>Rs</t>
  </si>
  <si>
    <t>b) Machinery</t>
  </si>
  <si>
    <t>c) Labour</t>
  </si>
  <si>
    <t xml:space="preserve">Total </t>
  </si>
  <si>
    <t>D. Add for contractor's profit and overheads on (A+B+C)</t>
  </si>
  <si>
    <t>Rs:</t>
  </si>
  <si>
    <t>Total cost for</t>
  </si>
  <si>
    <t>Rate per</t>
  </si>
  <si>
    <t>(A+B+C+D)/240.0</t>
  </si>
  <si>
    <t>Rs.</t>
  </si>
  <si>
    <t>say</t>
  </si>
  <si>
    <t>UNIT :</t>
  </si>
  <si>
    <t>A. MATERIALS:</t>
  </si>
  <si>
    <t>Particulars</t>
  </si>
  <si>
    <t>Cement for mix</t>
  </si>
  <si>
    <t>Cement for incidentals @ 3 kg / cum</t>
  </si>
  <si>
    <t>Coarse aggregate 40-20 mm</t>
  </si>
  <si>
    <t>Coarse aggregate 20-10 mm</t>
  </si>
  <si>
    <t>Coarse aggregate 10 mm below</t>
  </si>
  <si>
    <t>Fine aggregate (Un-Screened)( N sand)</t>
  </si>
  <si>
    <t>Super Plasticizer</t>
  </si>
  <si>
    <t>Use rate of shuttering for 40 uses</t>
  </si>
  <si>
    <t>sqm</t>
  </si>
  <si>
    <t>Scaffolding @  of shuttering</t>
  </si>
  <si>
    <t>Sundries</t>
  </si>
  <si>
    <t>LS</t>
  </si>
  <si>
    <t>Total cost of Materials</t>
  </si>
  <si>
    <t>B. MACHINERY:</t>
  </si>
  <si>
    <t>Concrete mixer 300/200 ltr ( diesel )</t>
  </si>
  <si>
    <t>Hour</t>
  </si>
  <si>
    <t>Fuel / Energy charges</t>
  </si>
  <si>
    <t>5 hp pump ( diesel )</t>
  </si>
  <si>
    <t>Water tanker 8000 ltr</t>
  </si>
  <si>
    <t>Needle vibrator 40 mm dia ( petrol )</t>
  </si>
  <si>
    <t>Total hire charges of Machinery</t>
  </si>
  <si>
    <t>C. LABOUR:</t>
  </si>
  <si>
    <t>Crew for Concrete mixer</t>
  </si>
  <si>
    <t>Crew for Pump</t>
  </si>
  <si>
    <t>Crew for Water tanker</t>
  </si>
  <si>
    <t>Crew for Vibrator</t>
  </si>
  <si>
    <t>Mason Class-I</t>
  </si>
  <si>
    <t>Day</t>
  </si>
  <si>
    <t>mazdoor</t>
  </si>
  <si>
    <t>for batching materials</t>
  </si>
  <si>
    <t>for loading mortar pans</t>
  </si>
  <si>
    <t>for laying</t>
  </si>
  <si>
    <t>for conveying concrete</t>
  </si>
  <si>
    <t>for cleaning/ washing/ curing</t>
  </si>
  <si>
    <t xml:space="preserve">Labour cost for shuttering     </t>
  </si>
  <si>
    <t>labour cost for scafolding</t>
  </si>
  <si>
    <t>Total cost of Labour</t>
  </si>
  <si>
    <t>A. Cost of Materials</t>
  </si>
  <si>
    <t>B. Hire charges of Machinery</t>
  </si>
  <si>
    <t>C. Cost of Labour</t>
  </si>
  <si>
    <t>Total      Rs:</t>
  </si>
  <si>
    <t>(A+B+C+D)/15.38</t>
  </si>
  <si>
    <t>Requirement of materials :</t>
  </si>
  <si>
    <t>cum per day</t>
  </si>
  <si>
    <t>Formwork &amp; scaffolding :</t>
  </si>
  <si>
    <t>Providing and laying insitu vibrated M-15 ( 28 days cube compressive strength not less than15 N / sq mm ) grade cement concrete using 40 mm down size approved, clean, hard, gradedaggregates forSub Structure/Superstructure  including cost of all materials, machinery, labour, formwork,cleaning, batching, mixing, placing in position, levelling, vibrating, finishing, curing etc.complete  with initial lead upto 50 m and all lifts. (Cement content: 280 kg / cum with use of super  plasticiser(0.4% by wt. of cement), CA : 0.90cum, Blending Ratio of CA--50:30:20, FA : 0.40 cum)</t>
  </si>
  <si>
    <t>(A+B+C+D)/15.00</t>
  </si>
  <si>
    <t>Providing and laying insitu vibrated M-15 ( 28 days cube compressive strength not less than15 N / sq mm ) grade cement concrete using 40 mm down size approved, clean, hard, gradedaggregates with placing and sinking plums of size 150 to 80 mm upto 15 percent for gravitytype retaining walls / piers / abutments etc., including cost of all materials, machinery,labour, formwork, scaffolding, cleaning, batching, mixing, placing in position, levelling, vibrating,finishing, curing etc.,complete with initial lead upto 50 m and all lifts. If water is to be brought from other place add only lead charges @ 500 ltr / cum. Cement content: 260 kg / cum with use of super plasticiser(0.4% by wt. of cement),CA : 0.765cum, Blending Ratio of CA--50:30:20, FA : 0.34 cum, 
plums of size 150 to 80 mm : 0.25cum )</t>
  </si>
  <si>
    <t>Note:</t>
  </si>
  <si>
    <t>For 1 cum plum CC :-      Coarse aggregates : 0.765 cum              Blending ratio : 50 :30 : 20</t>
  </si>
  <si>
    <t>Fine aggregate : 0.34 cum         Cement content : 260 kg              Super plasticizer : 1.04 kg</t>
  </si>
  <si>
    <t>Plums of size 150 to 80 mm : 0.25 cum</t>
  </si>
  <si>
    <t xml:space="preserve">Average output of 300/200 ltr mixer : 50 x 10 x 8 / 260                   </t>
  </si>
  <si>
    <t>Shuttering at 2.75 sqm / cum of concrete considered for gravity type walls / piers.</t>
  </si>
  <si>
    <t xml:space="preserve">Use rate of shuttering for 40 uses ( Annexure-A Item-IRR-CCDW-2-3)                         Rs:  </t>
  </si>
  <si>
    <t>/ sqm</t>
  </si>
  <si>
    <t>Cost of scaffolding materials considered @ :                                30 % of shuttering</t>
  </si>
  <si>
    <t xml:space="preserve">Labour for shuttering ( Annexure-B Item-IRR-CCDW-2-3 )                                           Rs:   </t>
  </si>
  <si>
    <t>Labour for erecting &amp; dismantling scaffolding :                              30 % of labour for shuttering</t>
  </si>
  <si>
    <t>Consider 15.38 cum concrete.          Quantity of plum concrete :</t>
  </si>
  <si>
    <t>Labour for concreting :</t>
  </si>
  <si>
    <t>Requirement of labour for concreting same as in item IRR-CCDW-2-3 with average 3 mazdoors extra for lift</t>
  </si>
  <si>
    <t>involved and 2 mazdoors extra for handling plums.</t>
  </si>
  <si>
    <t>Cement for incidentals @ 4 kg / cum</t>
  </si>
  <si>
    <t>Plums of size 150 to 80 mm</t>
  </si>
  <si>
    <t>Fine aggregate (Un-Screened)</t>
  </si>
  <si>
    <t>Needle vibrator 60 mm dia ( petrol )</t>
  </si>
  <si>
    <t>Crew for Needle vibrator</t>
  </si>
  <si>
    <t>for placing plums</t>
  </si>
  <si>
    <t>for conveying plums</t>
  </si>
  <si>
    <t>Labour for shuttering</t>
  </si>
  <si>
    <t xml:space="preserve">Labour for scaffolding @ </t>
  </si>
  <si>
    <t>ABSTRACT:</t>
  </si>
  <si>
    <t>(A+B+C+D)/18.09</t>
  </si>
  <si>
    <t>Total    Rs:</t>
  </si>
  <si>
    <t>Providing, fabricating and placing in position reinforcement steel bars for RCC works including cleaning, straightening, cutting, bending, hooking, lapping, welding wherever required,tying with1.25 mm dia soft annealed steel wire, including cost of all materials, machinery, labour etc.,complete with initial lead upto 50 and all lifts.</t>
  </si>
  <si>
    <t>Rein.Steel with 5 % wastage</t>
  </si>
  <si>
    <t>Binding wire 1.25 mm dia</t>
  </si>
  <si>
    <t>Sundries ( chairs / spacers etc )</t>
  </si>
  <si>
    <t>Nil</t>
  </si>
  <si>
    <t>Bar bender</t>
  </si>
  <si>
    <t>(A+B+C+D)/1000.0</t>
  </si>
  <si>
    <t>Providing and laying insitu vibrated M-20 ( 28 days cube compressive strength not less than20 N / sq mm ) grade cement concrete using 20 mm down size approved, clean, hard, gradedaggregates for sub-structure / super- structure works including cost of all materials,machinery, labour, formwork, scaffolding, cleaning, batching, mixing, placing in position,levelling, vibrating, finishing, curing etc., complete with initial lead upto 50 m and all lifts.(Cement content: 330 kg / cum with use of super plasticiser(0.4% by wt. of cement),CA : 0.80cum, Blending Ratio of CA--65:35, FA : 0.45 cum)</t>
  </si>
  <si>
    <t>Cement for incidentals @ 5 kg / cum</t>
  </si>
  <si>
    <t>Use rate of shuttering</t>
  </si>
  <si>
    <t>Scaffolding @ of shuttering</t>
  </si>
  <si>
    <t>Labour cost for shuttering</t>
  </si>
  <si>
    <t xml:space="preserve">Labour cost for scaffolding @ </t>
  </si>
  <si>
    <t>(A+B+C+D)/15.76</t>
  </si>
  <si>
    <t>total</t>
  </si>
  <si>
    <t>Providing and laying insitu vibrated M-20 ( 28 days cube compressive strength not less than20 N / sq mm ) grade cement concrete using 20 mm down size approved, clean, hard, gradedaggregates for deck slab &amp; kerb including cost of all materials,machinery, labour, formwork,scaffolding, cleaning, batching, mixing, placing in position, levelling, vibrating, finishing, curingetc., complete with initial lead upto 50 m and all lifts.If water is to be brought from other place add only lead charges @ 500 ltr / cum. (Cement content: 330 kg / cum with use of super plasticiser(0.4% by wt. of cement),CA : 0.80cum, Blending Ratio of CA--65:35, FA : 0.45 cum)</t>
  </si>
  <si>
    <t>For 1 cum CC :-      Coarse aggregates : 0.80 cum                       Blending ratio : 65 :35</t>
  </si>
  <si>
    <t>Fine aggregate : 0.45 cum          Cement content : 330 kg            Super plasticizer : 1.32 kg</t>
  </si>
  <si>
    <t xml:space="preserve">Average output of 300/200 ltr mixer : 50 x 13 x 8 / 330                  </t>
  </si>
  <si>
    <t>Shuttering at 2.5 sqm / cum of concrete considered for deck slab and kerb.</t>
  </si>
  <si>
    <t xml:space="preserve">Use rate of shuttering for 30 uses ( Annexure-A Item-IRR-CCDW-2-3 )                      Rs:        </t>
  </si>
  <si>
    <t>Cost of scaffolding materials considered @ :                                250 % of shuttering</t>
  </si>
  <si>
    <t xml:space="preserve">Labour for shuttering ( Annexure-B Item-IRR-CCDW-2-3)                                         Rs:         </t>
  </si>
  <si>
    <t>Labour for erecting &amp; dismantling scaffolding @ :                          250 % of labour for shuttering</t>
  </si>
  <si>
    <t>Requirement of labour for concreting same as in item IRR-CCDW-2-4 with 0.5 mazdoor and 1 mason extra.</t>
  </si>
  <si>
    <t>Use rate of shuttering for 30 uses</t>
  </si>
  <si>
    <t>Rate per cum</t>
  </si>
  <si>
    <t>Seigniorage Calculation</t>
  </si>
  <si>
    <t>S.No</t>
  </si>
  <si>
    <t>Specification in Brief</t>
  </si>
  <si>
    <t>Earth/ Gravel</t>
  </si>
  <si>
    <t>Metal/ Stone</t>
  </si>
  <si>
    <t xml:space="preserve"> NSand</t>
  </si>
  <si>
    <t>M Sand</t>
  </si>
  <si>
    <t>Factor</t>
  </si>
  <si>
    <t>Earth work</t>
  </si>
  <si>
    <t>M-15 (40 mm) foundation  IRR-CCDW-2-3</t>
  </si>
  <si>
    <t>M - 15 (20 mm) apron &amp; lining  IRR-CCDW-2-9</t>
  </si>
  <si>
    <t>M - 15 (40 mm) with plums  IRR-CCDW-2-22</t>
  </si>
  <si>
    <t>Total Quantity</t>
  </si>
  <si>
    <t>Amount Rs</t>
  </si>
  <si>
    <t>Total Rs</t>
  </si>
  <si>
    <t>DMF at 30 % on Seigniorage</t>
  </si>
  <si>
    <t>SMFT at 2 % on Signiorage</t>
  </si>
  <si>
    <t>permit fee 80% on metal</t>
  </si>
  <si>
    <t>Assistant Executive  Engineer</t>
  </si>
  <si>
    <t>Lead statement</t>
  </si>
  <si>
    <t>Sl.
No.</t>
  </si>
  <si>
    <t>Name of Material</t>
  </si>
  <si>
    <t>Name of Source</t>
  </si>
  <si>
    <t>SS
No.</t>
  </si>
  <si>
    <t xml:space="preserve">Initial cost </t>
  </si>
  <si>
    <t>Distance</t>
  </si>
  <si>
    <t>Total Distance</t>
  </si>
  <si>
    <t>Up to 5 Kms Lead</t>
  </si>
  <si>
    <t xml:space="preserve"> for Every km beyond 5 km upto 30 km</t>
  </si>
  <si>
    <t xml:space="preserve"> for Every km beyond 30 km</t>
  </si>
  <si>
    <t>MR</t>
  </si>
  <si>
    <t>CT</t>
  </si>
  <si>
    <t>Cement</t>
  </si>
  <si>
    <t>Local</t>
  </si>
  <si>
    <t>1 MT</t>
  </si>
  <si>
    <t>steel</t>
  </si>
  <si>
    <t>local</t>
  </si>
  <si>
    <t>Fine Aggregate</t>
  </si>
  <si>
    <t>Ravulapenta</t>
  </si>
  <si>
    <t>1 Cum</t>
  </si>
  <si>
    <t>27 a</t>
  </si>
  <si>
    <t>Coarse Aggregate 40 MM</t>
  </si>
  <si>
    <t>Appanapeta</t>
  </si>
  <si>
    <t>Coarse Aggregate 20 MM</t>
  </si>
  <si>
    <t>Coarse Aggregate 10 MM</t>
  </si>
  <si>
    <t>Certified that the leads furnished above are correct to the best of my knowledge.</t>
  </si>
  <si>
    <t>Certified that the blasting is necessary to obtain rubble and metal.</t>
  </si>
  <si>
    <t>BAR BENDING SCHEDULE</t>
  </si>
  <si>
    <t>SLNO</t>
  </si>
  <si>
    <t>Description Of Bars</t>
  </si>
  <si>
    <t>Dia Of Bar (mm)</t>
  </si>
  <si>
    <t>Spacing (m)</t>
  </si>
  <si>
    <t>Shape / Length make-up</t>
  </si>
  <si>
    <t>Length (m)</t>
  </si>
  <si>
    <t>No of Bars</t>
  </si>
  <si>
    <t>No of Mem.</t>
  </si>
  <si>
    <t>Total Length (m)</t>
  </si>
  <si>
    <t>Weight Of Bar Per RMT (kg)</t>
  </si>
  <si>
    <t>Total Weight In Kgs</t>
  </si>
  <si>
    <t>Deck slab  (1 No.)  10.00 x 6.45 x 0.75 m - M25</t>
  </si>
  <si>
    <t>(i) Main bars - straight (bottom)</t>
  </si>
  <si>
    <t>Straight  10.00 - 2x0.04</t>
  </si>
  <si>
    <t>(ii) Main bars - bent up (alternate)</t>
  </si>
  <si>
    <t>2x2.36 + 2x0.912 (45°) + 3.910</t>
  </si>
  <si>
    <t>(iii) Top bars (span direction)</t>
  </si>
  <si>
    <t>Straight</t>
  </si>
  <si>
    <t>(iv) Distributaries - bottom</t>
  </si>
  <si>
    <t>Straight across width</t>
  </si>
  <si>
    <t>(v) Distributaries - top</t>
  </si>
  <si>
    <t>(vi) Supporting chairs @ 1 No./sqm</t>
  </si>
  <si>
    <t>2 legs 0.60 + 2 feet 0.15</t>
  </si>
  <si>
    <t>Kerbs  (2 Nos.)  0.225 x 0.30 m</t>
  </si>
  <si>
    <t>(i) Main bars</t>
  </si>
  <si>
    <t>(ii) Stirrups</t>
  </si>
  <si>
    <t>2x(0.145+0.52) + 0.10 hooks</t>
  </si>
  <si>
    <t>RCC Parapet wall  (2 Nos.)  0.20 x 0.90 m</t>
  </si>
  <si>
    <t>2x(0.12+0.82+0.30 anch.) + 0.10</t>
  </si>
  <si>
    <t>Bed block over abutment  (2 Nos.)  6.45 x 0.50 x 0.30 m</t>
  </si>
  <si>
    <t>(i) Main Bars (5 T + 5 B)</t>
  </si>
  <si>
    <t>(ii) Distributaries (stirrups)</t>
  </si>
  <si>
    <t>2x(0.42+0.22) + 0.24 hooks</t>
  </si>
  <si>
    <t>Dirt wall  (2 Nos.)  6.45 x 0.30 x 1.125 m</t>
  </si>
  <si>
    <t>(i) Vertical bars (both faces)</t>
  </si>
  <si>
    <t>1.125 - 0.04 + 0.42 anchorage (Ld)</t>
  </si>
  <si>
    <t>(ii) Horizontal bars (both faces)</t>
  </si>
  <si>
    <t>Approach slab  (2 Nos.)  3.50 x 6.00 x 0.30 m</t>
  </si>
  <si>
    <t>(I) Main bars (T&amp;B)</t>
  </si>
  <si>
    <t>(ii) Distributaries (T&amp;B)</t>
  </si>
  <si>
    <t>TOTAL</t>
  </si>
  <si>
    <t xml:space="preserve">TOTAL WEIGHT OF STEEL </t>
  </si>
  <si>
    <t>Dia-wise abstract</t>
  </si>
  <si>
    <t>Dia (mm)</t>
  </si>
  <si>
    <t>Wt (kg)</t>
  </si>
  <si>
    <t>Sand</t>
  </si>
  <si>
    <t>Theoritical Requirement</t>
  </si>
  <si>
    <t>Technical sanction No.</t>
  </si>
  <si>
    <t>Agreement No.</t>
  </si>
  <si>
    <t>Name of Contractor</t>
  </si>
  <si>
    <t>1.Theoritical requirement for Metal</t>
  </si>
  <si>
    <t>M-15 Grade (foundation)</t>
  </si>
  <si>
    <t>M-15 Grade (apron &amp; lining)</t>
  </si>
  <si>
    <t>M-15 Grade (with plums)</t>
  </si>
  <si>
    <t>M-25 Grade (bed blocks &amp; dirt wall)</t>
  </si>
  <si>
    <t>M-25 Grade (deck, kerb, parapet, approach)</t>
  </si>
  <si>
    <t>M-25 Grade (wearing coat)</t>
  </si>
  <si>
    <t>2.Theoritical requirement for Sand</t>
  </si>
  <si>
    <t>X</t>
  </si>
  <si>
    <t>Asst .Executive Engineer</t>
  </si>
  <si>
    <t>Irrigation Sub-Division No.3</t>
  </si>
  <si>
    <t>Irrigation Division No.3</t>
  </si>
  <si>
    <t>Sl.No</t>
  </si>
  <si>
    <t>Item Code</t>
  </si>
  <si>
    <t>Crushed stone sand</t>
  </si>
  <si>
    <t>C. Memo.No.l46lcement &amp; SteeyT3/July/202c27 Dated: 22-08-2026</t>
  </si>
  <si>
    <t>Initial Lead upto 1km</t>
  </si>
  <si>
    <t>For Every 1 km after 5 km</t>
  </si>
  <si>
    <t>Lead
(km)</t>
  </si>
  <si>
    <t>Conveyance charges includes Contractors Profit &amp; Over Head (13.615%)  (Rs)</t>
  </si>
  <si>
    <t xml:space="preserve"> After deducting intial lead  (Rs)</t>
  </si>
  <si>
    <t>Manufacture  sand</t>
  </si>
  <si>
    <t>Add conveyance charges for  N sand for 21KM</t>
  </si>
  <si>
    <t>Add conveyance charges for  M sand  for 21KM</t>
  </si>
  <si>
    <t>Add conveyance charges for metal  for 21KM</t>
  </si>
  <si>
    <t>Rate per kg</t>
  </si>
  <si>
    <t xml:space="preserve">Gravel </t>
  </si>
  <si>
    <t>M-008</t>
  </si>
  <si>
    <t>for shear keys below wing &amp; return footings</t>
  </si>
  <si>
    <t>Providing and laying insitu vibrated M-20 ( 28 days cube compressive strength not less than20 N / sq mm ) grade cement concrete using 20 mm down size approved, clean, hard, gradedaggregates for sub-structure / super- structure works including cost of all materials,machinery, labour, formwork, scaffolding, cleaning, batching, mixing, placing in position,levelling, vibrating, finishing, curing etc., complete with initial lead upto 50 m and all lifts.</t>
  </si>
  <si>
    <t>Providing and laying insitu vibrated M-15 ( 28 days cube compressive strength not less than 15 N / sq mm ) grade cement concrete using 40 mm down size approved, clean, hard, graded aggregates for sub-structure / super- structure works including cost of all materials,machinery, labour, formwork, scaffolding, cleaning, batching, mixing, placing in position,evelling, vibrating, finishing, curing etc., complete with initial lead upto 50 m and all lifts.(Cement content: 280 kg / cum with use of super plasticiser(0.4% by wt. of cement),CA : 0.90cum, Blending Ratio of CA--50:30:20, FA : 0.40 cum)</t>
  </si>
  <si>
    <t>Providing and laying insitu vibrated M-20 ( 28 days cube compressive strength not less than 20 N / sq mm ) grade cement concrete using 20 mm down size approved, clean, hard, graded aggregates for deck slab &amp; kerb including cost of all materials,machinery, labour, formwork,scaffolding, cleaning, batching, mixing, placing in position, levelling, vibrating, finishing, curing etc., complete with initial lead upto 50 m and all lifts.If water is to be brought from other place add only lead charges @ 500 ltr / cum. (Cement content: 330 kg / cum with use of super plasticiser(0.4% by wt. of cement),CA : 0.80cum, Blending Ratio of CA--65:35, FA : 0.45 cum)</t>
  </si>
  <si>
    <t>Irr.Sub-Division No.3,</t>
  </si>
  <si>
    <t>Irr.Division No.3,</t>
  </si>
  <si>
    <t>Miryalaguda.</t>
  </si>
  <si>
    <t>IRR-CCDW-2-29</t>
  </si>
  <si>
    <t>Sundries ( asphalt mortar etc )</t>
  </si>
  <si>
    <t>If water is to be brought from other place add only lead charges @ 500 ltr / cum. to the data (Cement content: 330 kg / cum with use of super plasticiser(0.4% by wt. of cement),Requirement of labour for concreting same as in item IRR-CCDW-2-4 with 1 mason and 1.5 mazdoor extra for finishing and packing joints with asphalt mortar.</t>
  </si>
  <si>
    <t>Providing and laying insitu M-20 (28 days cube compressive strength not less than 20 N/sq mm) grade cement concrete using 20 mm down size approved, clean, hard, graded aggregates for 75 mm thick wearing coat over the deck slab of S.L.R.B. including cost of all materials, machinery, labour, formwork, cleaning, batching, mixing, placing in position in alternate panels, levelling, compacting, finishing, curing, packing joints with asphalt mortar etc., complete with initial lead up to 50 m and all lifts.</t>
  </si>
  <si>
    <t>Providing and laying insitu vibrated M-20 grade cement concrete using 20 mm down size graded aggregates for bed blocks &amp; dirt walls, complete with initial lead upto 50 m and all lifts.</t>
  </si>
  <si>
    <t>Providing and laying insitu vibrated M-20 grade cement concrete using 20 mm down size graded aggregates for deck slab, kerb, parapet &amp; approach slabs, complete with initial lead upto 50 m and all lifts.</t>
  </si>
  <si>
    <t>Providing and laying VCC M-20 grade wearing coat 75 mm thick over deck slab, complete.</t>
  </si>
  <si>
    <t>REINFORCEMENT STEEL</t>
  </si>
  <si>
    <t xml:space="preserve"> LS Provision for Labour Cess @ 1 %</t>
  </si>
  <si>
    <t xml:space="preserve"> LS Provision for NAC @ 0.1 %</t>
  </si>
  <si>
    <t xml:space="preserve"> LS Provision for Seigniorage Charges</t>
  </si>
  <si>
    <t xml:space="preserve"> DMF Provision @ 30 % for Seigniorage Charges</t>
  </si>
  <si>
    <t xml:space="preserve"> SMET Provision @ 2 % for Seigniorage Charges</t>
  </si>
  <si>
    <t>Provision towards Permit Charges @ 80 % for Seigniorage Charges</t>
  </si>
  <si>
    <t>M - 20 (20 mm)  IRR-CCDW-2-10</t>
  </si>
  <si>
    <t>M - 20 (20 mm)  IRR-CCDW-2-25 Deck slab</t>
  </si>
  <si>
    <t>M - 20 (20 mm)  IRR-CCDW-2-29 + wearing coat</t>
  </si>
  <si>
    <t>IRRIGATION &amp; CAD DEPARTMENT</t>
  </si>
  <si>
    <t>AMOUNT OF ESTIMATE</t>
  </si>
  <si>
    <t xml:space="preserve">, </t>
  </si>
  <si>
    <t xml:space="preserve">Rs </t>
  </si>
  <si>
    <t xml:space="preserve">Lakhs </t>
  </si>
  <si>
    <t>Or Say (LAKHS)</t>
  </si>
  <si>
    <t>GOVERNMENT OF TELANGANA</t>
  </si>
  <si>
    <t>Estimate Amount Rs.</t>
  </si>
  <si>
    <t>Category of Project /Scheme /Work</t>
  </si>
  <si>
    <t>Nagarjuna Sagar Project</t>
  </si>
  <si>
    <t>Location /District /Mandal /Village</t>
  </si>
  <si>
    <t>Scope of work in brief</t>
  </si>
  <si>
    <t>Ayacut proposed - Wet/ID</t>
  </si>
  <si>
    <t>Cropping pattern</t>
  </si>
  <si>
    <t>Source /River basin /Sub-basin /Sub-Minor basin</t>
  </si>
  <si>
    <t>Availability of water at the site</t>
  </si>
  <si>
    <t>Allocation of water /utilization</t>
  </si>
  <si>
    <t>Reference in which Hydrological clearance was accorded by the competent authority</t>
  </si>
  <si>
    <t>Cost per Acre Rs.</t>
  </si>
  <si>
    <t>B.C. Ratio</t>
  </si>
  <si>
    <t>YES</t>
  </si>
  <si>
    <t>Whether salient features are enclosed</t>
  </si>
  <si>
    <t>ENCLOSED</t>
  </si>
  <si>
    <t>Whether commanded area plan/index plan enclosed</t>
  </si>
  <si>
    <t>Whether the approved Designs /Drawings /Hydraulic particulars /Cross sections are enclosed</t>
  </si>
  <si>
    <t>Whether the data enclosed is based on the current SSR with year</t>
  </si>
  <si>
    <t>2026-27</t>
  </si>
  <si>
    <t>Whether latest cement /Steel rates are adopted</t>
  </si>
  <si>
    <t>Whether the quotations for non SSR items are enclosed</t>
  </si>
  <si>
    <t>Contd..2</t>
  </si>
  <si>
    <t>Whether the amount of labour component and certificate of L.A. &amp; L.I. furnished</t>
  </si>
  <si>
    <t>Not required</t>
  </si>
  <si>
    <t>Whether geological and foundation investigations carried out</t>
  </si>
  <si>
    <t>Whether the extent of L.A./forest lands is furnished</t>
  </si>
  <si>
    <t>Are the rates of L.A. adopted based on the certificate issued by the Revenue Authorities.</t>
  </si>
  <si>
    <t>Whether provisions made for dewatering and other LS provisions are reasonable</t>
  </si>
  <si>
    <t>ii)</t>
  </si>
  <si>
    <t>iii)</t>
  </si>
  <si>
    <t>Whether all officers upto CE signed</t>
  </si>
  <si>
    <t>Q.C. check authority proposed for this work</t>
  </si>
  <si>
    <t>1</t>
  </si>
  <si>
    <t>2</t>
  </si>
  <si>
    <t>37.70 Lakhs</t>
  </si>
  <si>
    <t>3</t>
  </si>
  <si>
    <t>4</t>
  </si>
  <si>
    <t>5</t>
  </si>
  <si>
    <t>6</t>
  </si>
  <si>
    <t>No new ayacut (serves existing L-8 Minor ayacut of 357.32 Ac)</t>
  </si>
  <si>
    <t>7</t>
  </si>
  <si>
    <t>Paddy/Cotton</t>
  </si>
  <si>
    <t>8</t>
  </si>
  <si>
    <t>Krishna Basin/Nagarjuna Sagar Project</t>
  </si>
  <si>
    <t>9</t>
  </si>
  <si>
    <t>10</t>
  </si>
  <si>
    <t>11</t>
  </si>
  <si>
    <t>12</t>
  </si>
  <si>
    <t>13</t>
  </si>
  <si>
    <t>14</t>
  </si>
  <si>
    <t>Whether the report accompanying the estimate, detailed estimate and abstract estimate are enclosed</t>
  </si>
  <si>
    <t>15</t>
  </si>
  <si>
    <t>16</t>
  </si>
  <si>
    <t>17</t>
  </si>
  <si>
    <t>18</t>
  </si>
  <si>
    <t>Whether C.C. lining thickness, Grade of concrete and CNS layer thickness proposed are with reference to the relevant IS codes</t>
  </si>
  <si>
    <t>19</t>
  </si>
  <si>
    <t>20</t>
  </si>
  <si>
    <t>21</t>
  </si>
  <si>
    <t>22</t>
  </si>
  <si>
    <t>Whether the lead statement with certificates is enclosed</t>
  </si>
  <si>
    <t>Page No.2</t>
  </si>
  <si>
    <t>23</t>
  </si>
  <si>
    <t>Whether Borrow area /quarry maps are enclosed</t>
  </si>
  <si>
    <t>24</t>
  </si>
  <si>
    <t>25</t>
  </si>
  <si>
    <t>Trial pit to be taken before execution</t>
  </si>
  <si>
    <t>26</t>
  </si>
  <si>
    <t>27</t>
  </si>
  <si>
    <t>28</t>
  </si>
  <si>
    <t>Whether provision for compensatory afforestation and NPV is provided in consultation with Forest dept.</t>
  </si>
  <si>
    <t>29</t>
  </si>
  <si>
    <t>Whether the cost for CM &amp; CD works is based on cost curves updated with current SSR</t>
  </si>
  <si>
    <t>30</t>
  </si>
  <si>
    <t>Whether provision for distributaries and field channels is based on the estimate prepared for a model block covering 10% of the command</t>
  </si>
  <si>
    <t>31</t>
  </si>
  <si>
    <t>32</t>
  </si>
  <si>
    <t>Whether the provision for formation of road, NH crossing, railway crossing and other road crossings is based on their specification and standards.</t>
  </si>
  <si>
    <t>YES (as per IRC codes)</t>
  </si>
  <si>
    <t>33</t>
  </si>
  <si>
    <t>Whether the site was inspected by the competent authority before submitting the estimates as indicated below. If so furnish the date of inspection and confirm whether the estimate is prepared keeping in view the observations.</t>
  </si>
  <si>
    <t>34</t>
  </si>
  <si>
    <t>Are the detailed estimates /DATAs checked in Section office</t>
  </si>
  <si>
    <t>35</t>
  </si>
  <si>
    <t>Are the provisions examined /Abstract estimate checked in CEs Office</t>
  </si>
  <si>
    <t>36</t>
  </si>
  <si>
    <t>Whether the check slip for Admn. approval is enclosed</t>
  </si>
  <si>
    <t>37</t>
  </si>
  <si>
    <t>38</t>
  </si>
  <si>
    <t>Construction programme of the Project/Scheme/work</t>
  </si>
  <si>
    <t>6 months</t>
  </si>
  <si>
    <t>39</t>
  </si>
  <si>
    <t xml:space="preserve">Not applicable </t>
  </si>
  <si>
    <t>DATA SSR 2026-27</t>
  </si>
  <si>
    <t>Name of Work : Construction of S.L.R.B. across Mulakalkalva Major near L-8 Minor off-take at Km 5.506 (Reach IV) in Yadgarpalli village of Miryalaguda Mandal, Nalgonda District.</t>
  </si>
  <si>
    <t>QUARRY MAP</t>
  </si>
  <si>
    <t>Note: Map not to scale</t>
  </si>
  <si>
    <t>LEAD STATEMENT</t>
  </si>
  <si>
    <t>Material</t>
  </si>
  <si>
    <t>Source</t>
  </si>
  <si>
    <t>Lead (km)</t>
  </si>
  <si>
    <t>Metal &amp; M-Sand</t>
  </si>
  <si>
    <t>Deputy Executive Engineer</t>
  </si>
  <si>
    <t>Irrigation Sub Division No.3,</t>
  </si>
  <si>
    <t>Irrigation Division No.3,</t>
  </si>
  <si>
    <t>N</t>
  </si>
  <si>
    <t>Name of work:- Construction of S.L.R.B. across Mulakala kalva Major near L-8 Minor off-take at KM 5.506 (Reach-IV) in Yadgarpalli village of Miryalaguda Mandal, Nalgonda District.</t>
  </si>
  <si>
    <t>Construction of S.L.R.B. across Mulakala kalva Major near L-8 Minor off-take at KM 5.506 (Reach-IV) in Yadgarpalli village of Miryalaguda Mandal, Nalgonda District.</t>
  </si>
  <si>
    <t>Construction of single vent S.L.R.B. of 9.0 m clear span with 6.0 m carriageway across Mulakala kalva Major at Km 5.506</t>
  </si>
  <si>
    <t>Upto Rs.50.00 Lakhs EE</t>
  </si>
  <si>
    <t>Rs.50.00 Lakhs to Rs.500.00 Lakhs SE</t>
  </si>
  <si>
    <t>Above 500.00 Lakhs CE</t>
  </si>
  <si>
    <t>CHECK SLIP ACCOMPANYING THE PROJECT / SCHEME / WORK ESTIMATE</t>
  </si>
  <si>
    <t>Yadgarpalli Village,Miryalaguda Mandal,Nalgonda Dist.,</t>
  </si>
  <si>
    <t>Part A   (Item Works)</t>
  </si>
  <si>
    <t>Add 18.00% GST on (Part A+Part B)</t>
  </si>
  <si>
    <t>Amount in Rs.</t>
  </si>
  <si>
    <t>Length</t>
  </si>
  <si>
    <t>Width</t>
  </si>
  <si>
    <t>Depth</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</si>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</sst>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164" formatCode="\$#,##0.0000_);&quot;($&quot;#,##0.0000\)"/>
    <numFmt numFmtId="165" formatCode="\\#,##0.00;[Red]&quot;-\&quot;#,##0.00"/>
    <numFmt numFmtId="166" formatCode="_(* #,##0.00_);_(* \(#,##0.00\);_(* \-??_);_(@_)"/>
    <numFmt numFmtId="167" formatCode="_(\$* #,##0.00_);_(\$* \(#,##0.00\);_(\$* \-??_);_(@_)"/>
    <numFmt numFmtId="168" formatCode="#,##0.0"/>
    <numFmt numFmtId="169" formatCode="#,##0_);[Red]\(#,##0\)"/>
    <numFmt numFmtId="170" formatCode="#,##0.0_);\(#,##0.0\)"/>
    <numFmt numFmtId="171" formatCode="_-* #,##0\ _F_-;\-* #,##0\ _F_-;_-* &quot;- &quot;_F_-;_-@_-"/>
    <numFmt numFmtId="172" formatCode="_-* #,##0.00\ _F_-;\-* #,##0.00\ _F_-;_-* \-??\ _F_-;_-@_-"/>
    <numFmt numFmtId="173" formatCode="_-* #,##0&quot; F&quot;_-;\-* #,##0&quot; F&quot;_-;_-* &quot;- F&quot;_-;_-@_-"/>
    <numFmt numFmtId="174" formatCode="_-* #,##0.00&quot; F&quot;_-;\-* #,##0.00&quot; F&quot;_-;_-* \-??&quot; F&quot;_-;_-@_-"/>
    <numFmt numFmtId="175" formatCode="#,##0_);\(#,##0\)"/>
    <numFmt numFmtId="176" formatCode="\$#,##0;&quot;-$&quot;#,##0"/>
    <numFmt numFmtId="177" formatCode="_(\$* #,##0.0000000_);_(\$* \(#,##0.0000000\);_(\$* \-??_);_(@_)"/>
    <numFmt numFmtId="178" formatCode="#,##0.00_);[Red]\(#,##0.00\)"/>
    <numFmt numFmtId="179" formatCode="_ * #,##0_ ;_ * \-#,##0_ ;_ * \-_ ;_ @_ "/>
    <numFmt numFmtId="180" formatCode="_ * #,##0.00_ ;_ * \-#,##0.00_ ;_ * \-??_ ;_ @_ "/>
    <numFmt numFmtId="181" formatCode="_ \\* #,##0_ ;_ \\* \-#,##0_ ;_ \\* \-_ ;_ @_ "/>
    <numFmt numFmtId="182" formatCode="_ \\* #,##0.00_ ;_ \\* \-#,##0.00_ ;_ \\* \-??_ ;_ @_ "/>
    <numFmt numFmtId="183" formatCode="_-* #,##0.00_-;\-* #,##0.00_-;_-* \-??_-;_-@_-"/>
    <numFmt numFmtId="184" formatCode="_-* #,##0_-;\-* #,##0_-;_-* \-_-;_-@_-"/>
    <numFmt numFmtId="185" formatCode="0.000"/>
    <numFmt numFmtId="186" formatCode="0.00_);\(0.00\)"/>
    <numFmt numFmtId="187" formatCode="0.000%"/>
    <numFmt numFmtId="188" formatCode="0.0"/>
  </numFmts>
  <fonts count="143">
    <font>
      <sz val="11"/>
      <color theme="1"/>
      <name val="Calibri"/>
      <charset val="134"/>
    </font>
    <font>
      <sz val="11"/>
      <color rgb="FF000000"/>
      <name val="Calibri"/>
      <charset val="134"/>
    </font>
    <font>
      <sz val="11"/>
      <color rgb="FFFFFFFF"/>
      <name val="Calibri"/>
      <charset val="134"/>
    </font>
    <font>
      <sz val="14"/>
      <name val="AngsanaUPC"/>
      <charset val="134"/>
    </font>
    <font>
      <sz val="8"/>
      <name val="Times New Roman"/>
      <charset val="134"/>
    </font>
    <font>
      <sz val="11"/>
      <color rgb="FF800080"/>
      <name val="Calibri"/>
      <charset val="134"/>
    </font>
    <font>
      <sz val="10"/>
      <name val="Arial"/>
      <charset val="134"/>
    </font>
    <font>
      <b/>
      <sz val="11"/>
      <color rgb="FFFF9900"/>
      <name val="Calibri"/>
      <charset val="134"/>
    </font>
    <font>
      <b/>
      <sz val="11"/>
      <color rgb="FFFFFFFF"/>
      <name val="Calibri"/>
      <charset val="134"/>
    </font>
    <font>
      <sz val="10"/>
      <name val="MS Serif"/>
      <charset val="134"/>
    </font>
    <font>
      <sz val="10"/>
      <name val="Courier New"/>
      <charset val="134"/>
    </font>
    <font>
      <sz val="10"/>
      <color rgb="FF800000"/>
      <name val="MS Serif"/>
      <charset val="134"/>
    </font>
    <font>
      <i/>
      <sz val="11"/>
      <color rgb="FF808080"/>
      <name val="Calibri"/>
      <charset val="134"/>
    </font>
    <font>
      <sz val="10"/>
      <color rgb="FFFF0000"/>
      <name val="Arial"/>
      <charset val="134"/>
    </font>
    <font>
      <sz val="11"/>
      <color rgb="FF008000"/>
      <name val="Calibri"/>
      <charset val="134"/>
    </font>
    <font>
      <sz val="8"/>
      <name val="Arial"/>
      <charset val="134"/>
    </font>
    <font>
      <b/>
      <sz val="12"/>
      <name val="Arial"/>
      <charset val="134"/>
    </font>
    <font>
      <b/>
      <sz val="15"/>
      <color rgb="FF003366"/>
      <name val="Calibri"/>
      <charset val="134"/>
    </font>
    <font>
      <b/>
      <sz val="13"/>
      <color rgb="FF003366"/>
      <name val="Calibri"/>
      <charset val="134"/>
    </font>
    <font>
      <b/>
      <sz val="11"/>
      <color rgb="FF003366"/>
      <name val="Calibri"/>
      <charset val="134"/>
    </font>
    <font>
      <u/>
      <sz val="10"/>
      <color theme="10"/>
      <name val="Arial"/>
      <charset val="134"/>
    </font>
    <font>
      <u/>
      <sz val="11"/>
      <color theme="10"/>
      <name val="Arial"/>
      <charset val="134"/>
    </font>
    <font>
      <u/>
      <sz val="9"/>
      <color rgb="FF0000FF"/>
      <name val="Arial"/>
      <charset val="134"/>
    </font>
    <font>
      <sz val="11"/>
      <color rgb="FF333399"/>
      <name val="Calibri"/>
      <charset val="134"/>
    </font>
    <font>
      <sz val="12"/>
      <name val="Arial"/>
      <charset val="134"/>
    </font>
    <font>
      <sz val="11"/>
      <color rgb="FFFF9900"/>
      <name val="Calibri"/>
      <charset val="134"/>
    </font>
    <font>
      <sz val="12"/>
      <color rgb="FFFFFFFF"/>
      <name val="Arial"/>
      <charset val="134"/>
    </font>
    <font>
      <sz val="11"/>
      <color rgb="FF993300"/>
      <name val="Calibri"/>
      <charset val="134"/>
    </font>
    <font>
      <sz val="7"/>
      <name val="Small Fonts"/>
      <charset val="134"/>
    </font>
    <font>
      <sz val="11"/>
      <color theme="1"/>
      <name val="Calibri"/>
      <charset val="238"/>
    </font>
    <font>
      <sz val="12"/>
      <color theme="1"/>
      <name val="Times New Roman"/>
      <charset val="134"/>
    </font>
    <font>
      <sz val="12"/>
      <name val="Times New Roman"/>
      <charset val="134"/>
    </font>
    <font>
      <b/>
      <sz val="11"/>
      <color rgb="FF333333"/>
      <name val="Calibri"/>
      <charset val="134"/>
    </font>
    <font>
      <sz val="11"/>
      <name val="Times New Roman"/>
      <charset val="134"/>
    </font>
    <font>
      <b/>
      <sz val="10"/>
      <name val="Arial CE"/>
      <charset val="238"/>
    </font>
    <font>
      <sz val="10"/>
      <name val="Times New Roman"/>
      <charset val="134"/>
    </font>
    <font>
      <sz val="10"/>
      <name val="MS Sans Serif"/>
      <charset val="134"/>
    </font>
    <font>
      <u/>
      <sz val="9"/>
      <color rgb="FF800080"/>
      <name val="Arial"/>
      <charset val="134"/>
    </font>
    <font>
      <sz val="10"/>
      <name val="Arial"/>
      <charset val="204"/>
    </font>
    <font>
      <b/>
      <sz val="8"/>
      <color rgb="FF000000"/>
      <name val="Arial"/>
      <charset val="134"/>
    </font>
    <font>
      <b/>
      <sz val="18"/>
      <color rgb="FF003366"/>
      <name val="Cambria"/>
      <charset val="134"/>
    </font>
    <font>
      <b/>
      <sz val="11"/>
      <color rgb="FF000000"/>
      <name val="Calibri"/>
      <charset val="134"/>
    </font>
    <font>
      <sz val="11"/>
      <color rgb="FFFF0000"/>
      <name val="Calibri"/>
      <charset val="134"/>
    </font>
    <font>
      <sz val="12"/>
      <name val="¹ÙÅÁÃ¼"/>
      <charset val="129"/>
    </font>
    <font>
      <sz val="12"/>
      <name val="Calibri"/>
      <charset val="134"/>
    </font>
    <font>
      <b/>
      <u/>
      <sz val="24"/>
      <name val="Calibri"/>
      <charset val="134"/>
    </font>
    <font>
      <b/>
      <sz val="16"/>
      <name val="Calibri"/>
      <charset val="134"/>
    </font>
    <font>
      <b/>
      <sz val="13"/>
      <name val="Calibri"/>
      <charset val="134"/>
    </font>
    <font>
      <b/>
      <sz val="11.5"/>
      <name val="Calibri"/>
      <charset val="134"/>
    </font>
    <font>
      <sz val="11.5"/>
      <name val="Calibri"/>
      <charset val="134"/>
    </font>
    <font>
      <b/>
      <sz val="12"/>
      <name val="Calibri"/>
      <charset val="134"/>
    </font>
    <font>
      <sz val="16"/>
      <name val="Calibri"/>
      <charset val="134"/>
    </font>
    <font>
      <sz val="14"/>
      <name val="Calibri"/>
      <charset val="134"/>
    </font>
    <font>
      <b/>
      <sz val="14"/>
      <name val="Calibri"/>
      <charset val="134"/>
    </font>
    <font>
      <b/>
      <sz val="18"/>
      <name val="Calibri"/>
      <charset val="134"/>
    </font>
    <font>
      <sz val="12"/>
      <color rgb="FFFF0000"/>
      <name val="Times New Roman"/>
      <charset val="134"/>
    </font>
    <font>
      <sz val="12"/>
      <color theme="1"/>
      <name val="Calibri"/>
      <charset val="134"/>
    </font>
    <font>
      <b/>
      <sz val="16"/>
      <color rgb="FFFF0000"/>
      <name val="Calibri"/>
      <charset val="134"/>
    </font>
    <font>
      <b/>
      <sz val="11"/>
      <name val="Calibri"/>
      <charset val="134"/>
    </font>
    <font>
      <b/>
      <sz val="10"/>
      <name val="Calibri"/>
      <charset val="134"/>
    </font>
    <font>
      <sz val="11"/>
      <name val="Arial"/>
      <charset val="134"/>
    </font>
    <font>
      <sz val="16"/>
      <color theme="1"/>
      <name val="Calibri"/>
      <charset val="134"/>
    </font>
    <font>
      <b/>
      <u/>
      <sz val="16"/>
      <color theme="1"/>
      <name val="Calibri"/>
      <charset val="134"/>
    </font>
    <font>
      <sz val="14"/>
      <color theme="1"/>
      <name val="Calibri"/>
      <charset val="134"/>
    </font>
    <font>
      <b/>
      <sz val="12"/>
      <color theme="1"/>
      <name val="Calibri"/>
      <charset val="134"/>
    </font>
    <font>
      <sz val="11"/>
      <color theme="1"/>
      <name val="Bookman Old Style"/>
      <charset val="134"/>
    </font>
    <font>
      <sz val="11"/>
      <name val="Cambria"/>
      <charset val="134"/>
    </font>
    <font>
      <sz val="9"/>
      <color rgb="FFFF0000"/>
      <name val="Calibri"/>
      <charset val="1"/>
    </font>
    <font>
      <sz val="11"/>
      <name val="Calibri"/>
      <charset val="134"/>
    </font>
    <font>
      <b/>
      <sz val="10"/>
      <name val="Arial"/>
      <charset val="134"/>
    </font>
    <font>
      <b/>
      <sz val="11"/>
      <name val="Arial"/>
      <charset val="134"/>
    </font>
    <font>
      <sz val="10"/>
      <name val="Trebuchet MS"/>
      <charset val="134"/>
    </font>
    <font>
      <sz val="9"/>
      <name val="Trebuchet MS"/>
      <charset val="134"/>
    </font>
    <font>
      <u/>
      <sz val="16"/>
      <color rgb="FF800080"/>
      <name val="Calibri"/>
    </font>
    <font>
      <u/>
      <sz val="11"/>
      <color rgb="FF0000FF"/>
      <name val="Calibri"/>
    </font>
    <font>
      <sz val="14"/>
      <color theme="1"/>
      <name val="Bookman Old Style"/>
      <charset val="134"/>
    </font>
    <font>
      <u/>
      <sz val="14"/>
      <color theme="1"/>
      <name val="Bookman Old Style"/>
      <charset val="134"/>
    </font>
    <font>
      <sz val="12"/>
      <color theme="1"/>
      <name val="Bookman Old Style"/>
      <charset val="134"/>
    </font>
    <font>
      <sz val="11"/>
      <color theme="1"/>
      <name val="Calibri"/>
      <charset val="134"/>
    </font>
    <font>
      <b/>
      <sz val="14"/>
      <color theme="1"/>
      <name val="Times New Roman"/>
      <family val="1"/>
    </font>
    <font>
      <b/>
      <sz val="12"/>
      <color theme="1"/>
      <name val="Times New Roman"/>
      <family val="1"/>
    </font>
    <font>
      <sz val="12"/>
      <color theme="1"/>
      <name val="Times New Roman"/>
      <family val="1"/>
    </font>
    <font>
      <b/>
      <sz val="12"/>
      <name val="Times New Roman"/>
      <family val="1"/>
    </font>
    <font>
      <sz val="12"/>
      <name val="Times New Roman"/>
      <family val="1"/>
    </font>
    <font>
      <sz val="12"/>
      <color rgb="FFFF0000"/>
      <name val="Times New Roman"/>
      <family val="1"/>
    </font>
    <font>
      <sz val="10"/>
      <name val="Arial"/>
      <family val="2"/>
    </font>
    <font>
      <sz val="12"/>
      <color rgb="FF000000"/>
      <name val="Times New Roman"/>
      <family val="1"/>
    </font>
    <font>
      <b/>
      <sz val="16"/>
      <name val="Times New Roman"/>
      <family val="1"/>
    </font>
    <font>
      <sz val="10"/>
      <color theme="1"/>
      <name val="Arial"/>
      <family val="2"/>
    </font>
    <font>
      <sz val="12"/>
      <color theme="1"/>
      <name val="Times New Roman"/>
      <family val="1"/>
      <charset val="1"/>
    </font>
    <font>
      <b/>
      <sz val="12"/>
      <color theme="1"/>
      <name val="Times New Roman"/>
      <family val="1"/>
      <charset val="1"/>
    </font>
    <font>
      <sz val="11"/>
      <color theme="1"/>
      <name val="Calibri"/>
      <family val="2"/>
    </font>
    <font>
      <b/>
      <sz val="11"/>
      <color theme="1"/>
      <name val="Times New Roman"/>
      <family val="1"/>
    </font>
    <font>
      <sz val="10"/>
      <name val="Times New Roman"/>
      <family val="1"/>
    </font>
    <font>
      <b/>
      <sz val="16"/>
      <color theme="1"/>
      <name val="Times New Roman"/>
      <family val="1"/>
    </font>
    <font>
      <b/>
      <sz val="11"/>
      <color theme="1"/>
      <name val="Calibri"/>
      <family val="2"/>
      <charset val="1"/>
    </font>
    <font>
      <b/>
      <sz val="11"/>
      <name val="Calibri"/>
      <family val="2"/>
      <charset val="1"/>
    </font>
    <font>
      <b/>
      <sz val="18"/>
      <name val="Times New Roman"/>
      <family val="1"/>
    </font>
    <font>
      <sz val="12"/>
      <color theme="1" tint="0.24988555558946501"/>
      <name val="Times New Roman"/>
      <family val="1"/>
    </font>
    <font>
      <b/>
      <sz val="24"/>
      <name val="Bernard MT Condensed"/>
      <family val="1"/>
    </font>
    <font>
      <b/>
      <sz val="26"/>
      <name val="Times New Roman"/>
      <family val="1"/>
    </font>
    <font>
      <b/>
      <sz val="36"/>
      <name val="Times New Roman"/>
      <family val="1"/>
    </font>
    <font>
      <b/>
      <sz val="28"/>
      <color indexed="17"/>
      <name val="Swis721 BlkOul BT"/>
      <family val="5"/>
    </font>
    <font>
      <sz val="16"/>
      <name val="Times"/>
      <family val="1"/>
    </font>
    <font>
      <sz val="20"/>
      <color indexed="18"/>
      <name val="Bernard MT Condensed"/>
      <family val="1"/>
    </font>
    <font>
      <b/>
      <sz val="16"/>
      <name val="Modern"/>
      <family val="3"/>
      <charset val="255"/>
    </font>
    <font>
      <sz val="10"/>
      <name val="CityBlueprint"/>
      <charset val="2"/>
    </font>
    <font>
      <b/>
      <sz val="12"/>
      <name val="Garamond"/>
      <family val="1"/>
    </font>
    <font>
      <sz val="22"/>
      <color indexed="58"/>
      <name val="Vineta BT"/>
      <family val="5"/>
    </font>
    <font>
      <b/>
      <sz val="18"/>
      <name val="Engravers MT"/>
      <family val="1"/>
    </font>
    <font>
      <b/>
      <sz val="24"/>
      <name val="Times New Roman"/>
      <family val="1"/>
    </font>
    <font>
      <b/>
      <sz val="28"/>
      <color indexed="17"/>
      <name val="Times New Roman"/>
      <family val="1"/>
    </font>
    <font>
      <b/>
      <sz val="20"/>
      <color indexed="18"/>
      <name val="Times New Roman"/>
      <family val="1"/>
    </font>
    <font>
      <b/>
      <sz val="26"/>
      <color theme="1"/>
      <name val="Times New Roman"/>
      <family val="1"/>
    </font>
    <font>
      <b/>
      <sz val="16"/>
      <color theme="8"/>
      <name val="Times New Roman"/>
      <family val="1"/>
    </font>
    <font>
      <b/>
      <sz val="18"/>
      <color indexed="18"/>
      <name val="Times New Roman"/>
      <family val="1"/>
    </font>
    <font>
      <sz val="20"/>
      <color indexed="18"/>
      <name val="Times New Roman"/>
      <family val="1"/>
    </font>
    <font>
      <b/>
      <sz val="28"/>
      <name val="Times New Roman"/>
      <family val="1"/>
    </font>
    <font>
      <sz val="28"/>
      <name val="Times New Roman"/>
      <family val="1"/>
    </font>
    <font>
      <sz val="26"/>
      <name val="Times New Roman"/>
      <family val="1"/>
    </font>
    <font>
      <sz val="22"/>
      <color indexed="58"/>
      <name val="Times New Roman"/>
      <family val="1"/>
    </font>
    <font>
      <b/>
      <sz val="16"/>
      <color indexed="61"/>
      <name val="Times New Roman"/>
      <family val="1"/>
    </font>
    <font>
      <b/>
      <sz val="16"/>
      <color indexed="18"/>
      <name val="Times New Roman"/>
      <family val="1"/>
    </font>
    <font>
      <b/>
      <sz val="14"/>
      <color indexed="18"/>
      <name val="Times New Roman"/>
      <family val="1"/>
    </font>
    <font>
      <b/>
      <sz val="20"/>
      <color theme="8"/>
      <name val="Times New Roman"/>
      <family val="1"/>
    </font>
    <font>
      <b/>
      <sz val="20"/>
      <name val="Times New Roman"/>
      <family val="1"/>
    </font>
    <font>
      <b/>
      <sz val="13"/>
      <name val="Times New Roman"/>
      <family val="1"/>
    </font>
    <font>
      <sz val="11"/>
      <name val="Times New Roman"/>
    </font>
    <font>
      <b/>
      <sz val="11"/>
      <name val="Times New Roman"/>
    </font>
    <font>
      <b/>
      <sz val="14"/>
      <name val="Times New Roman"/>
      <family val="1"/>
    </font>
    <font>
      <b/>
      <u/>
      <sz val="14"/>
      <color theme="1"/>
      <name val="Times New Roman"/>
      <family val="1"/>
    </font>
    <font>
      <b/>
      <sz val="12"/>
      <name val="Times New Roman"/>
      <family val="1"/>
      <charset val="1"/>
    </font>
    <font>
      <b/>
      <sz val="11"/>
      <color theme="1"/>
      <name val="Calibri"/>
      <family val="2"/>
    </font>
    <font>
      <b/>
      <sz val="13"/>
      <name val="Times New Roman"/>
    </font>
    <font>
      <i/>
      <sz val="11"/>
      <name val="Times New Roman"/>
    </font>
    <font>
      <b/>
      <sz val="13"/>
      <color rgb="FF000000"/>
      <name val="Times New Roman"/>
      <family val="1"/>
    </font>
    <font>
      <b/>
      <sz val="25"/>
      <name val="Times New Roman"/>
      <family val="1"/>
    </font>
    <font>
      <b/>
      <sz val="14"/>
      <name val="Times New Roman"/>
      <family val="1"/>
      <charset val="1"/>
    </font>
    <font>
      <sz val="14"/>
      <color theme="1"/>
      <name val="Calibri"/>
      <family val="2"/>
      <charset val="1"/>
    </font>
    <font>
      <sz val="12"/>
      <color theme="1"/>
      <name val="Calibri"/>
      <family val="2"/>
    </font>
    <font>
      <sz val="12"/>
      <name val="Times New Roman"/>
      <family val="1"/>
      <charset val="1"/>
    </font>
    <font>
      <b/>
      <sz val="12"/>
      <color theme="1"/>
      <name val="Calibri"/>
      <family val="2"/>
    </font>
    <font>
      <b/>
      <u/>
      <sz val="16"/>
      <color theme="1"/>
      <name val="Times New Roman"/>
      <family val="1"/>
    </font>
  </fonts>
  <fills count="29">
    <fill>
      <patternFill patternType="none"/>
    </fill>
    <fill>
      <patternFill patternType="gray125"/>
    </fill>
    <fill>
      <patternFill patternType="solid">
        <fgColor rgb="FFCCCCFF"/>
        <bgColor rgb="FFC0C0C0"/>
      </patternFill>
    </fill>
    <fill>
      <patternFill patternType="solid">
        <fgColor rgb="FFFF99CC"/>
        <bgColor rgb="FFFF8080"/>
      </patternFill>
    </fill>
    <fill>
      <patternFill patternType="solid">
        <fgColor rgb="FFCCFFCC"/>
        <bgColor rgb="FFCCFFFF"/>
      </patternFill>
    </fill>
    <fill>
      <patternFill patternType="solid">
        <fgColor rgb="FFCC99FF"/>
        <bgColor rgb="FF9999FF"/>
      </patternFill>
    </fill>
    <fill>
      <patternFill patternType="solid">
        <fgColor rgb="FFCCFFFF"/>
        <bgColor rgb="FFCCFFCC"/>
      </patternFill>
    </fill>
    <fill>
      <patternFill patternType="solid">
        <fgColor rgb="FFFFCC99"/>
        <bgColor rgb="FFEEECE1"/>
      </patternFill>
    </fill>
    <fill>
      <patternFill patternType="solid">
        <fgColor rgb="FF99CCFF"/>
        <bgColor rgb="FFCCCCFF"/>
      </patternFill>
    </fill>
    <fill>
      <patternFill patternType="solid">
        <fgColor rgb="FFFF8080"/>
        <bgColor rgb="FFFF99CC"/>
      </patternFill>
    </fill>
    <fill>
      <patternFill patternType="solid">
        <fgColor rgb="FF00FF00"/>
        <bgColor rgb="FF33CCCC"/>
      </patternFill>
    </fill>
    <fill>
      <patternFill patternType="solid">
        <fgColor rgb="FFFFCC00"/>
        <bgColor rgb="FFFFFF00"/>
      </patternFill>
    </fill>
    <fill>
      <patternFill patternType="solid">
        <fgColor rgb="FF0066CC"/>
        <bgColor rgb="FF008080"/>
      </patternFill>
    </fill>
    <fill>
      <patternFill patternType="solid">
        <fgColor rgb="FF800080"/>
        <bgColor rgb="FF800080"/>
      </patternFill>
    </fill>
    <fill>
      <patternFill patternType="solid">
        <fgColor rgb="FF33CCCC"/>
        <bgColor rgb="FF00CCFF"/>
      </patternFill>
    </fill>
    <fill>
      <patternFill patternType="solid">
        <fgColor rgb="FFFF9900"/>
        <bgColor rgb="FFFFCC00"/>
      </patternFill>
    </fill>
    <fill>
      <patternFill patternType="solid">
        <fgColor rgb="FF333399"/>
        <bgColor rgb="FF404040"/>
      </patternFill>
    </fill>
    <fill>
      <patternFill patternType="solid">
        <fgColor rgb="FFFF0000"/>
        <bgColor rgb="FF993300"/>
      </patternFill>
    </fill>
    <fill>
      <patternFill patternType="solid">
        <fgColor rgb="FF339966"/>
        <bgColor rgb="FF008080"/>
      </patternFill>
    </fill>
    <fill>
      <patternFill patternType="solid">
        <fgColor rgb="FFFF6600"/>
        <bgColor rgb="FFFF9900"/>
      </patternFill>
    </fill>
    <fill>
      <patternFill patternType="solid">
        <fgColor rgb="FFC0C0C0"/>
        <bgColor rgb="FFCCCCFF"/>
      </patternFill>
    </fill>
    <fill>
      <patternFill patternType="solid">
        <fgColor rgb="FF969696"/>
        <bgColor rgb="FF808080"/>
      </patternFill>
    </fill>
    <fill>
      <patternFill patternType="solid">
        <fgColor rgb="FFFFFFCC"/>
        <bgColor rgb="FFFFFFFF"/>
      </patternFill>
    </fill>
    <fill>
      <patternFill patternType="solid">
        <fgColor rgb="FF00FFFF"/>
        <bgColor rgb="FF00FFFF"/>
      </patternFill>
    </fill>
    <fill>
      <patternFill patternType="solid">
        <fgColor rgb="FF0000FF"/>
        <bgColor rgb="FF0000FF"/>
      </patternFill>
    </fill>
    <fill>
      <patternFill patternType="solid">
        <fgColor rgb="FFFFFF99"/>
        <bgColor rgb="FFFFFFCC"/>
      </patternFill>
    </fill>
    <fill>
      <patternFill patternType="solid">
        <fgColor theme="0"/>
        <bgColor rgb="FFFFFFCC"/>
      </patternFill>
    </fill>
    <fill>
      <patternFill patternType="solid">
        <fgColor theme="2"/>
        <bgColor rgb="FFFFFFCC"/>
      </patternFill>
    </fill>
    <fill>
      <patternFill patternType="solid">
        <fgColor rgb="FFFFFF00"/>
        <bgColor indexed="64"/>
      </patternFill>
    </fill>
  </fills>
  <borders count="46">
    <border>
      <left/>
      <right/>
      <top/>
      <bottom/>
      <diagonal/>
    </border>
    <border>
      <left style="thin">
        <color rgb="FF808080"/>
      </left>
      <right style="thin">
        <color rgb="FF808080"/>
      </right>
      <top style="thin">
        <color rgb="FF808080"/>
      </top>
      <bottom style="thin">
        <color rgb="FF808080"/>
      </bottom>
      <diagonal/>
    </border>
    <border>
      <left style="double">
        <color rgb="FF333333"/>
      </left>
      <right style="double">
        <color rgb="FF333333"/>
      </right>
      <top style="double">
        <color rgb="FF333333"/>
      </top>
      <bottom style="double">
        <color rgb="FF333333"/>
      </bottom>
      <diagonal/>
    </border>
    <border>
      <left style="thin">
        <color auto="1"/>
      </left>
      <right style="thin">
        <color auto="1"/>
      </right>
      <top/>
      <bottom style="hair">
        <color auto="1"/>
      </bottom>
      <diagonal/>
    </border>
    <border>
      <left/>
      <right/>
      <top style="medium">
        <color auto="1"/>
      </top>
      <bottom style="medium">
        <color auto="1"/>
      </bottom>
      <diagonal/>
    </border>
    <border>
      <left/>
      <right/>
      <top style="thin">
        <color auto="1"/>
      </top>
      <bottom style="thin">
        <color auto="1"/>
      </bottom>
      <diagonal/>
    </border>
    <border>
      <left/>
      <right/>
      <top/>
      <bottom style="thick">
        <color rgb="FF333399"/>
      </bottom>
      <diagonal/>
    </border>
    <border>
      <left/>
      <right/>
      <top/>
      <bottom style="thick">
        <color rgb="FFC0C0C0"/>
      </bottom>
      <diagonal/>
    </border>
    <border>
      <left/>
      <right/>
      <top/>
      <bottom style="medium">
        <color rgb="FF0066CC"/>
      </bottom>
      <diagonal/>
    </border>
    <border>
      <left style="thin">
        <color auto="1"/>
      </left>
      <right style="thin">
        <color auto="1"/>
      </right>
      <top style="thin">
        <color auto="1"/>
      </top>
      <bottom style="thin">
        <color auto="1"/>
      </bottom>
      <diagonal/>
    </border>
    <border>
      <left/>
      <right/>
      <top/>
      <bottom style="double">
        <color rgb="FFFF9900"/>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right/>
      <top style="thin">
        <color rgb="FF333399"/>
      </top>
      <bottom style="double">
        <color rgb="FF333399"/>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n">
        <color auto="1"/>
      </left>
      <right/>
      <top style="thin">
        <color auto="1"/>
      </top>
      <bottom/>
      <diagonal/>
    </border>
    <border>
      <left style="thin">
        <color indexed="64"/>
      </left>
      <right style="medium">
        <color indexed="64"/>
      </right>
      <top style="thin">
        <color indexed="64"/>
      </top>
      <bottom style="medium">
        <color indexed="64"/>
      </bottom>
      <diagonal/>
    </border>
    <border>
      <left style="thin">
        <color auto="1"/>
      </left>
      <right style="medium">
        <color indexed="64"/>
      </right>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diagonal/>
    </border>
    <border>
      <left style="hair">
        <color auto="1"/>
      </left>
      <right/>
      <top style="hair">
        <color auto="1"/>
      </top>
      <bottom style="hair">
        <color auto="1"/>
      </bottom>
      <diagonal/>
    </border>
    <border>
      <left style="hair">
        <color auto="1"/>
      </left>
      <right/>
      <top style="hair">
        <color auto="1"/>
      </top>
      <bottom/>
      <diagonal/>
    </border>
    <border>
      <left style="hair">
        <color auto="1"/>
      </left>
      <right/>
      <top/>
      <bottom style="hair">
        <color auto="1"/>
      </bottom>
      <diagonal/>
    </border>
  </borders>
  <cellStyleXfs count="770">
    <xf numFmtId="0" fontId="0" fillId="0" borderId="0"/>
    <xf numFmtId="0" fontId="74" fillId="0" borderId="0">
      <alignment vertical="center"/>
    </xf>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12"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9"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0"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0" fontId="2" fillId="15" borderId="0"/>
    <xf numFmtId="9" fontId="3" fillId="0"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6"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7"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8"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3"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4"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2" fillId="19" borderId="0"/>
    <xf numFmtId="0" fontId="4" fillId="0" borderId="0">
      <alignment horizontal="center" wrapText="1"/>
      <protection locked="0"/>
    </xf>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164" fontId="6" fillId="0" borderId="0"/>
    <xf numFmtId="164" fontId="6" fillId="0" borderId="0"/>
    <xf numFmtId="164" fontId="6" fillId="0" borderId="0"/>
    <xf numFmtId="164" fontId="6" fillId="0" borderId="0"/>
    <xf numFmtId="164" fontId="6" fillId="0" borderId="0"/>
    <xf numFmtId="164" fontId="6" fillId="0" borderId="0"/>
    <xf numFmtId="164" fontId="6" fillId="0" borderId="0"/>
    <xf numFmtId="0" fontId="7" fillId="20" borderId="1"/>
    <xf numFmtId="0" fontId="7" fillId="20" borderId="1"/>
    <xf numFmtId="0" fontId="7" fillId="20" borderId="1"/>
    <xf numFmtId="0" fontId="7" fillId="20" borderId="1"/>
    <xf numFmtId="0" fontId="7" fillId="20" borderId="1"/>
    <xf numFmtId="0" fontId="7" fillId="20" borderId="1"/>
    <xf numFmtId="0" fontId="7" fillId="20" borderId="1"/>
    <xf numFmtId="0" fontId="7" fillId="20" borderId="1"/>
    <xf numFmtId="0" fontId="8" fillId="21" borderId="2"/>
    <xf numFmtId="0" fontId="8" fillId="21" borderId="2"/>
    <xf numFmtId="0" fontId="8" fillId="21" borderId="2"/>
    <xf numFmtId="0" fontId="8" fillId="21" borderId="2"/>
    <xf numFmtId="0" fontId="8" fillId="21" borderId="2"/>
    <xf numFmtId="0" fontId="8" fillId="21" borderId="2"/>
    <xf numFmtId="0" fontId="8" fillId="21" borderId="2"/>
    <xf numFmtId="0" fontId="8" fillId="21" borderId="2"/>
    <xf numFmtId="165" fontId="6" fillId="0" borderId="0"/>
    <xf numFmtId="165" fontId="6" fillId="0" borderId="0"/>
    <xf numFmtId="165" fontId="6" fillId="0" borderId="0"/>
    <xf numFmtId="165" fontId="6" fillId="0" borderId="0"/>
    <xf numFmtId="165" fontId="6" fillId="0" borderId="0"/>
    <xf numFmtId="165" fontId="6" fillId="0" borderId="0"/>
    <xf numFmtId="165" fontId="6" fillId="0" borderId="0"/>
    <xf numFmtId="165" fontId="6" fillId="0" borderId="0"/>
    <xf numFmtId="166" fontId="1" fillId="0" borderId="0"/>
    <xf numFmtId="166" fontId="1" fillId="0" borderId="0"/>
    <xf numFmtId="166" fontId="1" fillId="0" borderId="0"/>
    <xf numFmtId="166" fontId="1" fillId="0" borderId="0"/>
    <xf numFmtId="166" fontId="1"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6" fillId="0" borderId="0"/>
    <xf numFmtId="166" fontId="1" fillId="0" borderId="0"/>
    <xf numFmtId="166" fontId="6" fillId="0" borderId="0"/>
    <xf numFmtId="166" fontId="6" fillId="0" borderId="0"/>
    <xf numFmtId="166" fontId="6" fillId="0" borderId="0"/>
    <xf numFmtId="166" fontId="6" fillId="0" borderId="0"/>
    <xf numFmtId="166" fontId="6" fillId="0" borderId="0"/>
    <xf numFmtId="166" fontId="6" fillId="0" borderId="0"/>
    <xf numFmtId="0" fontId="9" fillId="0" borderId="0">
      <alignment horizontal="left"/>
    </xf>
    <xf numFmtId="0" fontId="10" fillId="0" borderId="0"/>
    <xf numFmtId="167" fontId="6" fillId="0" borderId="0"/>
    <xf numFmtId="0" fontId="11" fillId="0" borderId="0">
      <alignment horizontal="left"/>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8" fontId="13" fillId="0" borderId="3">
      <alignment horizontal="right"/>
    </xf>
    <xf numFmtId="0" fontId="14" fillId="4" borderId="0"/>
    <xf numFmtId="0" fontId="14" fillId="4" borderId="0"/>
    <xf numFmtId="0" fontId="14" fillId="4" borderId="0"/>
    <xf numFmtId="0" fontId="14" fillId="4" borderId="0"/>
    <xf numFmtId="0" fontId="14" fillId="4" borderId="0"/>
    <xf numFmtId="0" fontId="14" fillId="4" borderId="0"/>
    <xf numFmtId="0" fontId="14" fillId="4" borderId="0"/>
    <xf numFmtId="0" fontId="14" fillId="4" borderId="0"/>
    <xf numFmtId="169" fontId="15" fillId="20" borderId="0"/>
    <xf numFmtId="169" fontId="15" fillId="20" borderId="0"/>
    <xf numFmtId="169" fontId="15" fillId="20" borderId="0"/>
    <xf numFmtId="169" fontId="15" fillId="20" borderId="0"/>
    <xf numFmtId="169" fontId="15" fillId="20" borderId="0"/>
    <xf numFmtId="169" fontId="15" fillId="20" borderId="0"/>
    <xf numFmtId="0" fontId="16" fillId="0" borderId="4">
      <alignment horizontal="left" vertical="center"/>
    </xf>
    <xf numFmtId="0" fontId="16" fillId="0" borderId="5">
      <alignment horizontal="left" vertical="center"/>
    </xf>
    <xf numFmtId="0" fontId="17" fillId="0" borderId="6"/>
    <xf numFmtId="0" fontId="17" fillId="0" borderId="6"/>
    <xf numFmtId="0" fontId="17" fillId="0" borderId="6"/>
    <xf numFmtId="0" fontId="17" fillId="0" borderId="6"/>
    <xf numFmtId="0" fontId="17" fillId="0" borderId="6"/>
    <xf numFmtId="0" fontId="17" fillId="0" borderId="6"/>
    <xf numFmtId="0" fontId="17" fillId="0" borderId="6"/>
    <xf numFmtId="0" fontId="17" fillId="0" borderId="6"/>
    <xf numFmtId="0" fontId="18" fillId="0" borderId="7"/>
    <xf numFmtId="0" fontId="18" fillId="0" borderId="7"/>
    <xf numFmtId="0" fontId="18" fillId="0" borderId="7"/>
    <xf numFmtId="0" fontId="18" fillId="0" borderId="7"/>
    <xf numFmtId="0" fontId="18" fillId="0" borderId="7"/>
    <xf numFmtId="0" fontId="18" fillId="0" borderId="7"/>
    <xf numFmtId="0" fontId="18" fillId="0" borderId="7"/>
    <xf numFmtId="0" fontId="18" fillId="0" borderId="7"/>
    <xf numFmtId="0" fontId="19" fillId="0" borderId="8"/>
    <xf numFmtId="0" fontId="19" fillId="0" borderId="8"/>
    <xf numFmtId="0" fontId="19" fillId="0" borderId="8"/>
    <xf numFmtId="0" fontId="19" fillId="0" borderId="8"/>
    <xf numFmtId="0" fontId="19" fillId="0" borderId="8"/>
    <xf numFmtId="0" fontId="19" fillId="0" borderId="8"/>
    <xf numFmtId="0" fontId="19" fillId="0" borderId="8"/>
    <xf numFmtId="0" fontId="19" fillId="0" borderId="8"/>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0" fillId="0" borderId="0">
      <alignment vertical="top"/>
      <protection locked="0"/>
    </xf>
    <xf numFmtId="0" fontId="21" fillId="0" borderId="0">
      <alignment vertical="top"/>
      <protection locked="0"/>
    </xf>
    <xf numFmtId="0" fontId="22" fillId="0" borderId="0">
      <alignment vertical="top"/>
      <protection locked="0"/>
    </xf>
    <xf numFmtId="0" fontId="23" fillId="7" borderId="1"/>
    <xf numFmtId="0" fontId="23" fillId="7" borderId="1"/>
    <xf numFmtId="0" fontId="23" fillId="7" borderId="1"/>
    <xf numFmtId="0" fontId="23" fillId="7" borderId="1"/>
    <xf numFmtId="0" fontId="23" fillId="7" borderId="1"/>
    <xf numFmtId="0" fontId="23" fillId="7" borderId="1"/>
    <xf numFmtId="0" fontId="23" fillId="7" borderId="1"/>
    <xf numFmtId="0" fontId="23" fillId="7" borderId="1"/>
    <xf numFmtId="10" fontId="15" fillId="22" borderId="9"/>
    <xf numFmtId="10" fontId="15" fillId="22" borderId="9"/>
    <xf numFmtId="10" fontId="15" fillId="22" borderId="9"/>
    <xf numFmtId="10" fontId="15" fillId="22" borderId="9"/>
    <xf numFmtId="10" fontId="15" fillId="22" borderId="9"/>
    <xf numFmtId="10" fontId="15" fillId="22" borderId="9"/>
    <xf numFmtId="170" fontId="24" fillId="23" borderId="0"/>
    <xf numFmtId="0" fontId="25" fillId="0" borderId="10"/>
    <xf numFmtId="0" fontId="25" fillId="0" borderId="10"/>
    <xf numFmtId="0" fontId="25" fillId="0" borderId="10"/>
    <xf numFmtId="0" fontId="25" fillId="0" borderId="10"/>
    <xf numFmtId="0" fontId="25" fillId="0" borderId="10"/>
    <xf numFmtId="0" fontId="25" fillId="0" borderId="10"/>
    <xf numFmtId="0" fontId="25" fillId="0" borderId="10"/>
    <xf numFmtId="0" fontId="25" fillId="0" borderId="10"/>
    <xf numFmtId="170" fontId="26" fillId="24" borderId="0"/>
    <xf numFmtId="171" fontId="6" fillId="0" borderId="0"/>
    <xf numFmtId="172" fontId="6" fillId="0" borderId="0"/>
    <xf numFmtId="173" fontId="6" fillId="0" borderId="0"/>
    <xf numFmtId="174" fontId="6" fillId="0" borderId="0"/>
    <xf numFmtId="0" fontId="27" fillId="25" borderId="0"/>
    <xf numFmtId="0" fontId="27" fillId="25" borderId="0"/>
    <xf numFmtId="0" fontId="27" fillId="25" borderId="0"/>
    <xf numFmtId="0" fontId="27" fillId="25" borderId="0"/>
    <xf numFmtId="0" fontId="27" fillId="25" borderId="0"/>
    <xf numFmtId="0" fontId="27" fillId="25" borderId="0"/>
    <xf numFmtId="0" fontId="27" fillId="25" borderId="0"/>
    <xf numFmtId="0" fontId="27" fillId="25" borderId="0"/>
    <xf numFmtId="175" fontId="28" fillId="0" borderId="0"/>
    <xf numFmtId="0" fontId="6" fillId="0" borderId="0"/>
    <xf numFmtId="0" fontId="6" fillId="0" borderId="0"/>
    <xf numFmtId="0" fontId="6" fillId="0" borderId="0"/>
    <xf numFmtId="0" fontId="78" fillId="0" borderId="0"/>
    <xf numFmtId="0" fontId="78" fillId="0" borderId="0"/>
    <xf numFmtId="0" fontId="78" fillId="0" borderId="0"/>
    <xf numFmtId="0" fontId="6" fillId="0" borderId="0"/>
    <xf numFmtId="0" fontId="6" fillId="0" borderId="0"/>
    <xf numFmtId="0" fontId="6" fillId="0" borderId="0"/>
    <xf numFmtId="0" fontId="6" fillId="0" borderId="0"/>
    <xf numFmtId="0" fontId="78" fillId="0" borderId="0"/>
    <xf numFmtId="0" fontId="6" fillId="0" borderId="0"/>
    <xf numFmtId="0" fontId="29"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8" fillId="0" borderId="0"/>
    <xf numFmtId="0" fontId="1" fillId="0" borderId="0"/>
    <xf numFmtId="0" fontId="6" fillId="0" borderId="0"/>
    <xf numFmtId="0" fontId="1" fillId="0" borderId="0"/>
    <xf numFmtId="0" fontId="6" fillId="0" borderId="0"/>
    <xf numFmtId="0" fontId="6"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8" fillId="0" borderId="0"/>
    <xf numFmtId="0" fontId="6" fillId="22" borderId="11"/>
    <xf numFmtId="0" fontId="6" fillId="22" borderId="11"/>
    <xf numFmtId="0" fontId="6" fillId="22" borderId="11"/>
    <xf numFmtId="0" fontId="6" fillId="22" borderId="11"/>
    <xf numFmtId="0" fontId="6" fillId="22" borderId="11"/>
    <xf numFmtId="0" fontId="6" fillId="22" borderId="11"/>
    <xf numFmtId="0" fontId="6" fillId="22" borderId="11"/>
    <xf numFmtId="0" fontId="6" fillId="22" borderId="11"/>
    <xf numFmtId="0" fontId="32" fillId="20" borderId="12"/>
    <xf numFmtId="0" fontId="32" fillId="20" borderId="12"/>
    <xf numFmtId="0" fontId="32" fillId="20" borderId="12"/>
    <xf numFmtId="0" fontId="32" fillId="20" borderId="12"/>
    <xf numFmtId="0" fontId="32" fillId="20" borderId="12"/>
    <xf numFmtId="0" fontId="32" fillId="20" borderId="12"/>
    <xf numFmtId="0" fontId="32" fillId="20" borderId="12"/>
    <xf numFmtId="0" fontId="32" fillId="20" borderId="12"/>
    <xf numFmtId="0" fontId="4" fillId="0" borderId="0">
      <alignment horizontal="center" wrapText="1"/>
      <protection locked="0"/>
    </xf>
    <xf numFmtId="9" fontId="6" fillId="0" borderId="0"/>
    <xf numFmtId="9" fontId="6" fillId="0" borderId="0"/>
    <xf numFmtId="9" fontId="1"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33"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33"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10" fontId="6" fillId="0" borderId="0"/>
    <xf numFmtId="10" fontId="6" fillId="0" borderId="0"/>
    <xf numFmtId="10" fontId="6" fillId="0" borderId="0"/>
    <xf numFmtId="10" fontId="6" fillId="0" borderId="0"/>
    <xf numFmtId="10" fontId="6" fillId="0" borderId="0"/>
    <xf numFmtId="10" fontId="6" fillId="0" borderId="0"/>
    <xf numFmtId="0" fontId="34" fillId="0" borderId="0"/>
    <xf numFmtId="176" fontId="35" fillId="0" borderId="0"/>
    <xf numFmtId="0" fontId="36" fillId="0" borderId="0">
      <alignment horizontal="left"/>
    </xf>
    <xf numFmtId="177" fontId="6" fillId="0" borderId="0">
      <alignment horizontal="left"/>
    </xf>
    <xf numFmtId="177" fontId="6" fillId="0" borderId="0">
      <alignment horizontal="left"/>
    </xf>
    <xf numFmtId="177" fontId="6" fillId="0" borderId="0">
      <alignment horizontal="left"/>
    </xf>
    <xf numFmtId="177" fontId="6" fillId="0" borderId="0">
      <alignment horizontal="left"/>
    </xf>
    <xf numFmtId="177" fontId="6" fillId="0" borderId="0">
      <alignment horizontal="left"/>
    </xf>
    <xf numFmtId="177" fontId="6" fillId="0" borderId="0">
      <alignment horizontal="left"/>
    </xf>
    <xf numFmtId="177" fontId="6" fillId="0" borderId="0">
      <alignment horizontal="left"/>
    </xf>
    <xf numFmtId="0" fontId="37" fillId="0" borderId="0">
      <alignment vertical="top"/>
      <protection locked="0"/>
    </xf>
    <xf numFmtId="0" fontId="36" fillId="0" borderId="0"/>
    <xf numFmtId="0" fontId="38" fillId="0" borderId="0"/>
    <xf numFmtId="178" fontId="39" fillId="0" borderId="0">
      <alignment horizontal="right"/>
    </xf>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1" fillId="0" borderId="13"/>
    <xf numFmtId="0" fontId="41" fillId="0" borderId="13"/>
    <xf numFmtId="0" fontId="41" fillId="0" borderId="13"/>
    <xf numFmtId="0" fontId="41" fillId="0" borderId="13"/>
    <xf numFmtId="0" fontId="41" fillId="0" borderId="13"/>
    <xf numFmtId="0" fontId="41" fillId="0" borderId="13"/>
    <xf numFmtId="0" fontId="41" fillId="0" borderId="13"/>
    <xf numFmtId="0" fontId="41" fillId="0" borderId="13"/>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179" fontId="43" fillId="0" borderId="0"/>
    <xf numFmtId="180" fontId="43" fillId="0" borderId="0"/>
    <xf numFmtId="181" fontId="43" fillId="0" borderId="0"/>
    <xf numFmtId="182" fontId="43" fillId="0" borderId="0"/>
    <xf numFmtId="0" fontId="43" fillId="0" borderId="0"/>
    <xf numFmtId="183" fontId="6" fillId="0" borderId="0"/>
    <xf numFmtId="184" fontId="6" fillId="0" borderId="0"/>
    <xf numFmtId="0" fontId="85" fillId="0" borderId="0"/>
    <xf numFmtId="0" fontId="85" fillId="0" borderId="0"/>
    <xf numFmtId="0" fontId="85" fillId="0" borderId="0"/>
  </cellStyleXfs>
  <cellXfs count="623">
    <xf numFmtId="0" fontId="0" fillId="0" borderId="0" xfId="0"/>
    <xf numFmtId="0" fontId="31" fillId="0" borderId="0" xfId="489" applyFont="1" applyAlignment="1">
      <alignment horizontal="center" vertical="center" wrapText="1"/>
    </xf>
    <xf numFmtId="0" fontId="31" fillId="0" borderId="0" xfId="489" applyFont="1" applyAlignment="1">
      <alignment horizontal="left" vertical="center" wrapText="1"/>
    </xf>
    <xf numFmtId="0" fontId="44" fillId="0" borderId="0" xfId="488" applyFont="1"/>
    <xf numFmtId="0" fontId="44" fillId="0" borderId="0" xfId="488" applyFont="1" applyAlignment="1">
      <alignment horizontal="center"/>
    </xf>
    <xf numFmtId="0" fontId="45" fillId="0" borderId="0" xfId="488" applyFont="1" applyAlignment="1">
      <alignment horizontal="center" vertical="center" wrapText="1"/>
    </xf>
    <xf numFmtId="0" fontId="46" fillId="0" borderId="0" xfId="599" applyFont="1" applyAlignment="1">
      <alignment horizontal="center" vertical="center" wrapText="1"/>
    </xf>
    <xf numFmtId="0" fontId="47" fillId="0" borderId="0" xfId="599" applyFont="1" applyAlignment="1">
      <alignment vertical="center" wrapText="1"/>
    </xf>
    <xf numFmtId="0" fontId="48" fillId="0" borderId="0" xfId="500" applyFont="1" applyAlignment="1">
      <alignment vertical="center" wrapText="1"/>
    </xf>
    <xf numFmtId="0" fontId="49" fillId="0" borderId="0" xfId="500" applyFont="1" applyAlignment="1">
      <alignment vertical="center" wrapText="1"/>
    </xf>
    <xf numFmtId="0" fontId="50" fillId="0" borderId="0" xfId="488" applyFont="1" applyAlignment="1">
      <alignment horizontal="center" vertical="center" wrapText="1"/>
    </xf>
    <xf numFmtId="1" fontId="44" fillId="0" borderId="0" xfId="488" applyNumberFormat="1" applyFont="1"/>
    <xf numFmtId="1" fontId="52" fillId="26" borderId="0" xfId="488" applyNumberFormat="1" applyFont="1" applyFill="1" applyAlignment="1">
      <alignment horizontal="center" vertical="center" wrapText="1"/>
    </xf>
    <xf numFmtId="0" fontId="44" fillId="0" borderId="0" xfId="488" applyFont="1" applyAlignment="1">
      <alignment vertical="center"/>
    </xf>
    <xf numFmtId="1" fontId="53" fillId="0" borderId="0" xfId="488" applyNumberFormat="1" applyFont="1" applyAlignment="1">
      <alignment horizontal="center" vertical="center" wrapText="1"/>
    </xf>
    <xf numFmtId="2" fontId="53" fillId="0" borderId="0" xfId="488" applyNumberFormat="1" applyFont="1" applyAlignment="1">
      <alignment horizontal="right" vertical="center" wrapText="1"/>
    </xf>
    <xf numFmtId="2" fontId="52" fillId="0" borderId="0" xfId="488" applyNumberFormat="1" applyFont="1" applyAlignment="1">
      <alignment horizontal="center" vertical="center"/>
    </xf>
    <xf numFmtId="2" fontId="44" fillId="0" borderId="0" xfId="488" applyNumberFormat="1" applyFont="1" applyAlignment="1">
      <alignment horizontal="right" vertical="top"/>
    </xf>
    <xf numFmtId="2" fontId="55" fillId="0" borderId="0" xfId="0" applyNumberFormat="1" applyFont="1" applyAlignment="1">
      <alignment vertical="center"/>
    </xf>
    <xf numFmtId="0" fontId="55" fillId="0" borderId="0" xfId="0" applyFont="1" applyAlignment="1">
      <alignment horizontal="left" vertical="center" wrapText="1"/>
    </xf>
    <xf numFmtId="0" fontId="55" fillId="0" borderId="0" xfId="0" applyFont="1" applyAlignment="1">
      <alignment vertical="center"/>
    </xf>
    <xf numFmtId="1" fontId="51" fillId="0" borderId="0" xfId="488" applyNumberFormat="1" applyFont="1"/>
    <xf numFmtId="2" fontId="44" fillId="0" borderId="0" xfId="488" applyNumberFormat="1" applyFont="1" applyAlignment="1">
      <alignment horizontal="center" vertical="center"/>
    </xf>
    <xf numFmtId="1" fontId="46" fillId="27" borderId="0" xfId="488" applyNumberFormat="1" applyFont="1" applyFill="1" applyAlignment="1">
      <alignment horizontal="center" vertical="center"/>
    </xf>
    <xf numFmtId="2" fontId="51" fillId="0" borderId="0" xfId="488" applyNumberFormat="1" applyFont="1" applyAlignment="1">
      <alignment horizontal="left" vertical="center"/>
    </xf>
    <xf numFmtId="1" fontId="57" fillId="0" borderId="0" xfId="488" applyNumberFormat="1" applyFont="1" applyAlignment="1">
      <alignment horizontal="left" vertical="center"/>
    </xf>
    <xf numFmtId="0" fontId="51" fillId="0" borderId="0" xfId="488" applyFont="1"/>
    <xf numFmtId="0" fontId="51" fillId="0" borderId="0" xfId="488" applyFont="1" applyAlignment="1">
      <alignment vertical="center"/>
    </xf>
    <xf numFmtId="2" fontId="50" fillId="0" borderId="0" xfId="488" applyNumberFormat="1" applyFont="1" applyAlignment="1">
      <alignment horizontal="center" vertical="center"/>
    </xf>
    <xf numFmtId="2" fontId="44" fillId="0" borderId="0" xfId="488" applyNumberFormat="1" applyFont="1" applyAlignment="1">
      <alignment vertical="center"/>
    </xf>
    <xf numFmtId="1" fontId="50" fillId="0" borderId="0" xfId="488" applyNumberFormat="1" applyFont="1" applyAlignment="1">
      <alignment vertical="center"/>
    </xf>
    <xf numFmtId="0" fontId="58" fillId="0" borderId="0" xfId="488" applyFont="1" applyAlignment="1">
      <alignment horizontal="left" vertical="center"/>
    </xf>
    <xf numFmtId="0" fontId="59" fillId="0" borderId="0" xfId="488" applyFont="1" applyAlignment="1">
      <alignment horizontal="left" vertical="center"/>
    </xf>
    <xf numFmtId="0" fontId="44" fillId="0" borderId="0" xfId="488" applyFont="1" applyAlignment="1" applyProtection="1">
      <alignment horizontal="left" vertical="center"/>
      <protection hidden="1"/>
    </xf>
    <xf numFmtId="0" fontId="60" fillId="0" borderId="0" xfId="488" applyFont="1" applyAlignment="1">
      <alignment vertical="center"/>
    </xf>
    <xf numFmtId="2" fontId="50" fillId="0" borderId="0" xfId="488" applyNumberFormat="1" applyFont="1" applyAlignment="1">
      <alignment horizontal="center"/>
    </xf>
    <xf numFmtId="2" fontId="44" fillId="0" borderId="0" xfId="488" applyNumberFormat="1" applyFont="1"/>
    <xf numFmtId="0" fontId="50" fillId="0" borderId="0" xfId="488" applyFont="1"/>
    <xf numFmtId="0" fontId="44" fillId="0" borderId="18" xfId="488" applyFont="1" applyBorder="1"/>
    <xf numFmtId="0" fontId="44" fillId="0" borderId="19" xfId="488" applyFont="1" applyBorder="1"/>
    <xf numFmtId="0" fontId="44" fillId="0" borderId="20" xfId="488" applyFont="1" applyBorder="1" applyAlignment="1">
      <alignment horizontal="center"/>
    </xf>
    <xf numFmtId="2" fontId="44" fillId="0" borderId="0" xfId="488" applyNumberFormat="1" applyFont="1" applyAlignment="1">
      <alignment horizontal="center" vertical="top" wrapText="1"/>
    </xf>
    <xf numFmtId="0" fontId="56" fillId="0" borderId="0" xfId="0" applyFont="1"/>
    <xf numFmtId="0" fontId="56" fillId="0" borderId="0" xfId="0" applyFont="1" applyAlignment="1">
      <alignment horizontal="center" vertical="center"/>
    </xf>
    <xf numFmtId="0" fontId="62" fillId="0" borderId="0" xfId="0" applyFont="1" applyAlignment="1">
      <alignment horizontal="center"/>
    </xf>
    <xf numFmtId="0" fontId="64" fillId="0" borderId="0" xfId="0" applyFont="1" applyAlignment="1">
      <alignment horizontal="left" vertical="center" wrapText="1"/>
    </xf>
    <xf numFmtId="0" fontId="56" fillId="0" borderId="0" xfId="0" applyFont="1" applyAlignment="1">
      <alignment horizontal="center" vertical="center" wrapText="1"/>
    </xf>
    <xf numFmtId="1" fontId="56" fillId="0" borderId="0" xfId="0" applyNumberFormat="1" applyFont="1" applyAlignment="1">
      <alignment horizontal="center" vertical="center" wrapText="1"/>
    </xf>
    <xf numFmtId="2" fontId="56" fillId="0" borderId="0" xfId="0" applyNumberFormat="1" applyFont="1" applyAlignment="1">
      <alignment horizontal="center" vertical="center" wrapText="1"/>
    </xf>
    <xf numFmtId="0" fontId="66" fillId="0" borderId="0" xfId="491" applyFont="1" applyProtection="1">
      <protection hidden="1"/>
    </xf>
    <xf numFmtId="2" fontId="67" fillId="0" borderId="0" xfId="0" applyNumberFormat="1" applyFont="1" applyAlignment="1">
      <alignment horizontal="center" vertical="center" wrapText="1"/>
    </xf>
    <xf numFmtId="0" fontId="67" fillId="0" borderId="0" xfId="0" applyFont="1" applyProtection="1">
      <protection hidden="1"/>
    </xf>
    <xf numFmtId="0" fontId="6" fillId="0" borderId="0" xfId="0" applyFont="1" applyProtection="1">
      <protection hidden="1"/>
    </xf>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xf>
    <xf numFmtId="0" fontId="0" fillId="0" borderId="0" xfId="0" applyAlignment="1">
      <alignment horizontal="justify" vertical="center" wrapText="1"/>
    </xf>
    <xf numFmtId="0" fontId="68" fillId="0" borderId="0" xfId="0" applyFont="1"/>
    <xf numFmtId="0" fontId="6" fillId="0" borderId="0" xfId="587" applyAlignment="1">
      <alignment horizontal="center" vertical="center" wrapText="1"/>
    </xf>
    <xf numFmtId="0" fontId="69" fillId="0" borderId="0" xfId="587" applyFont="1" applyAlignment="1">
      <alignment vertical="center" wrapText="1"/>
    </xf>
    <xf numFmtId="0" fontId="65" fillId="0" borderId="0" xfId="0" applyFont="1"/>
    <xf numFmtId="186" fontId="6" fillId="0" borderId="0" xfId="0" applyNumberFormat="1" applyFont="1" applyAlignment="1" applyProtection="1">
      <alignment horizontal="right" vertical="top"/>
      <protection hidden="1"/>
    </xf>
    <xf numFmtId="0" fontId="6" fillId="0" borderId="0" xfId="0" applyFont="1" applyAlignment="1" applyProtection="1">
      <alignment vertical="top"/>
      <protection hidden="1"/>
    </xf>
    <xf numFmtId="2" fontId="6" fillId="0" borderId="0" xfId="0" applyNumberFormat="1" applyFont="1" applyProtection="1">
      <protection hidden="1"/>
    </xf>
    <xf numFmtId="2" fontId="70" fillId="0" borderId="0" xfId="587" applyNumberFormat="1" applyFont="1" applyAlignment="1">
      <alignment horizontal="center" vertical="center" wrapText="1"/>
    </xf>
    <xf numFmtId="2" fontId="6" fillId="0" borderId="0" xfId="587" applyNumberFormat="1" applyAlignment="1">
      <alignment horizontal="center" vertical="center" wrapText="1"/>
    </xf>
    <xf numFmtId="0" fontId="13" fillId="0" borderId="0" xfId="0" applyFont="1" applyProtection="1">
      <protection hidden="1"/>
    </xf>
    <xf numFmtId="0" fontId="69" fillId="0" borderId="0" xfId="0" applyFont="1" applyProtection="1">
      <protection hidden="1"/>
    </xf>
    <xf numFmtId="2" fontId="69" fillId="0" borderId="0" xfId="0" applyNumberFormat="1" applyFont="1" applyProtection="1">
      <protection hidden="1"/>
    </xf>
    <xf numFmtId="0" fontId="6" fillId="0" borderId="0" xfId="587" applyAlignment="1">
      <alignment horizontal="left" vertical="center" wrapText="1"/>
    </xf>
    <xf numFmtId="0" fontId="13" fillId="0" borderId="0" xfId="587" applyFont="1" applyAlignment="1">
      <alignment horizontal="center" vertical="center" wrapText="1"/>
    </xf>
    <xf numFmtId="0" fontId="60" fillId="0" borderId="0" xfId="515" applyFont="1" applyAlignment="1">
      <alignment horizontal="center" vertical="center" wrapText="1"/>
    </xf>
    <xf numFmtId="0" fontId="71" fillId="26" borderId="0" xfId="502" applyFont="1" applyFill="1"/>
    <xf numFmtId="0" fontId="71" fillId="26" borderId="0" xfId="502" applyFont="1" applyFill="1" applyAlignment="1">
      <alignment horizontal="center"/>
    </xf>
    <xf numFmtId="0" fontId="71" fillId="26" borderId="19" xfId="502" applyFont="1" applyFill="1" applyBorder="1"/>
    <xf numFmtId="0" fontId="71" fillId="26" borderId="0" xfId="502" applyFont="1" applyFill="1" applyProtection="1">
      <protection hidden="1"/>
    </xf>
    <xf numFmtId="0" fontId="71" fillId="26" borderId="0" xfId="502" applyFont="1" applyFill="1" applyAlignment="1" applyProtection="1">
      <alignment vertical="center"/>
      <protection hidden="1"/>
    </xf>
    <xf numFmtId="0" fontId="72" fillId="26" borderId="0" xfId="502" applyFont="1" applyFill="1" applyAlignment="1" applyProtection="1">
      <alignment horizontal="center" wrapText="1"/>
      <protection hidden="1"/>
    </xf>
    <xf numFmtId="0" fontId="71" fillId="26" borderId="0" xfId="502" applyFont="1" applyFill="1" applyAlignment="1" applyProtection="1">
      <alignment wrapText="1"/>
      <protection hidden="1"/>
    </xf>
    <xf numFmtId="0" fontId="71" fillId="26" borderId="0" xfId="502" applyFont="1" applyFill="1" applyAlignment="1" applyProtection="1">
      <alignment horizontal="center"/>
      <protection hidden="1"/>
    </xf>
    <xf numFmtId="0" fontId="72" fillId="26" borderId="0" xfId="502" applyFont="1" applyFill="1" applyAlignment="1" applyProtection="1">
      <alignment wrapText="1"/>
      <protection hidden="1"/>
    </xf>
    <xf numFmtId="0" fontId="75" fillId="0" borderId="0" xfId="0" applyFont="1" applyAlignment="1">
      <alignment vertical="center" wrapText="1"/>
    </xf>
    <xf numFmtId="0" fontId="75" fillId="0" borderId="0" xfId="0" applyFont="1" applyAlignment="1">
      <alignment horizontal="left" wrapText="1"/>
    </xf>
    <xf numFmtId="0" fontId="63" fillId="0" borderId="0" xfId="0" applyFont="1" applyAlignment="1">
      <alignment vertical="center"/>
    </xf>
    <xf numFmtId="0" fontId="63" fillId="0" borderId="0" xfId="0" applyFont="1"/>
    <xf numFmtId="0" fontId="75" fillId="0" borderId="0" xfId="0" applyFont="1"/>
    <xf numFmtId="0" fontId="76" fillId="0" borderId="0" xfId="0" applyFont="1"/>
    <xf numFmtId="2" fontId="75" fillId="0" borderId="0" xfId="0" applyNumberFormat="1" applyFont="1" applyAlignment="1">
      <alignment vertical="center"/>
    </xf>
    <xf numFmtId="2" fontId="75" fillId="0" borderId="0" xfId="0" applyNumberFormat="1" applyFont="1"/>
    <xf numFmtId="2" fontId="61" fillId="0" borderId="0" xfId="0" applyNumberFormat="1" applyFont="1"/>
    <xf numFmtId="0" fontId="77" fillId="0" borderId="0" xfId="0" applyFont="1"/>
    <xf numFmtId="0" fontId="75" fillId="0" borderId="0" xfId="0" applyFont="1" applyAlignment="1">
      <alignment vertical="center"/>
    </xf>
    <xf numFmtId="0" fontId="81" fillId="0" borderId="0" xfId="0" applyFont="1" applyAlignment="1">
      <alignment horizontal="center"/>
    </xf>
    <xf numFmtId="0" fontId="81" fillId="0" borderId="0" xfId="0" applyFont="1"/>
    <xf numFmtId="0" fontId="80" fillId="0" borderId="9" xfId="0" applyFont="1" applyBorder="1" applyAlignment="1">
      <alignment horizontal="center" vertical="center" wrapText="1"/>
    </xf>
    <xf numFmtId="0" fontId="80" fillId="0" borderId="9" xfId="0" applyFont="1" applyBorder="1" applyAlignment="1">
      <alignment horizontal="center" vertical="center"/>
    </xf>
    <xf numFmtId="0" fontId="81" fillId="0" borderId="9" xfId="0" applyFont="1" applyBorder="1" applyAlignment="1">
      <alignment horizontal="center" vertical="center" wrapText="1"/>
    </xf>
    <xf numFmtId="0" fontId="81" fillId="0" borderId="9" xfId="0" applyFont="1" applyBorder="1" applyAlignment="1">
      <alignment vertical="top" wrapText="1"/>
    </xf>
    <xf numFmtId="0" fontId="81" fillId="0" borderId="9" xfId="0" applyFont="1" applyBorder="1" applyAlignment="1">
      <alignment horizontal="center" vertical="center"/>
    </xf>
    <xf numFmtId="0" fontId="81" fillId="0" borderId="9" xfId="0" applyFont="1" applyBorder="1" applyAlignment="1">
      <alignment horizontal="justify" vertical="center" wrapText="1"/>
    </xf>
    <xf numFmtId="0" fontId="81" fillId="0" borderId="9" xfId="0" applyFont="1" applyBorder="1" applyAlignment="1">
      <alignment wrapText="1"/>
    </xf>
    <xf numFmtId="185" fontId="81" fillId="0" borderId="9" xfId="0" applyNumberFormat="1" applyFont="1" applyBorder="1" applyAlignment="1">
      <alignment horizontal="center" vertical="center"/>
    </xf>
    <xf numFmtId="2" fontId="81" fillId="0" borderId="9" xfId="0" applyNumberFormat="1" applyFont="1" applyBorder="1" applyAlignment="1">
      <alignment horizontal="center" vertical="center"/>
    </xf>
    <xf numFmtId="185" fontId="82" fillId="0" borderId="9" xfId="0" applyNumberFormat="1" applyFont="1" applyBorder="1" applyAlignment="1">
      <alignment horizontal="center" vertical="center"/>
    </xf>
    <xf numFmtId="0" fontId="81" fillId="0" borderId="9" xfId="0" applyFont="1" applyBorder="1" applyAlignment="1">
      <alignment vertical="center"/>
    </xf>
    <xf numFmtId="0" fontId="81" fillId="0" borderId="9" xfId="0" applyFont="1" applyBorder="1" applyAlignment="1">
      <alignment horizontal="center"/>
    </xf>
    <xf numFmtId="0" fontId="81" fillId="0" borderId="9" xfId="0" applyFont="1" applyBorder="1"/>
    <xf numFmtId="0" fontId="80" fillId="0" borderId="9" xfId="0" applyFont="1" applyBorder="1" applyAlignment="1">
      <alignment vertical="center" wrapText="1"/>
    </xf>
    <xf numFmtId="0" fontId="83" fillId="0" borderId="0" xfId="587" applyFont="1" applyAlignment="1">
      <alignment horizontal="center" vertical="center" wrapText="1"/>
    </xf>
    <xf numFmtId="0" fontId="80" fillId="0" borderId="0" xfId="0" applyFont="1" applyAlignment="1">
      <alignment horizontal="center" vertical="center"/>
    </xf>
    <xf numFmtId="0" fontId="83" fillId="0" borderId="0" xfId="515" applyFont="1" applyAlignment="1">
      <alignment horizontal="center" vertical="center" wrapText="1"/>
    </xf>
    <xf numFmtId="186" fontId="83" fillId="0" borderId="0" xfId="0" applyNumberFormat="1" applyFont="1" applyAlignment="1" applyProtection="1">
      <alignment horizontal="right" vertical="top"/>
      <protection hidden="1"/>
    </xf>
    <xf numFmtId="0" fontId="82" fillId="0" borderId="0" xfId="0" applyFont="1" applyAlignment="1" applyProtection="1">
      <alignment horizontal="left" vertical="top"/>
      <protection hidden="1"/>
    </xf>
    <xf numFmtId="0" fontId="83" fillId="0" borderId="0" xfId="0" applyFont="1" applyAlignment="1" applyProtection="1">
      <alignment horizontal="left" vertical="top"/>
      <protection hidden="1"/>
    </xf>
    <xf numFmtId="0" fontId="83" fillId="0" borderId="0" xfId="0" applyFont="1" applyAlignment="1" applyProtection="1">
      <alignment horizontal="left" vertical="top" wrapText="1" indent="2"/>
      <protection hidden="1"/>
    </xf>
    <xf numFmtId="0" fontId="83" fillId="0" borderId="14" xfId="0" applyFont="1" applyBorder="1" applyAlignment="1" applyProtection="1">
      <alignment horizontal="left"/>
      <protection hidden="1"/>
    </xf>
    <xf numFmtId="0" fontId="83" fillId="0" borderId="24" xfId="0" applyFont="1" applyBorder="1" applyAlignment="1" applyProtection="1">
      <alignment horizontal="left"/>
      <protection hidden="1"/>
    </xf>
    <xf numFmtId="0" fontId="83" fillId="0" borderId="14" xfId="0" applyFont="1" applyBorder="1" applyAlignment="1" applyProtection="1">
      <alignment horizontal="center"/>
      <protection hidden="1"/>
    </xf>
    <xf numFmtId="0" fontId="83" fillId="0" borderId="22" xfId="0" applyFont="1" applyBorder="1" applyAlignment="1" applyProtection="1">
      <alignment horizontal="left"/>
      <protection hidden="1"/>
    </xf>
    <xf numFmtId="0" fontId="83" fillId="0" borderId="20" xfId="0" applyFont="1" applyBorder="1" applyAlignment="1" applyProtection="1">
      <alignment horizontal="left"/>
      <protection hidden="1"/>
    </xf>
    <xf numFmtId="0" fontId="83" fillId="0" borderId="20" xfId="0" applyFont="1" applyBorder="1" applyAlignment="1" applyProtection="1">
      <alignment horizontal="center"/>
      <protection hidden="1"/>
    </xf>
    <xf numFmtId="0" fontId="83" fillId="0" borderId="19" xfId="0" applyFont="1" applyBorder="1" applyAlignment="1" applyProtection="1">
      <alignment horizontal="center"/>
      <protection hidden="1"/>
    </xf>
    <xf numFmtId="0" fontId="83" fillId="0" borderId="22" xfId="0" applyFont="1" applyBorder="1" applyAlignment="1" applyProtection="1">
      <alignment horizontal="center"/>
      <protection hidden="1"/>
    </xf>
    <xf numFmtId="0" fontId="83" fillId="0" borderId="22" xfId="0" applyFont="1" applyBorder="1" applyAlignment="1" applyProtection="1">
      <alignment horizontal="left" vertical="top"/>
      <protection hidden="1"/>
    </xf>
    <xf numFmtId="0" fontId="83" fillId="0" borderId="22" xfId="0" applyFont="1" applyBorder="1" applyAlignment="1" applyProtection="1">
      <alignment horizontal="left" vertical="top" wrapText="1" indent="2"/>
      <protection hidden="1"/>
    </xf>
    <xf numFmtId="0" fontId="82" fillId="0" borderId="19" xfId="0" applyFont="1" applyBorder="1" applyAlignment="1" applyProtection="1">
      <alignment horizontal="left" vertical="top"/>
      <protection hidden="1"/>
    </xf>
    <xf numFmtId="0" fontId="83" fillId="0" borderId="19" xfId="0" applyFont="1" applyBorder="1" applyAlignment="1" applyProtection="1">
      <alignment horizontal="left" vertical="top"/>
      <protection hidden="1"/>
    </xf>
    <xf numFmtId="0" fontId="83" fillId="0" borderId="16" xfId="0" applyFont="1" applyBorder="1" applyAlignment="1" applyProtection="1">
      <alignment horizontal="left"/>
      <protection hidden="1"/>
    </xf>
    <xf numFmtId="0" fontId="83" fillId="0" borderId="15" xfId="0" applyFont="1" applyBorder="1" applyAlignment="1" applyProtection="1">
      <alignment horizontal="left"/>
      <protection hidden="1"/>
    </xf>
    <xf numFmtId="0" fontId="83" fillId="0" borderId="16" xfId="0" applyFont="1" applyBorder="1" applyAlignment="1" applyProtection="1">
      <alignment horizontal="center"/>
      <protection hidden="1"/>
    </xf>
    <xf numFmtId="0" fontId="83" fillId="0" borderId="18" xfId="0" applyFont="1" applyBorder="1" applyAlignment="1" applyProtection="1">
      <alignment horizontal="left"/>
      <protection hidden="1"/>
    </xf>
    <xf numFmtId="0" fontId="83" fillId="0" borderId="18" xfId="0" applyFont="1" applyBorder="1" applyAlignment="1" applyProtection="1">
      <alignment horizontal="center"/>
      <protection hidden="1"/>
    </xf>
    <xf numFmtId="0" fontId="83" fillId="0" borderId="9" xfId="0" applyFont="1" applyBorder="1" applyAlignment="1" applyProtection="1">
      <alignment horizontal="left" vertical="top"/>
      <protection hidden="1"/>
    </xf>
    <xf numFmtId="0" fontId="83" fillId="0" borderId="9" xfId="0" applyFont="1" applyBorder="1" applyAlignment="1" applyProtection="1">
      <alignment horizontal="left" vertical="top" wrapText="1" indent="2"/>
      <protection hidden="1"/>
    </xf>
    <xf numFmtId="188" fontId="83" fillId="0" borderId="9" xfId="0" applyNumberFormat="1" applyFont="1" applyBorder="1" applyAlignment="1" applyProtection="1">
      <alignment horizontal="left" vertical="top"/>
      <protection hidden="1"/>
    </xf>
    <xf numFmtId="0" fontId="83" fillId="0" borderId="23" xfId="0" applyFont="1" applyBorder="1" applyAlignment="1" applyProtection="1">
      <alignment horizontal="left" vertical="top" wrapText="1" indent="2"/>
      <protection hidden="1"/>
    </xf>
    <xf numFmtId="188" fontId="83" fillId="0" borderId="0" xfId="0" applyNumberFormat="1" applyFont="1" applyAlignment="1" applyProtection="1">
      <alignment horizontal="left" vertical="top"/>
      <protection hidden="1"/>
    </xf>
    <xf numFmtId="0" fontId="83" fillId="0" borderId="0" xfId="0" applyFont="1" applyProtection="1">
      <protection hidden="1"/>
    </xf>
    <xf numFmtId="0" fontId="83" fillId="0" borderId="0" xfId="0" applyFont="1" applyAlignment="1" applyProtection="1">
      <alignment horizontal="left"/>
      <protection hidden="1"/>
    </xf>
    <xf numFmtId="2" fontId="83" fillId="0" borderId="0" xfId="0" applyNumberFormat="1" applyFont="1" applyAlignment="1" applyProtection="1">
      <alignment horizontal="center"/>
      <protection hidden="1"/>
    </xf>
    <xf numFmtId="2" fontId="83" fillId="0" borderId="0" xfId="0" applyNumberFormat="1" applyFont="1" applyProtection="1">
      <protection hidden="1"/>
    </xf>
    <xf numFmtId="0" fontId="82" fillId="0" borderId="0" xfId="0" applyFont="1" applyAlignment="1" applyProtection="1">
      <alignment horizontal="left"/>
      <protection hidden="1"/>
    </xf>
    <xf numFmtId="2" fontId="82" fillId="0" borderId="0" xfId="0" applyNumberFormat="1" applyFont="1" applyAlignment="1" applyProtection="1">
      <alignment horizontal="left"/>
      <protection hidden="1"/>
    </xf>
    <xf numFmtId="2" fontId="82" fillId="0" borderId="0" xfId="0" applyNumberFormat="1" applyFont="1" applyAlignment="1" applyProtection="1">
      <alignment horizontal="center"/>
      <protection hidden="1"/>
    </xf>
    <xf numFmtId="2" fontId="82" fillId="0" borderId="0" xfId="587" applyNumberFormat="1" applyFont="1" applyAlignment="1">
      <alignment horizontal="center" vertical="center" wrapText="1"/>
    </xf>
    <xf numFmtId="0" fontId="83" fillId="0" borderId="0" xfId="491" applyFont="1" applyProtection="1">
      <protection hidden="1"/>
    </xf>
    <xf numFmtId="0" fontId="83" fillId="0" borderId="0" xfId="491" applyFont="1" applyAlignment="1" applyProtection="1">
      <alignment horizontal="center"/>
      <protection hidden="1"/>
    </xf>
    <xf numFmtId="0" fontId="82" fillId="0" borderId="0" xfId="491" applyFont="1" applyAlignment="1" applyProtection="1">
      <alignment horizontal="right"/>
      <protection hidden="1"/>
    </xf>
    <xf numFmtId="0" fontId="83" fillId="0" borderId="0" xfId="491" applyFont="1" applyAlignment="1" applyProtection="1">
      <alignment horizontal="right"/>
      <protection hidden="1"/>
    </xf>
    <xf numFmtId="2" fontId="82" fillId="0" borderId="0" xfId="491" applyNumberFormat="1" applyFont="1" applyAlignment="1" applyProtection="1">
      <alignment horizontal="right"/>
      <protection hidden="1"/>
    </xf>
    <xf numFmtId="0" fontId="82" fillId="0" borderId="0" xfId="491" applyFont="1" applyAlignment="1" applyProtection="1">
      <alignment horizontal="left"/>
      <protection hidden="1"/>
    </xf>
    <xf numFmtId="0" fontId="83" fillId="0" borderId="26" xfId="491" applyFont="1" applyBorder="1" applyAlignment="1" applyProtection="1">
      <alignment horizontal="center"/>
      <protection hidden="1"/>
    </xf>
    <xf numFmtId="0" fontId="83" fillId="0" borderId="26" xfId="491" applyFont="1" applyBorder="1" applyProtection="1">
      <protection hidden="1"/>
    </xf>
    <xf numFmtId="2" fontId="83" fillId="0" borderId="0" xfId="587" applyNumberFormat="1" applyFont="1" applyAlignment="1">
      <alignment horizontal="center" vertical="center" wrapText="1"/>
    </xf>
    <xf numFmtId="0" fontId="83" fillId="0" borderId="26" xfId="491" applyFont="1" applyBorder="1" applyAlignment="1" applyProtection="1">
      <alignment horizontal="left"/>
      <protection hidden="1"/>
    </xf>
    <xf numFmtId="0" fontId="83" fillId="0" borderId="26" xfId="491" applyFont="1" applyBorder="1" applyAlignment="1" applyProtection="1">
      <alignment horizontal="left" indent="3"/>
      <protection hidden="1"/>
    </xf>
    <xf numFmtId="2" fontId="83" fillId="0" borderId="0" xfId="491" applyNumberFormat="1" applyFont="1" applyProtection="1">
      <protection hidden="1"/>
    </xf>
    <xf numFmtId="9" fontId="83" fillId="0" borderId="26" xfId="491" applyNumberFormat="1" applyFont="1" applyBorder="1" applyAlignment="1" applyProtection="1">
      <alignment horizontal="center"/>
      <protection hidden="1"/>
    </xf>
    <xf numFmtId="0" fontId="83" fillId="0" borderId="26" xfId="491" applyFont="1" applyBorder="1" applyAlignment="1" applyProtection="1">
      <alignment horizontal="right"/>
      <protection hidden="1"/>
    </xf>
    <xf numFmtId="0" fontId="83" fillId="0" borderId="27" xfId="491" applyFont="1" applyBorder="1" applyAlignment="1" applyProtection="1">
      <alignment horizontal="center"/>
      <protection hidden="1"/>
    </xf>
    <xf numFmtId="0" fontId="83" fillId="0" borderId="28" xfId="491" applyFont="1" applyBorder="1" applyAlignment="1" applyProtection="1">
      <alignment horizontal="center"/>
      <protection hidden="1"/>
    </xf>
    <xf numFmtId="0" fontId="83" fillId="0" borderId="28" xfId="491" applyFont="1" applyBorder="1" applyProtection="1">
      <protection hidden="1"/>
    </xf>
    <xf numFmtId="2" fontId="83" fillId="0" borderId="0" xfId="491" applyNumberFormat="1" applyFont="1" applyAlignment="1" applyProtection="1">
      <alignment horizontal="center"/>
      <protection hidden="1"/>
    </xf>
    <xf numFmtId="2" fontId="83" fillId="0" borderId="5" xfId="491" applyNumberFormat="1" applyFont="1" applyBorder="1" applyAlignment="1" applyProtection="1">
      <alignment horizontal="center"/>
      <protection hidden="1"/>
    </xf>
    <xf numFmtId="2" fontId="81" fillId="0" borderId="0" xfId="491" applyNumberFormat="1" applyFont="1"/>
    <xf numFmtId="2" fontId="81" fillId="0" borderId="0" xfId="491" applyNumberFormat="1" applyFont="1" applyAlignment="1">
      <alignment horizontal="center"/>
    </xf>
    <xf numFmtId="0" fontId="81" fillId="0" borderId="0" xfId="491" applyFont="1"/>
    <xf numFmtId="0" fontId="83" fillId="0" borderId="0" xfId="0" applyFont="1" applyAlignment="1" applyProtection="1">
      <alignment horizontal="center"/>
      <protection hidden="1"/>
    </xf>
    <xf numFmtId="0" fontId="84" fillId="0" borderId="0" xfId="0" applyFont="1" applyProtection="1">
      <protection hidden="1"/>
    </xf>
    <xf numFmtId="0" fontId="84" fillId="0" borderId="0" xfId="0" applyFont="1" applyAlignment="1" applyProtection="1">
      <alignment horizontal="center"/>
      <protection hidden="1"/>
    </xf>
    <xf numFmtId="2" fontId="82" fillId="0" borderId="0" xfId="491" applyNumberFormat="1" applyFont="1" applyAlignment="1" applyProtection="1">
      <alignment horizontal="center"/>
      <protection hidden="1"/>
    </xf>
    <xf numFmtId="0" fontId="82" fillId="0" borderId="0" xfId="0" applyFont="1" applyAlignment="1" applyProtection="1">
      <alignment horizontal="right"/>
      <protection hidden="1"/>
    </xf>
    <xf numFmtId="0" fontId="83" fillId="0" borderId="29" xfId="0" applyFont="1" applyBorder="1" applyAlignment="1" applyProtection="1">
      <alignment horizontal="center"/>
      <protection hidden="1"/>
    </xf>
    <xf numFmtId="0" fontId="83" fillId="0" borderId="18" xfId="0" applyFont="1" applyBorder="1" applyProtection="1">
      <protection hidden="1"/>
    </xf>
    <xf numFmtId="0" fontId="83" fillId="0" borderId="16" xfId="0" applyFont="1" applyBorder="1" applyAlignment="1" applyProtection="1">
      <alignment horizontal="left" indent="3"/>
      <protection hidden="1"/>
    </xf>
    <xf numFmtId="0" fontId="83" fillId="0" borderId="23" xfId="0" applyFont="1" applyBorder="1" applyAlignment="1" applyProtection="1">
      <alignment horizontal="center"/>
      <protection hidden="1"/>
    </xf>
    <xf numFmtId="0" fontId="83" fillId="0" borderId="5" xfId="0" applyFont="1" applyBorder="1" applyAlignment="1" applyProtection="1">
      <alignment horizontal="right"/>
      <protection hidden="1"/>
    </xf>
    <xf numFmtId="0" fontId="83" fillId="0" borderId="22" xfId="0" applyFont="1" applyBorder="1" applyAlignment="1" applyProtection="1">
      <alignment horizontal="left" indent="3"/>
      <protection hidden="1"/>
    </xf>
    <xf numFmtId="0" fontId="83" fillId="0" borderId="19" xfId="0" applyFont="1" applyBorder="1" applyAlignment="1" applyProtection="1">
      <alignment horizontal="right"/>
      <protection hidden="1"/>
    </xf>
    <xf numFmtId="0" fontId="82" fillId="0" borderId="0" xfId="0" applyFont="1" applyProtection="1">
      <protection hidden="1"/>
    </xf>
    <xf numFmtId="2" fontId="83" fillId="0" borderId="5" xfId="0" applyNumberFormat="1" applyFont="1" applyBorder="1" applyAlignment="1" applyProtection="1">
      <alignment horizontal="center"/>
      <protection hidden="1"/>
    </xf>
    <xf numFmtId="2" fontId="82" fillId="0" borderId="0" xfId="0" applyNumberFormat="1" applyFont="1" applyProtection="1">
      <protection hidden="1"/>
    </xf>
    <xf numFmtId="0" fontId="83" fillId="0" borderId="29" xfId="0" applyFont="1" applyBorder="1" applyAlignment="1" applyProtection="1">
      <alignment horizontal="left"/>
      <protection hidden="1"/>
    </xf>
    <xf numFmtId="0" fontId="83" fillId="0" borderId="23" xfId="0" applyFont="1" applyBorder="1" applyAlignment="1" applyProtection="1">
      <alignment horizontal="left"/>
      <protection hidden="1"/>
    </xf>
    <xf numFmtId="0" fontId="83" fillId="0" borderId="5" xfId="0" applyFont="1" applyBorder="1" applyAlignment="1" applyProtection="1">
      <alignment horizontal="left"/>
      <protection hidden="1"/>
    </xf>
    <xf numFmtId="0" fontId="83" fillId="0" borderId="19" xfId="0" applyFont="1" applyBorder="1" applyAlignment="1" applyProtection="1">
      <alignment horizontal="left"/>
      <protection hidden="1"/>
    </xf>
    <xf numFmtId="2" fontId="82" fillId="0" borderId="0" xfId="0" applyNumberFormat="1" applyFont="1" applyAlignment="1" applyProtection="1">
      <alignment horizontal="center" vertical="center"/>
      <protection hidden="1"/>
    </xf>
    <xf numFmtId="9" fontId="83" fillId="0" borderId="16" xfId="0" applyNumberFormat="1" applyFont="1" applyBorder="1" applyAlignment="1" applyProtection="1">
      <alignment horizontal="center"/>
      <protection hidden="1"/>
    </xf>
    <xf numFmtId="0" fontId="83" fillId="0" borderId="22" xfId="0" applyFont="1" applyBorder="1" applyAlignment="1" applyProtection="1">
      <alignment horizontal="right"/>
      <protection hidden="1"/>
    </xf>
    <xf numFmtId="0" fontId="83" fillId="0" borderId="0" xfId="587" applyFont="1" applyAlignment="1">
      <alignment horizontal="left" vertical="center" wrapText="1"/>
    </xf>
    <xf numFmtId="0" fontId="83" fillId="0" borderId="0" xfId="0" applyFont="1" applyAlignment="1" applyProtection="1">
      <alignment horizontal="left" vertical="center"/>
      <protection hidden="1"/>
    </xf>
    <xf numFmtId="2" fontId="83" fillId="0" borderId="0" xfId="587" applyNumberFormat="1" applyFont="1" applyAlignment="1">
      <alignment horizontal="center" wrapText="1"/>
    </xf>
    <xf numFmtId="0" fontId="82" fillId="0" borderId="0" xfId="587" applyFont="1" applyAlignment="1">
      <alignment horizontal="center" vertical="center" wrapText="1"/>
    </xf>
    <xf numFmtId="2" fontId="83" fillId="0" borderId="9" xfId="767" applyNumberFormat="1" applyFont="1" applyBorder="1" applyAlignment="1">
      <alignment horizontal="center" vertical="center" wrapText="1"/>
    </xf>
    <xf numFmtId="0" fontId="83" fillId="0" borderId="9" xfId="767" applyFont="1" applyBorder="1" applyAlignment="1">
      <alignment horizontal="center" vertical="center" wrapText="1"/>
    </xf>
    <xf numFmtId="2" fontId="83" fillId="0" borderId="9" xfId="504" applyNumberFormat="1" applyFont="1" applyBorder="1" applyAlignment="1">
      <alignment horizontal="center" vertical="center"/>
    </xf>
    <xf numFmtId="185" fontId="83" fillId="0" borderId="9" xfId="504" applyNumberFormat="1" applyFont="1" applyBorder="1" applyAlignment="1">
      <alignment horizontal="center" vertical="center"/>
    </xf>
    <xf numFmtId="2" fontId="86" fillId="0" borderId="9" xfId="0" applyNumberFormat="1" applyFont="1" applyBorder="1" applyAlignment="1">
      <alignment horizontal="center" vertical="center" wrapText="1"/>
    </xf>
    <xf numFmtId="0" fontId="83" fillId="0" borderId="9" xfId="0" applyFont="1" applyBorder="1" applyAlignment="1">
      <alignment horizontal="center" vertical="center" wrapText="1"/>
    </xf>
    <xf numFmtId="0" fontId="83" fillId="0" borderId="9" xfId="0" applyFont="1" applyBorder="1" applyAlignment="1">
      <alignment vertical="center" wrapText="1"/>
    </xf>
    <xf numFmtId="0" fontId="86" fillId="0" borderId="9" xfId="0" applyFont="1" applyBorder="1" applyAlignment="1">
      <alignment horizontal="center" vertical="center" wrapText="1"/>
    </xf>
    <xf numFmtId="2" fontId="83" fillId="0" borderId="9" xfId="0" applyNumberFormat="1" applyFont="1" applyBorder="1" applyAlignment="1">
      <alignment horizontal="center" vertical="center" wrapText="1"/>
    </xf>
    <xf numFmtId="2" fontId="83" fillId="0" borderId="9" xfId="503" applyNumberFormat="1" applyFont="1" applyBorder="1" applyAlignment="1">
      <alignment horizontal="center" vertical="center" wrapText="1"/>
    </xf>
    <xf numFmtId="2" fontId="83" fillId="0" borderId="14" xfId="0" applyNumberFormat="1" applyFont="1" applyBorder="1" applyAlignment="1">
      <alignment horizontal="center" vertical="center" wrapText="1"/>
    </xf>
    <xf numFmtId="2" fontId="83" fillId="0" borderId="14" xfId="503" applyNumberFormat="1" applyFont="1" applyBorder="1" applyAlignment="1">
      <alignment horizontal="center" vertical="center" wrapText="1"/>
    </xf>
    <xf numFmtId="0" fontId="83" fillId="26" borderId="0" xfId="502" applyFont="1" applyFill="1"/>
    <xf numFmtId="0" fontId="82" fillId="0" borderId="9" xfId="0" applyFont="1" applyBorder="1" applyAlignment="1">
      <alignment horizontal="center" vertical="center" wrapText="1"/>
    </xf>
    <xf numFmtId="0" fontId="83" fillId="26" borderId="9" xfId="0" applyFont="1" applyFill="1" applyBorder="1" applyAlignment="1">
      <alignment horizontal="center" vertical="center" wrapText="1"/>
    </xf>
    <xf numFmtId="0" fontId="82" fillId="0" borderId="9" xfId="0" applyFont="1" applyBorder="1" applyAlignment="1">
      <alignment vertical="center" wrapText="1"/>
    </xf>
    <xf numFmtId="0" fontId="83" fillId="0" borderId="9" xfId="0" applyFont="1" applyBorder="1" applyAlignment="1">
      <alignment horizontal="left" vertical="center" wrapText="1"/>
    </xf>
    <xf numFmtId="0" fontId="83" fillId="0" borderId="23" xfId="0" applyFont="1" applyBorder="1" applyAlignment="1">
      <alignment horizontal="center" vertical="center" wrapText="1"/>
    </xf>
    <xf numFmtId="2" fontId="83" fillId="26" borderId="9" xfId="0" applyNumberFormat="1" applyFont="1" applyFill="1" applyBorder="1" applyAlignment="1">
      <alignment horizontal="center" vertical="center" wrapText="1"/>
    </xf>
    <xf numFmtId="0" fontId="83" fillId="26" borderId="0" xfId="502" applyFont="1" applyFill="1" applyProtection="1">
      <protection hidden="1"/>
    </xf>
    <xf numFmtId="0" fontId="83" fillId="26" borderId="0" xfId="502" applyFont="1" applyFill="1" applyAlignment="1">
      <alignment horizontal="center" vertical="center" wrapText="1"/>
    </xf>
    <xf numFmtId="2" fontId="83" fillId="26" borderId="0" xfId="502" applyNumberFormat="1" applyFont="1" applyFill="1" applyAlignment="1">
      <alignment horizontal="left" vertical="center" wrapText="1"/>
    </xf>
    <xf numFmtId="0" fontId="82" fillId="0" borderId="22" xfId="0" applyFont="1" applyBorder="1" applyAlignment="1">
      <alignment horizontal="center" vertical="center" wrapText="1"/>
    </xf>
    <xf numFmtId="0" fontId="83" fillId="0" borderId="0" xfId="0" applyFont="1" applyAlignment="1">
      <alignment horizontal="left" vertical="top" wrapText="1"/>
    </xf>
    <xf numFmtId="0" fontId="83" fillId="0" borderId="0" xfId="0" applyFont="1" applyAlignment="1">
      <alignment horizontal="left" wrapText="1"/>
    </xf>
    <xf numFmtId="0" fontId="82" fillId="0" borderId="0" xfId="0" applyFont="1" applyAlignment="1">
      <alignment horizontal="left" wrapText="1"/>
    </xf>
    <xf numFmtId="0" fontId="83" fillId="0" borderId="0" xfId="491" applyFont="1" applyAlignment="1">
      <alignment horizontal="center" wrapText="1"/>
    </xf>
    <xf numFmtId="0" fontId="83" fillId="0" borderId="0" xfId="491" applyFont="1" applyAlignment="1">
      <alignment wrapText="1"/>
    </xf>
    <xf numFmtId="0" fontId="81" fillId="0" borderId="0" xfId="491" applyFont="1" applyAlignment="1">
      <alignment wrapText="1"/>
    </xf>
    <xf numFmtId="0" fontId="83" fillId="0" borderId="0" xfId="0" applyFont="1" applyAlignment="1">
      <alignment horizontal="center" wrapText="1"/>
    </xf>
    <xf numFmtId="0" fontId="84" fillId="0" borderId="0" xfId="0" applyFont="1" applyAlignment="1">
      <alignment horizontal="center" wrapText="1"/>
    </xf>
    <xf numFmtId="0" fontId="83" fillId="0" borderId="0" xfId="0" applyFont="1" applyAlignment="1">
      <alignment wrapText="1"/>
    </xf>
    <xf numFmtId="0" fontId="88" fillId="0" borderId="0" xfId="587" applyFont="1" applyAlignment="1">
      <alignment horizontal="center" vertical="center" wrapText="1"/>
    </xf>
    <xf numFmtId="0" fontId="89" fillId="0" borderId="0" xfId="587" applyFont="1" applyAlignment="1">
      <alignment horizontal="center" vertical="center" wrapText="1"/>
    </xf>
    <xf numFmtId="0" fontId="83" fillId="0" borderId="9" xfId="504" applyFont="1" applyBorder="1" applyAlignment="1">
      <alignment horizontal="center" vertical="center" wrapText="1"/>
    </xf>
    <xf numFmtId="0" fontId="83" fillId="0" borderId="9" xfId="504" applyFont="1" applyBorder="1" applyAlignment="1">
      <alignment horizontal="center" vertical="center"/>
    </xf>
    <xf numFmtId="0" fontId="81" fillId="0" borderId="9" xfId="504" applyFont="1" applyBorder="1" applyAlignment="1">
      <alignment horizontal="center" vertical="center"/>
    </xf>
    <xf numFmtId="0" fontId="82" fillId="0" borderId="0" xfId="0" applyFont="1" applyAlignment="1">
      <alignment horizontal="center" vertical="center"/>
    </xf>
    <xf numFmtId="0" fontId="81" fillId="0" borderId="0" xfId="0" applyFont="1" applyAlignment="1">
      <alignment wrapText="1"/>
    </xf>
    <xf numFmtId="0" fontId="80" fillId="0" borderId="0" xfId="0" applyFont="1" applyProtection="1">
      <protection hidden="1"/>
    </xf>
    <xf numFmtId="0" fontId="81" fillId="0" borderId="0" xfId="587" applyFont="1" applyAlignment="1">
      <alignment horizontal="center" vertical="center" wrapText="1"/>
    </xf>
    <xf numFmtId="2" fontId="81" fillId="0" borderId="0" xfId="587" applyNumberFormat="1" applyFont="1" applyAlignment="1">
      <alignment horizontal="center" vertical="center" wrapText="1"/>
    </xf>
    <xf numFmtId="0" fontId="81" fillId="0" borderId="0" xfId="587" applyFont="1" applyAlignment="1">
      <alignment horizontal="left" vertical="center" wrapText="1"/>
    </xf>
    <xf numFmtId="2" fontId="80" fillId="0" borderId="0" xfId="587" applyNumberFormat="1" applyFont="1" applyAlignment="1">
      <alignment horizontal="center" vertical="center" wrapText="1"/>
    </xf>
    <xf numFmtId="0" fontId="81" fillId="0" borderId="0" xfId="502" applyFont="1" applyAlignment="1">
      <alignment horizontal="center"/>
    </xf>
    <xf numFmtId="0" fontId="81" fillId="0" borderId="0" xfId="502" applyFont="1"/>
    <xf numFmtId="0" fontId="81" fillId="0" borderId="0" xfId="0" applyFont="1" applyProtection="1">
      <protection hidden="1"/>
    </xf>
    <xf numFmtId="0" fontId="81" fillId="0" borderId="0" xfId="502" applyFont="1" applyAlignment="1">
      <alignment horizontal="left" vertical="center"/>
    </xf>
    <xf numFmtId="0" fontId="80" fillId="0" borderId="0" xfId="502" applyFont="1"/>
    <xf numFmtId="0" fontId="80" fillId="0" borderId="0" xfId="502" applyFont="1" applyAlignment="1">
      <alignment horizontal="right"/>
    </xf>
    <xf numFmtId="0" fontId="80" fillId="0" borderId="0" xfId="502" applyFont="1" applyAlignment="1">
      <alignment horizontal="left"/>
    </xf>
    <xf numFmtId="0" fontId="81" fillId="0" borderId="32" xfId="502" applyFont="1" applyBorder="1" applyAlignment="1">
      <alignment horizontal="center"/>
    </xf>
    <xf numFmtId="0" fontId="81" fillId="0" borderId="35" xfId="502" applyFont="1" applyBorder="1" applyAlignment="1">
      <alignment horizontal="left"/>
    </xf>
    <xf numFmtId="0" fontId="81" fillId="0" borderId="36" xfId="502" applyFont="1" applyBorder="1" applyAlignment="1">
      <alignment horizontal="left"/>
    </xf>
    <xf numFmtId="0" fontId="81" fillId="0" borderId="36" xfId="502" applyFont="1" applyBorder="1" applyAlignment="1">
      <alignment horizontal="center"/>
    </xf>
    <xf numFmtId="0" fontId="81" fillId="0" borderId="34" xfId="502" applyFont="1" applyBorder="1" applyAlignment="1">
      <alignment horizontal="center"/>
    </xf>
    <xf numFmtId="0" fontId="81" fillId="0" borderId="37" xfId="502" applyFont="1" applyBorder="1" applyAlignment="1">
      <alignment horizontal="left"/>
    </xf>
    <xf numFmtId="0" fontId="81" fillId="0" borderId="38" xfId="502" applyFont="1" applyBorder="1" applyAlignment="1">
      <alignment horizontal="center"/>
    </xf>
    <xf numFmtId="0" fontId="81" fillId="0" borderId="39" xfId="502" applyFont="1" applyBorder="1" applyAlignment="1">
      <alignment horizontal="left"/>
    </xf>
    <xf numFmtId="0" fontId="81" fillId="0" borderId="32" xfId="502" applyFont="1" applyBorder="1" applyAlignment="1">
      <alignment horizontal="left"/>
    </xf>
    <xf numFmtId="0" fontId="81" fillId="0" borderId="34" xfId="502" applyFont="1" applyBorder="1" applyAlignment="1">
      <alignment horizontal="left"/>
    </xf>
    <xf numFmtId="0" fontId="81" fillId="0" borderId="0" xfId="502" applyFont="1" applyAlignment="1">
      <alignment horizontal="left"/>
    </xf>
    <xf numFmtId="2" fontId="80" fillId="0" borderId="0" xfId="502" applyNumberFormat="1" applyFont="1"/>
    <xf numFmtId="2" fontId="81" fillId="0" borderId="36" xfId="502" applyNumberFormat="1" applyFont="1" applyBorder="1" applyAlignment="1">
      <alignment horizontal="center" vertical="center"/>
    </xf>
    <xf numFmtId="2" fontId="81" fillId="0" borderId="32" xfId="502" applyNumberFormat="1" applyFont="1" applyBorder="1" applyAlignment="1">
      <alignment horizontal="center" vertical="center"/>
    </xf>
    <xf numFmtId="2" fontId="81" fillId="0" borderId="42" xfId="502" applyNumberFormat="1" applyFont="1" applyBorder="1" applyAlignment="1">
      <alignment horizontal="center" vertical="center"/>
    </xf>
    <xf numFmtId="2" fontId="81" fillId="0" borderId="34" xfId="502" applyNumberFormat="1" applyFont="1" applyBorder="1" applyAlignment="1">
      <alignment horizontal="center" vertical="center"/>
    </xf>
    <xf numFmtId="2" fontId="83" fillId="0" borderId="26" xfId="491" applyNumberFormat="1" applyFont="1" applyBorder="1" applyAlignment="1" applyProtection="1">
      <alignment horizontal="center" vertical="center"/>
      <protection hidden="1"/>
    </xf>
    <xf numFmtId="2" fontId="81" fillId="0" borderId="0" xfId="502" applyNumberFormat="1" applyFont="1" applyAlignment="1">
      <alignment horizontal="center" vertical="center"/>
    </xf>
    <xf numFmtId="2" fontId="81" fillId="0" borderId="39" xfId="502" applyNumberFormat="1" applyFont="1" applyBorder="1" applyAlignment="1">
      <alignment horizontal="center" vertical="center"/>
    </xf>
    <xf numFmtId="2" fontId="80" fillId="0" borderId="0" xfId="502" applyNumberFormat="1" applyFont="1" applyAlignment="1">
      <alignment horizontal="center" vertical="center"/>
    </xf>
    <xf numFmtId="2" fontId="81" fillId="0" borderId="9" xfId="0" applyNumberFormat="1" applyFont="1" applyBorder="1" applyAlignment="1">
      <alignment horizontal="center" vertical="center" wrapText="1"/>
    </xf>
    <xf numFmtId="0" fontId="81" fillId="0" borderId="22" xfId="0" applyFont="1" applyBorder="1" applyAlignment="1">
      <alignment horizontal="center" vertical="center" wrapText="1"/>
    </xf>
    <xf numFmtId="0" fontId="81" fillId="0" borderId="22" xfId="0" applyFont="1" applyBorder="1" applyAlignment="1">
      <alignment vertical="top" wrapText="1"/>
    </xf>
    <xf numFmtId="2" fontId="81" fillId="0" borderId="22" xfId="0" applyNumberFormat="1" applyFont="1" applyBorder="1" applyAlignment="1">
      <alignment horizontal="center" vertical="center" wrapText="1"/>
    </xf>
    <xf numFmtId="0" fontId="83" fillId="0" borderId="9" xfId="491" applyFont="1" applyBorder="1" applyAlignment="1" applyProtection="1">
      <alignment horizontal="left" vertical="top" wrapText="1"/>
      <protection hidden="1"/>
    </xf>
    <xf numFmtId="2" fontId="83" fillId="0" borderId="9" xfId="491" applyNumberFormat="1" applyFont="1" applyBorder="1" applyAlignment="1" applyProtection="1">
      <alignment horizontal="center" vertical="center"/>
      <protection hidden="1"/>
    </xf>
    <xf numFmtId="0" fontId="81" fillId="0" borderId="9" xfId="0" applyFont="1" applyBorder="1" applyAlignment="1">
      <alignment horizontal="left" vertical="center" wrapText="1"/>
    </xf>
    <xf numFmtId="2" fontId="82" fillId="0" borderId="9" xfId="0" applyNumberFormat="1" applyFont="1" applyBorder="1" applyAlignment="1">
      <alignment horizontal="center" vertical="center"/>
    </xf>
    <xf numFmtId="2" fontId="81" fillId="0" borderId="21" xfId="0" applyNumberFormat="1" applyFont="1" applyBorder="1" applyAlignment="1">
      <alignment horizontal="center" vertical="center" wrapText="1"/>
    </xf>
    <xf numFmtId="0" fontId="90" fillId="0" borderId="9" xfId="0" applyFont="1" applyBorder="1" applyAlignment="1">
      <alignment horizontal="center" vertical="center" wrapText="1"/>
    </xf>
    <xf numFmtId="0" fontId="90" fillId="0" borderId="9" xfId="0" applyFont="1" applyBorder="1" applyAlignment="1">
      <alignment horizontal="center"/>
    </xf>
    <xf numFmtId="0" fontId="90" fillId="0" borderId="9" xfId="0" applyFont="1" applyBorder="1" applyAlignment="1">
      <alignment horizontal="center" vertical="center"/>
    </xf>
    <xf numFmtId="0" fontId="90" fillId="0" borderId="0" xfId="0" applyFont="1" applyAlignment="1">
      <alignment horizontal="center"/>
    </xf>
    <xf numFmtId="0" fontId="95" fillId="0" borderId="0" xfId="0" applyFont="1" applyAlignment="1">
      <alignment horizontal="center"/>
    </xf>
    <xf numFmtId="0" fontId="96" fillId="0" borderId="0" xfId="0" applyFont="1"/>
    <xf numFmtId="0" fontId="95" fillId="0" borderId="0" xfId="0" applyFont="1" applyAlignment="1">
      <alignment vertical="center"/>
    </xf>
    <xf numFmtId="0" fontId="66" fillId="28" borderId="0" xfId="491" applyFont="1" applyFill="1" applyProtection="1">
      <protection hidden="1"/>
    </xf>
    <xf numFmtId="0" fontId="0" fillId="28" borderId="0" xfId="0" applyFill="1"/>
    <xf numFmtId="0" fontId="56" fillId="28" borderId="0" xfId="0" applyFont="1" applyFill="1"/>
    <xf numFmtId="2" fontId="67" fillId="28" borderId="0" xfId="0" applyNumberFormat="1" applyFont="1" applyFill="1" applyAlignment="1">
      <alignment horizontal="center" vertical="center" wrapText="1"/>
    </xf>
    <xf numFmtId="2" fontId="56" fillId="28" borderId="0" xfId="0" applyNumberFormat="1" applyFont="1" applyFill="1" applyAlignment="1">
      <alignment horizontal="center" vertical="center" wrapText="1"/>
    </xf>
    <xf numFmtId="2" fontId="80" fillId="0" borderId="0" xfId="491" applyNumberFormat="1" applyFont="1" applyAlignment="1">
      <alignment horizontal="center"/>
    </xf>
    <xf numFmtId="0" fontId="81" fillId="0" borderId="9" xfId="0" applyFont="1" applyBorder="1" applyAlignment="1">
      <alignment vertical="center" wrapText="1"/>
    </xf>
    <xf numFmtId="0" fontId="83" fillId="0" borderId="9" xfId="0" applyFont="1" applyBorder="1" applyAlignment="1" applyProtection="1">
      <alignment vertical="top" wrapText="1"/>
      <protection hidden="1"/>
    </xf>
    <xf numFmtId="2" fontId="83" fillId="0" borderId="9" xfId="0" applyNumberFormat="1" applyFont="1" applyBorder="1" applyAlignment="1" applyProtection="1">
      <alignment horizontal="center" vertical="center"/>
      <protection hidden="1"/>
    </xf>
    <xf numFmtId="0" fontId="83" fillId="0" borderId="9" xfId="0" applyFont="1" applyBorder="1" applyAlignment="1" applyProtection="1">
      <alignment horizontal="center" vertical="center"/>
      <protection hidden="1"/>
    </xf>
    <xf numFmtId="0" fontId="83" fillId="0" borderId="9" xfId="488" applyFont="1" applyBorder="1" applyAlignment="1">
      <alignment horizontal="center" vertical="center" wrapText="1"/>
    </xf>
    <xf numFmtId="0" fontId="82" fillId="0" borderId="9" xfId="488" applyFont="1" applyBorder="1" applyAlignment="1">
      <alignment horizontal="center" vertical="center" wrapText="1"/>
    </xf>
    <xf numFmtId="0" fontId="83" fillId="0" borderId="9" xfId="488" applyFont="1" applyBorder="1" applyAlignment="1">
      <alignment horizontal="justify" vertical="center" wrapText="1"/>
    </xf>
    <xf numFmtId="1" fontId="83" fillId="26" borderId="9" xfId="488" applyNumberFormat="1" applyFont="1" applyFill="1" applyBorder="1" applyAlignment="1">
      <alignment horizontal="center" vertical="center" wrapText="1"/>
    </xf>
    <xf numFmtId="0" fontId="82" fillId="0" borderId="9" xfId="488" applyFont="1" applyBorder="1" applyAlignment="1">
      <alignment horizontal="right" vertical="center" wrapText="1"/>
    </xf>
    <xf numFmtId="1" fontId="82" fillId="0" borderId="9" xfId="488" applyNumberFormat="1" applyFont="1" applyBorder="1" applyAlignment="1">
      <alignment horizontal="center" vertical="center" wrapText="1"/>
    </xf>
    <xf numFmtId="0" fontId="82" fillId="0" borderId="9" xfId="488" applyFont="1" applyBorder="1" applyAlignment="1">
      <alignment horizontal="left" vertical="center" wrapText="1"/>
    </xf>
    <xf numFmtId="1" fontId="98" fillId="0" borderId="9" xfId="0" applyNumberFormat="1" applyFont="1" applyBorder="1" applyAlignment="1">
      <alignment horizontal="center" vertical="center" wrapText="1"/>
    </xf>
    <xf numFmtId="0" fontId="83" fillId="0" borderId="9" xfId="493" applyFont="1" applyBorder="1" applyAlignment="1">
      <alignment horizontal="left" vertical="center" wrapText="1"/>
    </xf>
    <xf numFmtId="0" fontId="83" fillId="0" borderId="9" xfId="0" applyFont="1" applyBorder="1" applyAlignment="1">
      <alignment horizontal="right" vertical="center" wrapText="1"/>
    </xf>
    <xf numFmtId="2" fontId="83" fillId="26" borderId="23" xfId="0" applyNumberFormat="1" applyFont="1" applyFill="1" applyBorder="1" applyAlignment="1">
      <alignment horizontal="center" vertical="center"/>
    </xf>
    <xf numFmtId="0" fontId="83" fillId="26" borderId="9" xfId="0" applyFont="1" applyFill="1" applyBorder="1" applyAlignment="1">
      <alignment horizontal="center" vertical="center"/>
    </xf>
    <xf numFmtId="2" fontId="83" fillId="26" borderId="9" xfId="0" applyNumberFormat="1" applyFont="1" applyFill="1" applyBorder="1" applyAlignment="1">
      <alignment horizontal="center" vertical="center"/>
    </xf>
    <xf numFmtId="0" fontId="83" fillId="26" borderId="9" xfId="0" applyFont="1" applyFill="1" applyBorder="1" applyAlignment="1">
      <alignment horizontal="center"/>
    </xf>
    <xf numFmtId="0" fontId="83" fillId="26" borderId="9" xfId="0" applyFont="1" applyFill="1" applyBorder="1"/>
    <xf numFmtId="2" fontId="83" fillId="26" borderId="9" xfId="0" applyNumberFormat="1" applyFont="1" applyFill="1" applyBorder="1" applyAlignment="1">
      <alignment horizontal="center"/>
    </xf>
    <xf numFmtId="0" fontId="83" fillId="26" borderId="14" xfId="0" applyFont="1" applyFill="1" applyBorder="1" applyAlignment="1">
      <alignment horizontal="center" vertical="center"/>
    </xf>
    <xf numFmtId="2" fontId="83" fillId="26" borderId="9" xfId="0" applyNumberFormat="1" applyFont="1" applyFill="1" applyBorder="1" applyAlignment="1">
      <alignment horizontal="center" vertical="top"/>
    </xf>
    <xf numFmtId="185" fontId="83" fillId="26" borderId="9" xfId="0" applyNumberFormat="1" applyFont="1" applyFill="1" applyBorder="1" applyAlignment="1">
      <alignment horizontal="center" vertical="top"/>
    </xf>
    <xf numFmtId="2" fontId="81" fillId="26" borderId="9" xfId="0" applyNumberFormat="1" applyFont="1" applyFill="1" applyBorder="1" applyAlignment="1">
      <alignment horizontal="center"/>
    </xf>
    <xf numFmtId="0" fontId="83" fillId="26" borderId="0" xfId="0" applyFont="1" applyFill="1" applyAlignment="1">
      <alignment horizontal="center"/>
    </xf>
    <xf numFmtId="2" fontId="83" fillId="26" borderId="14" xfId="0" applyNumberFormat="1" applyFont="1" applyFill="1" applyBorder="1" applyAlignment="1">
      <alignment horizontal="center"/>
    </xf>
    <xf numFmtId="0" fontId="83" fillId="26" borderId="14" xfId="0" applyFont="1" applyFill="1" applyBorder="1" applyAlignment="1">
      <alignment horizontal="center"/>
    </xf>
    <xf numFmtId="0" fontId="83" fillId="26" borderId="14" xfId="0" applyFont="1" applyFill="1" applyBorder="1"/>
    <xf numFmtId="2" fontId="83" fillId="26" borderId="14" xfId="0" applyNumberFormat="1" applyFont="1" applyFill="1" applyBorder="1" applyAlignment="1">
      <alignment horizontal="center" vertical="center"/>
    </xf>
    <xf numFmtId="2" fontId="83" fillId="26" borderId="21" xfId="0" applyNumberFormat="1" applyFont="1" applyFill="1" applyBorder="1" applyAlignment="1">
      <alignment horizontal="center" vertical="center"/>
    </xf>
    <xf numFmtId="185" fontId="83" fillId="26" borderId="9" xfId="0" applyNumberFormat="1" applyFont="1" applyFill="1" applyBorder="1"/>
    <xf numFmtId="0" fontId="85" fillId="0" borderId="0" xfId="768"/>
    <xf numFmtId="0" fontId="85" fillId="0" borderId="0" xfId="769"/>
    <xf numFmtId="0" fontId="99" fillId="0" borderId="0" xfId="768" applyFont="1" applyAlignment="1">
      <alignment horizontal="center" vertical="center"/>
    </xf>
    <xf numFmtId="0" fontId="100" fillId="0" borderId="0" xfId="768" applyFont="1" applyAlignment="1">
      <alignment vertical="center" wrapText="1"/>
    </xf>
    <xf numFmtId="0" fontId="102" fillId="0" borderId="0" xfId="768" applyFont="1" applyAlignment="1">
      <alignment horizontal="center" vertical="center" wrapText="1"/>
    </xf>
    <xf numFmtId="0" fontId="103" fillId="0" borderId="0" xfId="768" applyFont="1" applyAlignment="1">
      <alignment horizontal="center" vertical="center" wrapText="1"/>
    </xf>
    <xf numFmtId="0" fontId="104" fillId="0" borderId="0" xfId="768" applyFont="1" applyAlignment="1">
      <alignment horizontal="center" vertical="center" wrapText="1"/>
    </xf>
    <xf numFmtId="0" fontId="105" fillId="0" borderId="0" xfId="768" applyFont="1" applyAlignment="1">
      <alignment horizontal="center" vertical="center" wrapText="1"/>
    </xf>
    <xf numFmtId="0" fontId="106" fillId="0" borderId="0" xfId="768" applyFont="1"/>
    <xf numFmtId="0" fontId="107" fillId="0" borderId="0" xfId="768" applyFont="1" applyAlignment="1">
      <alignment horizontal="left"/>
    </xf>
    <xf numFmtId="0" fontId="108" fillId="0" borderId="0" xfId="768" applyFont="1" applyAlignment="1">
      <alignment horizontal="centerContinuous" vertical="center"/>
    </xf>
    <xf numFmtId="0" fontId="109" fillId="0" borderId="0" xfId="768" applyFont="1" applyAlignment="1">
      <alignment horizontal="center" vertical="center"/>
    </xf>
    <xf numFmtId="0" fontId="110" fillId="0" borderId="0" xfId="768" applyFont="1" applyAlignment="1">
      <alignment horizontal="center" vertical="center"/>
    </xf>
    <xf numFmtId="0" fontId="111" fillId="0" borderId="0" xfId="768" applyFont="1" applyAlignment="1">
      <alignment horizontal="center" vertical="center" wrapText="1"/>
    </xf>
    <xf numFmtId="0" fontId="93" fillId="0" borderId="0" xfId="769" applyFont="1"/>
    <xf numFmtId="0" fontId="112" fillId="0" borderId="0" xfId="768" applyFont="1" applyAlignment="1">
      <alignment vertical="center" wrapText="1"/>
    </xf>
    <xf numFmtId="0" fontId="112" fillId="0" borderId="0" xfId="768" applyFont="1" applyAlignment="1">
      <alignment horizontal="center" vertical="top" wrapText="1"/>
    </xf>
    <xf numFmtId="49" fontId="114" fillId="0" borderId="0" xfId="768" applyNumberFormat="1" applyFont="1" applyAlignment="1">
      <alignment vertical="center" wrapText="1"/>
    </xf>
    <xf numFmtId="49" fontId="115" fillId="0" borderId="0" xfId="768" applyNumberFormat="1" applyFont="1" applyAlignment="1">
      <alignment vertical="center" wrapText="1"/>
    </xf>
    <xf numFmtId="0" fontId="93" fillId="0" borderId="0" xfId="768" applyFont="1"/>
    <xf numFmtId="0" fontId="116" fillId="0" borderId="0" xfId="768" applyFont="1" applyAlignment="1">
      <alignment horizontal="center" vertical="center" wrapText="1"/>
    </xf>
    <xf numFmtId="0" fontId="118" fillId="0" borderId="0" xfId="768" applyFont="1"/>
    <xf numFmtId="0" fontId="118" fillId="0" borderId="0" xfId="769" applyFont="1"/>
    <xf numFmtId="0" fontId="117" fillId="0" borderId="0" xfId="768" applyFont="1" applyAlignment="1">
      <alignment horizontal="right" vertical="center"/>
    </xf>
    <xf numFmtId="0" fontId="117" fillId="0" borderId="0" xfId="768" applyFont="1" applyAlignment="1">
      <alignment vertical="center"/>
    </xf>
    <xf numFmtId="0" fontId="119" fillId="0" borderId="0" xfId="768" applyFont="1" applyAlignment="1">
      <alignment vertical="center" wrapText="1"/>
    </xf>
    <xf numFmtId="0" fontId="87" fillId="0" borderId="0" xfId="768" applyFont="1" applyAlignment="1">
      <alignment horizontal="center" vertical="center" wrapText="1"/>
    </xf>
    <xf numFmtId="0" fontId="82" fillId="0" borderId="0" xfId="768" applyFont="1" applyAlignment="1">
      <alignment horizontal="right"/>
    </xf>
    <xf numFmtId="0" fontId="120" fillId="0" borderId="0" xfId="768" applyFont="1" applyAlignment="1">
      <alignment horizontal="centerContinuous" vertical="center" wrapText="1"/>
    </xf>
    <xf numFmtId="0" fontId="121" fillId="0" borderId="0" xfId="768" applyFont="1" applyAlignment="1">
      <alignment horizontal="right" vertical="center"/>
    </xf>
    <xf numFmtId="0" fontId="120" fillId="0" borderId="0" xfId="768" applyFont="1" applyAlignment="1">
      <alignment horizontal="centerContinuous" vertical="center"/>
    </xf>
    <xf numFmtId="0" fontId="97" fillId="0" borderId="0" xfId="768" applyFont="1" applyAlignment="1">
      <alignment horizontal="center" vertical="center"/>
    </xf>
    <xf numFmtId="0" fontId="122" fillId="0" borderId="0" xfId="768" applyFont="1" applyAlignment="1">
      <alignment horizontal="center" vertical="center"/>
    </xf>
    <xf numFmtId="49" fontId="112" fillId="0" borderId="0" xfId="768" applyNumberFormat="1" applyFont="1" applyAlignment="1">
      <alignment vertical="center" wrapText="1"/>
    </xf>
    <xf numFmtId="49" fontId="124" fillId="0" borderId="0" xfId="768" applyNumberFormat="1" applyFont="1" applyAlignment="1">
      <alignment vertical="center" wrapText="1"/>
    </xf>
    <xf numFmtId="0" fontId="54" fillId="0" borderId="9" xfId="488" applyFont="1" applyBorder="1" applyAlignment="1">
      <alignment vertical="center" wrapText="1"/>
    </xf>
    <xf numFmtId="0" fontId="82" fillId="0" borderId="9" xfId="587" applyFont="1" applyBorder="1" applyAlignment="1">
      <alignment horizontal="center" vertical="center" wrapText="1"/>
    </xf>
    <xf numFmtId="0" fontId="83" fillId="0" borderId="9" xfId="0" applyFont="1" applyBorder="1" applyAlignment="1" applyProtection="1">
      <alignment horizontal="center"/>
      <protection hidden="1"/>
    </xf>
    <xf numFmtId="0" fontId="83" fillId="0" borderId="43" xfId="491" applyFont="1" applyBorder="1" applyAlignment="1" applyProtection="1">
      <alignment horizontal="center"/>
      <protection hidden="1"/>
    </xf>
    <xf numFmtId="2" fontId="83" fillId="0" borderId="43" xfId="491" applyNumberFormat="1" applyFont="1" applyBorder="1" applyAlignment="1" applyProtection="1">
      <alignment horizontal="center"/>
      <protection hidden="1"/>
    </xf>
    <xf numFmtId="2" fontId="82" fillId="0" borderId="43" xfId="491" applyNumberFormat="1" applyFont="1" applyBorder="1" applyAlignment="1" applyProtection="1">
      <alignment horizontal="center"/>
      <protection hidden="1"/>
    </xf>
    <xf numFmtId="0" fontId="83" fillId="0" borderId="44" xfId="491" applyFont="1" applyBorder="1" applyAlignment="1" applyProtection="1">
      <alignment horizontal="center"/>
      <protection hidden="1"/>
    </xf>
    <xf numFmtId="0" fontId="83" fillId="0" borderId="45" xfId="491" applyFont="1" applyBorder="1" applyAlignment="1" applyProtection="1">
      <alignment horizontal="center"/>
      <protection hidden="1"/>
    </xf>
    <xf numFmtId="2" fontId="83" fillId="0" borderId="15" xfId="0" applyNumberFormat="1" applyFont="1" applyBorder="1" applyAlignment="1" applyProtection="1">
      <alignment horizontal="center"/>
      <protection hidden="1"/>
    </xf>
    <xf numFmtId="2" fontId="82" fillId="0" borderId="23" xfId="0" applyNumberFormat="1" applyFont="1" applyBorder="1" applyAlignment="1" applyProtection="1">
      <alignment horizontal="center"/>
      <protection hidden="1"/>
    </xf>
    <xf numFmtId="2" fontId="82" fillId="0" borderId="18" xfId="0" applyNumberFormat="1" applyFont="1" applyBorder="1" applyAlignment="1" applyProtection="1">
      <alignment horizontal="center"/>
      <protection hidden="1"/>
    </xf>
    <xf numFmtId="2" fontId="81" fillId="0" borderId="35" xfId="502" applyNumberFormat="1" applyFont="1" applyBorder="1" applyAlignment="1">
      <alignment horizontal="center" vertical="center"/>
    </xf>
    <xf numFmtId="2" fontId="83" fillId="0" borderId="15" xfId="0" applyNumberFormat="1" applyFont="1" applyBorder="1" applyAlignment="1" applyProtection="1">
      <alignment horizontal="center" vertical="center"/>
      <protection hidden="1"/>
    </xf>
    <xf numFmtId="2" fontId="80" fillId="0" borderId="38" xfId="502" applyNumberFormat="1" applyFont="1" applyBorder="1" applyAlignment="1">
      <alignment horizontal="center" vertical="center"/>
    </xf>
    <xf numFmtId="186" fontId="83" fillId="0" borderId="0" xfId="0" applyNumberFormat="1" applyFont="1" applyAlignment="1" applyProtection="1">
      <alignment horizontal="center" vertical="top" wrapText="1"/>
      <protection hidden="1"/>
    </xf>
    <xf numFmtId="2" fontId="84" fillId="0" borderId="0" xfId="0" applyNumberFormat="1" applyFont="1" applyProtection="1">
      <protection hidden="1"/>
    </xf>
    <xf numFmtId="0" fontId="84" fillId="0" borderId="0" xfId="587" applyFont="1" applyAlignment="1">
      <alignment horizontal="center" vertical="center" wrapText="1"/>
    </xf>
    <xf numFmtId="0" fontId="82" fillId="0" borderId="0" xfId="587" applyFont="1" applyAlignment="1">
      <alignment vertical="center" wrapText="1"/>
    </xf>
    <xf numFmtId="2" fontId="83" fillId="0" borderId="9" xfId="0" applyNumberFormat="1" applyFont="1" applyBorder="1" applyAlignment="1">
      <alignment horizontal="center"/>
    </xf>
    <xf numFmtId="0" fontId="83" fillId="0" borderId="9" xfId="0" applyFont="1" applyBorder="1"/>
    <xf numFmtId="0" fontId="83" fillId="0" borderId="16" xfId="0" applyFont="1" applyBorder="1" applyAlignment="1">
      <alignment horizontal="center"/>
    </xf>
    <xf numFmtId="0" fontId="83" fillId="0" borderId="16" xfId="0" applyFont="1" applyBorder="1" applyAlignment="1">
      <alignment vertical="center" wrapText="1"/>
    </xf>
    <xf numFmtId="0" fontId="83" fillId="0" borderId="15" xfId="0" applyFont="1" applyBorder="1" applyAlignment="1">
      <alignment vertical="center" wrapText="1"/>
    </xf>
    <xf numFmtId="185" fontId="83" fillId="0" borderId="15" xfId="0" applyNumberFormat="1" applyFont="1" applyBorder="1" applyAlignment="1">
      <alignment horizontal="center"/>
    </xf>
    <xf numFmtId="0" fontId="83" fillId="0" borderId="17" xfId="0" applyFont="1" applyBorder="1" applyAlignment="1">
      <alignment horizontal="center"/>
    </xf>
    <xf numFmtId="185" fontId="83" fillId="0" borderId="16" xfId="0" applyNumberFormat="1" applyFont="1" applyBorder="1" applyAlignment="1">
      <alignment horizontal="center"/>
    </xf>
    <xf numFmtId="2" fontId="83" fillId="0" borderId="16" xfId="0" applyNumberFormat="1" applyFont="1" applyBorder="1" applyAlignment="1">
      <alignment horizontal="center"/>
    </xf>
    <xf numFmtId="0" fontId="82" fillId="0" borderId="9" xfId="0" applyFont="1" applyBorder="1" applyAlignment="1">
      <alignment horizontal="center" vertical="top" wrapText="1"/>
    </xf>
    <xf numFmtId="0" fontId="82" fillId="0" borderId="14" xfId="0" applyFont="1" applyBorder="1" applyAlignment="1">
      <alignment horizontal="center"/>
    </xf>
    <xf numFmtId="0" fontId="83" fillId="0" borderId="0" xfId="0" applyFont="1" applyAlignment="1">
      <alignment horizontal="center"/>
    </xf>
    <xf numFmtId="2" fontId="82" fillId="0" borderId="0" xfId="0" applyNumberFormat="1" applyFont="1" applyAlignment="1">
      <alignment horizontal="center"/>
    </xf>
    <xf numFmtId="0" fontId="82" fillId="0" borderId="0" xfId="0" applyFont="1" applyAlignment="1">
      <alignment horizontal="left"/>
    </xf>
    <xf numFmtId="0" fontId="82" fillId="0" borderId="9" xfId="0" applyFont="1" applyBorder="1"/>
    <xf numFmtId="0" fontId="90" fillId="0" borderId="0" xfId="0" applyFont="1"/>
    <xf numFmtId="0" fontId="132" fillId="0" borderId="0" xfId="0" applyFont="1"/>
    <xf numFmtId="0" fontId="83" fillId="0" borderId="0" xfId="0" applyFont="1"/>
    <xf numFmtId="2" fontId="83" fillId="0" borderId="0" xfId="0" applyNumberFormat="1" applyFont="1" applyAlignment="1">
      <alignment horizontal="center"/>
    </xf>
    <xf numFmtId="0" fontId="83" fillId="0" borderId="9" xfId="0" applyFont="1" applyBorder="1" applyAlignment="1">
      <alignment horizontal="center" vertical="center"/>
    </xf>
    <xf numFmtId="2" fontId="83" fillId="0" borderId="9" xfId="0" applyNumberFormat="1" applyFont="1" applyBorder="1" applyAlignment="1">
      <alignment horizontal="center" vertical="center"/>
    </xf>
    <xf numFmtId="2" fontId="0" fillId="0" borderId="0" xfId="0" applyNumberFormat="1"/>
    <xf numFmtId="0" fontId="82" fillId="0" borderId="0" xfId="0" applyFont="1" applyAlignment="1">
      <alignment horizontal="center" vertical="top" wrapText="1"/>
    </xf>
    <xf numFmtId="0" fontId="81" fillId="0" borderId="0" xfId="0" applyFont="1" applyAlignment="1">
      <alignment horizontal="center" vertical="center"/>
    </xf>
    <xf numFmtId="2" fontId="83" fillId="0" borderId="0" xfId="0" applyNumberFormat="1" applyFont="1" applyAlignment="1">
      <alignment horizontal="center" vertical="center"/>
    </xf>
    <xf numFmtId="0" fontId="134" fillId="0" borderId="0" xfId="0" applyFont="1"/>
    <xf numFmtId="0" fontId="127" fillId="0" borderId="0" xfId="0" applyFont="1" applyAlignment="1">
      <alignment horizontal="center"/>
    </xf>
    <xf numFmtId="0" fontId="135" fillId="0" borderId="0" xfId="0" applyFont="1" applyAlignment="1">
      <alignment horizontal="center" vertical="center"/>
    </xf>
    <xf numFmtId="0" fontId="127" fillId="0" borderId="0" xfId="0" applyFont="1" applyAlignment="1">
      <alignment horizontal="left"/>
    </xf>
    <xf numFmtId="2" fontId="127" fillId="0" borderId="0" xfId="0" applyNumberFormat="1" applyFont="1" applyAlignment="1">
      <alignment horizontal="center"/>
    </xf>
    <xf numFmtId="0" fontId="83" fillId="0" borderId="9" xfId="488" applyFont="1" applyBorder="1" applyAlignment="1">
      <alignment horizontal="left" vertical="center" wrapText="1"/>
    </xf>
    <xf numFmtId="1" fontId="83" fillId="0" borderId="9" xfId="488" applyNumberFormat="1" applyFont="1" applyBorder="1" applyAlignment="1">
      <alignment horizontal="center" vertical="center" wrapText="1"/>
    </xf>
    <xf numFmtId="1" fontId="81" fillId="0" borderId="9" xfId="0" applyNumberFormat="1" applyFont="1" applyBorder="1" applyAlignment="1">
      <alignment horizontal="center" vertical="center" wrapText="1"/>
    </xf>
    <xf numFmtId="0" fontId="83" fillId="0" borderId="15" xfId="488" applyFont="1" applyBorder="1" applyAlignment="1">
      <alignment horizontal="center" vertical="center" wrapText="1"/>
    </xf>
    <xf numFmtId="0" fontId="84" fillId="0" borderId="15" xfId="0" applyFont="1" applyBorder="1" applyAlignment="1">
      <alignment vertical="center" wrapText="1"/>
    </xf>
    <xf numFmtId="0" fontId="83" fillId="0" borderId="9" xfId="488" applyFont="1" applyBorder="1" applyAlignment="1">
      <alignment horizontal="right" vertical="center" wrapText="1"/>
    </xf>
    <xf numFmtId="0" fontId="126" fillId="0" borderId="9" xfId="493" applyFont="1" applyBorder="1" applyAlignment="1">
      <alignment horizontal="center" vertical="center" wrapText="1"/>
    </xf>
    <xf numFmtId="0" fontId="83" fillId="0" borderId="9" xfId="0" applyFont="1" applyBorder="1" applyAlignment="1">
      <alignment horizontal="center" vertical="top" wrapText="1"/>
    </xf>
    <xf numFmtId="0" fontId="83" fillId="0" borderId="9" xfId="0" applyFont="1" applyBorder="1" applyAlignment="1">
      <alignment horizontal="left" vertical="top" wrapText="1"/>
    </xf>
    <xf numFmtId="0" fontId="139" fillId="0" borderId="0" xfId="0" applyFont="1"/>
    <xf numFmtId="0" fontId="82" fillId="0" borderId="0" xfId="0" applyFont="1" applyAlignment="1">
      <alignment horizontal="right"/>
    </xf>
    <xf numFmtId="0" fontId="140" fillId="0" borderId="9" xfId="0" applyFont="1" applyBorder="1" applyAlignment="1">
      <alignment horizontal="center" vertical="center" wrapText="1"/>
    </xf>
    <xf numFmtId="0" fontId="140" fillId="0" borderId="9" xfId="0" applyFont="1" applyBorder="1" applyAlignment="1">
      <alignment horizontal="left" vertical="center" wrapText="1"/>
    </xf>
    <xf numFmtId="0" fontId="140" fillId="0" borderId="9" xfId="0" applyFont="1" applyBorder="1" applyAlignment="1">
      <alignment vertical="center" wrapText="1"/>
    </xf>
    <xf numFmtId="0" fontId="50" fillId="0" borderId="0" xfId="488" applyFont="1" applyAlignment="1">
      <alignment wrapText="1"/>
    </xf>
    <xf numFmtId="0" fontId="50" fillId="0" borderId="0" xfId="488" applyFont="1" applyAlignment="1">
      <alignment vertical="top" wrapText="1"/>
    </xf>
    <xf numFmtId="1" fontId="50" fillId="0" borderId="0" xfId="488" applyNumberFormat="1" applyFont="1" applyAlignment="1">
      <alignment wrapText="1"/>
    </xf>
    <xf numFmtId="0" fontId="44" fillId="0" borderId="0" xfId="488" applyFont="1" applyAlignment="1">
      <alignment wrapText="1"/>
    </xf>
    <xf numFmtId="1" fontId="44" fillId="0" borderId="0" xfId="488" applyNumberFormat="1" applyFont="1" applyAlignment="1">
      <alignment horizontal="center" wrapText="1"/>
    </xf>
    <xf numFmtId="0" fontId="44" fillId="0" borderId="0" xfId="488" applyFont="1" applyAlignment="1">
      <alignment vertical="top" wrapText="1"/>
    </xf>
    <xf numFmtId="0" fontId="44" fillId="0" borderId="0" xfId="488" applyFont="1" applyAlignment="1">
      <alignment horizontal="center" wrapText="1"/>
    </xf>
    <xf numFmtId="2" fontId="82" fillId="0" borderId="9" xfId="488" applyNumberFormat="1" applyFont="1" applyBorder="1" applyAlignment="1">
      <alignment horizontal="center" vertical="center" wrapText="1"/>
    </xf>
    <xf numFmtId="2" fontId="90" fillId="0" borderId="9" xfId="0" applyNumberFormat="1" applyFont="1" applyBorder="1" applyAlignment="1">
      <alignment horizontal="center" vertical="center" wrapText="1"/>
    </xf>
    <xf numFmtId="0" fontId="90" fillId="0" borderId="9" xfId="0" applyFont="1" applyBorder="1" applyAlignment="1">
      <alignment horizontal="left" vertical="center" wrapText="1"/>
    </xf>
    <xf numFmtId="2" fontId="90" fillId="0" borderId="9" xfId="0" applyNumberFormat="1" applyFont="1" applyBorder="1" applyAlignment="1">
      <alignment horizontal="center" vertical="center"/>
    </xf>
    <xf numFmtId="0" fontId="141" fillId="0" borderId="0" xfId="0" applyFont="1"/>
    <xf numFmtId="2" fontId="83" fillId="0" borderId="14" xfId="0" applyNumberFormat="1" applyFont="1" applyBorder="1" applyAlignment="1" applyProtection="1">
      <alignment horizontal="center" vertical="center"/>
      <protection hidden="1"/>
    </xf>
    <xf numFmtId="0" fontId="83" fillId="0" borderId="14" xfId="0" applyFont="1" applyBorder="1" applyAlignment="1" applyProtection="1">
      <alignment horizontal="center" vertical="center"/>
      <protection hidden="1"/>
    </xf>
    <xf numFmtId="2" fontId="141" fillId="0" borderId="0" xfId="0" applyNumberFormat="1" applyFont="1" applyAlignment="1">
      <alignment horizontal="center" vertical="center" wrapText="1"/>
    </xf>
    <xf numFmtId="0" fontId="141" fillId="0" borderId="0" xfId="0" applyFont="1" applyAlignment="1">
      <alignment horizontal="center" vertical="center" wrapText="1"/>
    </xf>
    <xf numFmtId="0" fontId="94" fillId="0" borderId="0" xfId="0" applyFont="1" applyAlignment="1">
      <alignment horizontal="center"/>
    </xf>
    <xf numFmtId="0" fontId="79" fillId="0" borderId="0" xfId="0" applyFont="1" applyAlignment="1">
      <alignment horizontal="center" vertical="center" wrapText="1"/>
    </xf>
    <xf numFmtId="0" fontId="130" fillId="0" borderId="0" xfId="0" applyFont="1" applyAlignment="1">
      <alignment horizontal="center" vertical="center"/>
    </xf>
    <xf numFmtId="0" fontId="90" fillId="0" borderId="0" xfId="0" applyFont="1" applyAlignment="1">
      <alignment horizontal="justify" vertical="center" wrapText="1"/>
    </xf>
    <xf numFmtId="0" fontId="91" fillId="0" borderId="0" xfId="0" applyFont="1" applyAlignment="1">
      <alignment horizontal="center" vertical="center"/>
    </xf>
    <xf numFmtId="0" fontId="82" fillId="0" borderId="9" xfId="0" applyFont="1" applyBorder="1" applyAlignment="1" applyProtection="1">
      <alignment horizontal="center" vertical="center"/>
      <protection hidden="1"/>
    </xf>
    <xf numFmtId="0" fontId="83" fillId="0" borderId="0" xfId="0" applyFont="1" applyAlignment="1">
      <alignment horizontal="center" vertical="center" wrapText="1"/>
    </xf>
    <xf numFmtId="0" fontId="83" fillId="0" borderId="0" xfId="0" applyFont="1" applyAlignment="1">
      <alignment horizontal="left" vertical="center" wrapText="1"/>
    </xf>
    <xf numFmtId="0" fontId="83" fillId="0" borderId="0" xfId="0" applyFont="1" applyAlignment="1">
      <alignment horizontal="center" vertical="center"/>
    </xf>
    <xf numFmtId="0" fontId="83" fillId="0" borderId="26" xfId="491" applyFont="1" applyBorder="1" applyAlignment="1" applyProtection="1">
      <alignment horizontal="center" vertical="center"/>
      <protection hidden="1"/>
    </xf>
    <xf numFmtId="0" fontId="83" fillId="0" borderId="43" xfId="491" applyFont="1" applyBorder="1" applyAlignment="1" applyProtection="1">
      <alignment horizontal="center" vertical="center"/>
      <protection hidden="1"/>
    </xf>
    <xf numFmtId="2" fontId="83" fillId="0" borderId="43" xfId="491" applyNumberFormat="1" applyFont="1" applyBorder="1" applyAlignment="1" applyProtection="1">
      <alignment horizontal="center" vertical="center"/>
      <protection hidden="1"/>
    </xf>
    <xf numFmtId="9" fontId="83" fillId="0" borderId="26" xfId="491" applyNumberFormat="1" applyFont="1" applyBorder="1" applyAlignment="1" applyProtection="1">
      <alignment horizontal="center" vertical="center"/>
      <protection hidden="1"/>
    </xf>
    <xf numFmtId="2" fontId="82" fillId="0" borderId="43" xfId="491" applyNumberFormat="1" applyFont="1" applyBorder="1" applyAlignment="1" applyProtection="1">
      <alignment horizontal="center" vertical="center"/>
      <protection hidden="1"/>
    </xf>
    <xf numFmtId="0" fontId="83" fillId="0" borderId="27" xfId="491" applyFont="1" applyBorder="1" applyAlignment="1" applyProtection="1">
      <alignment horizontal="center" vertical="center"/>
      <protection hidden="1"/>
    </xf>
    <xf numFmtId="0" fontId="83" fillId="0" borderId="44" xfId="491" applyFont="1" applyBorder="1" applyAlignment="1" applyProtection="1">
      <alignment horizontal="center" vertical="center"/>
      <protection hidden="1"/>
    </xf>
    <xf numFmtId="0" fontId="83" fillId="0" borderId="28" xfId="491" applyFont="1" applyBorder="1" applyAlignment="1" applyProtection="1">
      <alignment horizontal="center" vertical="center"/>
      <protection hidden="1"/>
    </xf>
    <xf numFmtId="0" fontId="83" fillId="0" borderId="45" xfId="491" applyFont="1" applyBorder="1" applyAlignment="1" applyProtection="1">
      <alignment horizontal="center" vertical="center"/>
      <protection hidden="1"/>
    </xf>
    <xf numFmtId="0" fontId="84" fillId="0" borderId="0" xfId="0" applyFont="1" applyAlignment="1" applyProtection="1">
      <alignment horizontal="center" vertical="center"/>
      <protection hidden="1"/>
    </xf>
    <xf numFmtId="2" fontId="83" fillId="0" borderId="0" xfId="0" applyNumberFormat="1" applyFont="1" applyAlignment="1" applyProtection="1">
      <alignment horizontal="center" vertical="center"/>
      <protection hidden="1"/>
    </xf>
    <xf numFmtId="0" fontId="83" fillId="0" borderId="0" xfId="491" applyFont="1" applyAlignment="1" applyProtection="1">
      <alignment horizontal="center" vertical="center"/>
      <protection hidden="1"/>
    </xf>
    <xf numFmtId="2" fontId="83" fillId="0" borderId="0" xfId="491" applyNumberFormat="1" applyFont="1" applyAlignment="1" applyProtection="1">
      <alignment horizontal="center" vertical="center"/>
      <protection hidden="1"/>
    </xf>
    <xf numFmtId="2" fontId="83" fillId="0" borderId="5" xfId="491" applyNumberFormat="1" applyFont="1" applyBorder="1" applyAlignment="1" applyProtection="1">
      <alignment horizontal="center" vertical="center"/>
      <protection hidden="1"/>
    </xf>
    <xf numFmtId="2" fontId="81" fillId="0" borderId="0" xfId="491" applyNumberFormat="1" applyFont="1" applyAlignment="1">
      <alignment horizontal="center" vertical="center"/>
    </xf>
    <xf numFmtId="2" fontId="80" fillId="0" borderId="0" xfId="491" applyNumberFormat="1" applyFont="1" applyAlignment="1">
      <alignment horizontal="center" vertical="center"/>
    </xf>
    <xf numFmtId="0" fontId="83" fillId="0" borderId="0" xfId="0" applyFont="1" applyAlignment="1" applyProtection="1">
      <alignment horizontal="center" vertical="center"/>
      <protection hidden="1"/>
    </xf>
    <xf numFmtId="187" fontId="83" fillId="0" borderId="0" xfId="491" applyNumberFormat="1" applyFont="1" applyAlignment="1" applyProtection="1">
      <alignment horizontal="center" vertical="center"/>
      <protection hidden="1"/>
    </xf>
    <xf numFmtId="2" fontId="82" fillId="0" borderId="5" xfId="491" applyNumberFormat="1" applyFont="1" applyBorder="1" applyAlignment="1" applyProtection="1">
      <alignment horizontal="center" vertical="center"/>
      <protection hidden="1"/>
    </xf>
    <xf numFmtId="0" fontId="81" fillId="0" borderId="0" xfId="491" applyFont="1" applyAlignment="1">
      <alignment horizontal="center" vertical="center"/>
    </xf>
    <xf numFmtId="0" fontId="83" fillId="0" borderId="0" xfId="0" applyFont="1" applyAlignment="1" applyProtection="1">
      <alignment horizontal="center" vertical="center" wrapText="1"/>
      <protection hidden="1"/>
    </xf>
    <xf numFmtId="186" fontId="83" fillId="0" borderId="0" xfId="0" applyNumberFormat="1" applyFont="1" applyAlignment="1" applyProtection="1">
      <alignment horizontal="center" vertical="center"/>
      <protection hidden="1"/>
    </xf>
    <xf numFmtId="0" fontId="82" fillId="0" borderId="0" xfId="0" applyFont="1" applyAlignment="1" applyProtection="1">
      <alignment horizontal="center" vertical="center" wrapText="1"/>
      <protection hidden="1"/>
    </xf>
    <xf numFmtId="0" fontId="83" fillId="0" borderId="24" xfId="0" applyFont="1" applyBorder="1" applyAlignment="1" applyProtection="1">
      <alignment horizontal="center" vertical="center"/>
      <protection hidden="1"/>
    </xf>
    <xf numFmtId="0" fontId="83" fillId="0" borderId="25" xfId="0" applyFont="1" applyBorder="1" applyAlignment="1" applyProtection="1">
      <alignment horizontal="center" vertical="center"/>
      <protection hidden="1"/>
    </xf>
    <xf numFmtId="0" fontId="83" fillId="0" borderId="29" xfId="0" applyFont="1" applyBorder="1" applyAlignment="1" applyProtection="1">
      <alignment horizontal="center" vertical="center"/>
      <protection hidden="1"/>
    </xf>
    <xf numFmtId="0" fontId="83" fillId="0" borderId="20" xfId="0" applyFont="1" applyBorder="1" applyAlignment="1" applyProtection="1">
      <alignment horizontal="center" vertical="center"/>
      <protection hidden="1"/>
    </xf>
    <xf numFmtId="0" fontId="83" fillId="0" borderId="19" xfId="0" applyFont="1" applyBorder="1" applyAlignment="1" applyProtection="1">
      <alignment horizontal="center" vertical="center"/>
      <protection hidden="1"/>
    </xf>
    <xf numFmtId="0" fontId="83" fillId="0" borderId="18" xfId="0" applyFont="1" applyBorder="1" applyAlignment="1" applyProtection="1">
      <alignment horizontal="center" vertical="center"/>
      <protection hidden="1"/>
    </xf>
    <xf numFmtId="0" fontId="83" fillId="0" borderId="22" xfId="0" applyFont="1" applyBorder="1" applyAlignment="1" applyProtection="1">
      <alignment horizontal="center" vertical="center" wrapText="1"/>
      <protection hidden="1"/>
    </xf>
    <xf numFmtId="186" fontId="82" fillId="0" borderId="18" xfId="0" applyNumberFormat="1" applyFont="1" applyBorder="1" applyAlignment="1" applyProtection="1">
      <alignment horizontal="center" vertical="center"/>
      <protection hidden="1"/>
    </xf>
    <xf numFmtId="0" fontId="83" fillId="0" borderId="19" xfId="0" applyFont="1" applyBorder="1" applyAlignment="1" applyProtection="1">
      <alignment horizontal="center" vertical="center" wrapText="1"/>
      <protection hidden="1"/>
    </xf>
    <xf numFmtId="186" fontId="83" fillId="0" borderId="19" xfId="0" applyNumberFormat="1" applyFont="1" applyBorder="1" applyAlignment="1" applyProtection="1">
      <alignment horizontal="center" vertical="center"/>
      <protection hidden="1"/>
    </xf>
    <xf numFmtId="0" fontId="83" fillId="0" borderId="16" xfId="0" applyFont="1" applyBorder="1" applyAlignment="1" applyProtection="1">
      <alignment horizontal="center" vertical="center"/>
      <protection hidden="1"/>
    </xf>
    <xf numFmtId="0" fontId="83" fillId="0" borderId="15" xfId="0" applyFont="1" applyBorder="1" applyAlignment="1" applyProtection="1">
      <alignment horizontal="center" vertical="center"/>
      <protection hidden="1"/>
    </xf>
    <xf numFmtId="0" fontId="83" fillId="0" borderId="22" xfId="0" applyFont="1" applyBorder="1" applyAlignment="1" applyProtection="1">
      <alignment horizontal="center" vertical="center"/>
      <protection hidden="1"/>
    </xf>
    <xf numFmtId="0" fontId="83" fillId="0" borderId="9" xfId="0" applyFont="1" applyBorder="1" applyAlignment="1" applyProtection="1">
      <alignment horizontal="center" vertical="center" wrapText="1"/>
      <protection hidden="1"/>
    </xf>
    <xf numFmtId="186" fontId="83" fillId="0" borderId="23" xfId="0" applyNumberFormat="1" applyFont="1" applyBorder="1" applyAlignment="1" applyProtection="1">
      <alignment horizontal="center" vertical="center"/>
      <protection hidden="1"/>
    </xf>
    <xf numFmtId="0" fontId="83" fillId="0" borderId="5" xfId="0" applyFont="1" applyBorder="1" applyAlignment="1" applyProtection="1">
      <alignment horizontal="center" vertical="center" wrapText="1"/>
      <protection hidden="1"/>
    </xf>
    <xf numFmtId="186" fontId="82" fillId="0" borderId="23" xfId="0" applyNumberFormat="1" applyFont="1" applyBorder="1" applyAlignment="1" applyProtection="1">
      <alignment horizontal="center" vertical="center"/>
      <protection hidden="1"/>
    </xf>
    <xf numFmtId="186" fontId="82" fillId="0" borderId="0" xfId="0" applyNumberFormat="1" applyFont="1" applyAlignment="1" applyProtection="1">
      <alignment horizontal="center" vertical="center"/>
      <protection hidden="1"/>
    </xf>
    <xf numFmtId="186" fontId="83" fillId="0" borderId="22" xfId="0" applyNumberFormat="1" applyFont="1" applyBorder="1" applyAlignment="1" applyProtection="1">
      <alignment horizontal="center" vertical="center"/>
      <protection hidden="1"/>
    </xf>
    <xf numFmtId="186" fontId="83" fillId="0" borderId="9" xfId="0" applyNumberFormat="1" applyFont="1" applyBorder="1" applyAlignment="1" applyProtection="1">
      <alignment horizontal="center" vertical="center"/>
      <protection hidden="1"/>
    </xf>
    <xf numFmtId="186" fontId="83" fillId="0" borderId="5" xfId="0" applyNumberFormat="1" applyFont="1" applyBorder="1" applyAlignment="1" applyProtection="1">
      <alignment horizontal="center" vertical="center"/>
      <protection hidden="1"/>
    </xf>
    <xf numFmtId="186" fontId="83" fillId="0" borderId="21" xfId="0" applyNumberFormat="1" applyFont="1" applyBorder="1" applyAlignment="1" applyProtection="1">
      <alignment horizontal="center" vertical="center"/>
      <protection hidden="1"/>
    </xf>
    <xf numFmtId="187" fontId="83" fillId="0" borderId="0" xfId="0" applyNumberFormat="1" applyFont="1" applyAlignment="1" applyProtection="1">
      <alignment horizontal="center"/>
      <protection hidden="1"/>
    </xf>
    <xf numFmtId="2" fontId="82" fillId="0" borderId="5" xfId="0" applyNumberFormat="1" applyFont="1" applyBorder="1" applyAlignment="1" applyProtection="1">
      <alignment horizontal="center"/>
      <protection hidden="1"/>
    </xf>
    <xf numFmtId="187" fontId="83" fillId="0" borderId="0" xfId="0" applyNumberFormat="1" applyFont="1" applyAlignment="1" applyProtection="1">
      <alignment horizontal="center" vertical="center"/>
      <protection hidden="1"/>
    </xf>
    <xf numFmtId="2" fontId="82" fillId="0" borderId="5" xfId="0" applyNumberFormat="1" applyFont="1" applyBorder="1" applyAlignment="1" applyProtection="1">
      <alignment horizontal="center" vertical="center"/>
      <protection hidden="1"/>
    </xf>
    <xf numFmtId="187" fontId="83" fillId="0" borderId="0" xfId="491" applyNumberFormat="1" applyFont="1" applyAlignment="1" applyProtection="1">
      <alignment horizontal="center"/>
      <protection hidden="1"/>
    </xf>
    <xf numFmtId="2" fontId="82" fillId="0" borderId="5" xfId="491" applyNumberFormat="1" applyFont="1" applyBorder="1" applyAlignment="1" applyProtection="1">
      <alignment horizontal="center"/>
      <protection hidden="1"/>
    </xf>
    <xf numFmtId="0" fontId="81" fillId="0" borderId="0" xfId="491" applyFont="1" applyAlignment="1">
      <alignment horizontal="center"/>
    </xf>
    <xf numFmtId="2" fontId="82" fillId="0" borderId="0" xfId="491" applyNumberFormat="1" applyFont="1" applyAlignment="1" applyProtection="1">
      <alignment horizontal="center" vertical="center"/>
      <protection hidden="1"/>
    </xf>
    <xf numFmtId="2" fontId="83" fillId="0" borderId="26" xfId="491" applyNumberFormat="1" applyFont="1" applyBorder="1" applyAlignment="1" applyProtection="1">
      <alignment horizontal="center"/>
      <protection hidden="1"/>
    </xf>
    <xf numFmtId="2" fontId="83" fillId="0" borderId="16" xfId="0" applyNumberFormat="1" applyFont="1" applyBorder="1" applyAlignment="1" applyProtection="1">
      <alignment horizontal="center"/>
      <protection hidden="1"/>
    </xf>
    <xf numFmtId="2" fontId="83" fillId="0" borderId="22" xfId="0" applyNumberFormat="1" applyFont="1" applyBorder="1" applyAlignment="1" applyProtection="1">
      <alignment horizontal="center"/>
      <protection hidden="1"/>
    </xf>
    <xf numFmtId="0" fontId="83" fillId="0" borderId="5" xfId="0" applyFont="1" applyBorder="1" applyAlignment="1" applyProtection="1">
      <alignment horizontal="center"/>
      <protection hidden="1"/>
    </xf>
    <xf numFmtId="0" fontId="83" fillId="0" borderId="21" xfId="0" applyFont="1" applyBorder="1" applyAlignment="1" applyProtection="1">
      <alignment horizontal="center"/>
      <protection hidden="1"/>
    </xf>
    <xf numFmtId="2" fontId="83" fillId="0" borderId="17" xfId="0" applyNumberFormat="1" applyFont="1" applyBorder="1" applyAlignment="1" applyProtection="1">
      <alignment horizontal="center"/>
      <protection hidden="1"/>
    </xf>
    <xf numFmtId="2" fontId="83" fillId="0" borderId="16" xfId="0" applyNumberFormat="1" applyFont="1" applyBorder="1" applyAlignment="1" applyProtection="1">
      <alignment horizontal="center" vertical="center"/>
      <protection hidden="1"/>
    </xf>
    <xf numFmtId="9" fontId="83" fillId="0" borderId="22" xfId="0" applyNumberFormat="1" applyFont="1" applyBorder="1" applyAlignment="1" applyProtection="1">
      <alignment horizontal="center" vertical="center"/>
      <protection hidden="1"/>
    </xf>
    <xf numFmtId="2" fontId="83" fillId="0" borderId="22" xfId="0" applyNumberFormat="1" applyFont="1" applyBorder="1" applyAlignment="1" applyProtection="1">
      <alignment horizontal="center" vertical="center"/>
      <protection hidden="1"/>
    </xf>
    <xf numFmtId="0" fontId="83" fillId="0" borderId="5" xfId="0" applyFont="1" applyBorder="1" applyAlignment="1" applyProtection="1">
      <alignment horizontal="center" vertical="center"/>
      <protection hidden="1"/>
    </xf>
    <xf numFmtId="0" fontId="83" fillId="0" borderId="21" xfId="0" applyFont="1" applyBorder="1" applyAlignment="1" applyProtection="1">
      <alignment horizontal="center" vertical="center"/>
      <protection hidden="1"/>
    </xf>
    <xf numFmtId="2" fontId="82" fillId="0" borderId="23" xfId="0" applyNumberFormat="1" applyFont="1" applyBorder="1" applyAlignment="1" applyProtection="1">
      <alignment horizontal="center" vertical="center"/>
      <protection hidden="1"/>
    </xf>
    <xf numFmtId="2" fontId="83" fillId="0" borderId="17" xfId="0" applyNumberFormat="1" applyFont="1" applyBorder="1" applyAlignment="1" applyProtection="1">
      <alignment horizontal="center" vertical="center"/>
      <protection hidden="1"/>
    </xf>
    <xf numFmtId="2" fontId="83" fillId="0" borderId="5" xfId="0" applyNumberFormat="1" applyFont="1" applyBorder="1" applyAlignment="1" applyProtection="1">
      <alignment horizontal="center" vertical="center"/>
      <protection hidden="1"/>
    </xf>
    <xf numFmtId="9" fontId="83" fillId="0" borderId="16" xfId="0" applyNumberFormat="1" applyFont="1" applyBorder="1" applyAlignment="1" applyProtection="1">
      <alignment horizontal="center" vertical="center"/>
      <protection hidden="1"/>
    </xf>
    <xf numFmtId="0" fontId="81" fillId="0" borderId="0" xfId="502" applyFont="1" applyAlignment="1">
      <alignment horizontal="center" vertical="center"/>
    </xf>
    <xf numFmtId="0" fontId="80" fillId="0" borderId="33" xfId="502" applyFont="1" applyBorder="1" applyAlignment="1">
      <alignment horizontal="center" vertical="center"/>
    </xf>
    <xf numFmtId="0" fontId="80" fillId="0" borderId="38" xfId="502" applyFont="1" applyBorder="1" applyAlignment="1">
      <alignment horizontal="center" vertical="center"/>
    </xf>
    <xf numFmtId="0" fontId="81" fillId="0" borderId="32" xfId="502" applyFont="1" applyBorder="1" applyAlignment="1">
      <alignment horizontal="center" vertical="center"/>
    </xf>
    <xf numFmtId="0" fontId="81" fillId="0" borderId="36" xfId="502" applyFont="1" applyBorder="1" applyAlignment="1">
      <alignment horizontal="center" vertical="center"/>
    </xf>
    <xf numFmtId="0" fontId="81" fillId="0" borderId="34" xfId="502" applyFont="1" applyBorder="1" applyAlignment="1">
      <alignment horizontal="center" vertical="center"/>
    </xf>
    <xf numFmtId="0" fontId="81" fillId="0" borderId="39" xfId="502" applyFont="1" applyBorder="1" applyAlignment="1">
      <alignment horizontal="center" vertical="center"/>
    </xf>
    <xf numFmtId="0" fontId="81" fillId="0" borderId="40" xfId="502" applyFont="1" applyBorder="1" applyAlignment="1">
      <alignment horizontal="center" vertical="center"/>
    </xf>
    <xf numFmtId="0" fontId="81" fillId="0" borderId="41" xfId="502" applyFont="1" applyBorder="1" applyAlignment="1">
      <alignment horizontal="center" vertical="center"/>
    </xf>
    <xf numFmtId="187" fontId="81" fillId="0" borderId="0" xfId="502" applyNumberFormat="1" applyFont="1" applyAlignment="1">
      <alignment horizontal="center" vertical="center"/>
    </xf>
    <xf numFmtId="2" fontId="80" fillId="0" borderId="39" xfId="502" applyNumberFormat="1" applyFont="1" applyBorder="1" applyAlignment="1">
      <alignment horizontal="center" vertical="center"/>
    </xf>
    <xf numFmtId="0" fontId="83" fillId="26" borderId="0" xfId="0" applyFont="1" applyFill="1"/>
    <xf numFmtId="0" fontId="128" fillId="0" borderId="9" xfId="0" applyFont="1" applyBorder="1" applyAlignment="1">
      <alignment horizontal="center"/>
    </xf>
    <xf numFmtId="0" fontId="127" fillId="0" borderId="9" xfId="0" applyFont="1" applyBorder="1" applyAlignment="1">
      <alignment horizontal="center"/>
    </xf>
    <xf numFmtId="2" fontId="127" fillId="0" borderId="9" xfId="0" applyNumberFormat="1" applyFont="1" applyBorder="1" applyAlignment="1">
      <alignment horizontal="center"/>
    </xf>
    <xf numFmtId="0" fontId="87" fillId="0" borderId="0" xfId="0" applyFont="1" applyAlignment="1">
      <alignment horizontal="center" vertical="center" wrapText="1"/>
    </xf>
    <xf numFmtId="0" fontId="133" fillId="0" borderId="0" xfId="0" applyFont="1" applyAlignment="1">
      <alignment horizontal="center"/>
    </xf>
    <xf numFmtId="0" fontId="0" fillId="0" borderId="0" xfId="0"/>
    <xf numFmtId="0" fontId="128" fillId="0" borderId="9" xfId="0" applyFont="1" applyBorder="1" applyAlignment="1">
      <alignment horizontal="center"/>
    </xf>
    <xf numFmtId="0" fontId="0" fillId="0" borderId="9" xfId="0" applyBorder="1"/>
    <xf numFmtId="0" fontId="127" fillId="0" borderId="9" xfId="0" applyFont="1" applyBorder="1" applyAlignment="1">
      <alignment horizontal="left"/>
    </xf>
    <xf numFmtId="0" fontId="127" fillId="0" borderId="9" xfId="0" applyFont="1" applyBorder="1" applyAlignment="1">
      <alignment horizontal="center"/>
    </xf>
    <xf numFmtId="0" fontId="127" fillId="0" borderId="0" xfId="0" applyFont="1" applyAlignment="1">
      <alignment horizontal="center"/>
    </xf>
    <xf numFmtId="0" fontId="128" fillId="0" borderId="0" xfId="0" applyFont="1" applyAlignment="1">
      <alignment horizontal="center"/>
    </xf>
    <xf numFmtId="0" fontId="122" fillId="0" borderId="0" xfId="768" applyFont="1" applyAlignment="1">
      <alignment horizontal="center" vertical="center"/>
    </xf>
    <xf numFmtId="0" fontId="122" fillId="0" borderId="0" xfId="768" applyFont="1" applyAlignment="1">
      <alignment horizontal="left" vertical="center"/>
    </xf>
    <xf numFmtId="0" fontId="123" fillId="0" borderId="0" xfId="768" applyFont="1" applyAlignment="1">
      <alignment horizontal="center" vertical="center"/>
    </xf>
    <xf numFmtId="0" fontId="101" fillId="0" borderId="0" xfId="768" applyFont="1" applyAlignment="1">
      <alignment horizontal="center" vertical="center"/>
    </xf>
    <xf numFmtId="49" fontId="125" fillId="0" borderId="0" xfId="768" applyNumberFormat="1" applyFont="1" applyAlignment="1">
      <alignment horizontal="center" vertical="center" wrapText="1"/>
    </xf>
    <xf numFmtId="49" fontId="136" fillId="0" borderId="0" xfId="768" applyNumberFormat="1" applyFont="1" applyAlignment="1">
      <alignment horizontal="center" vertical="center" wrapText="1"/>
    </xf>
    <xf numFmtId="0" fontId="117" fillId="0" borderId="0" xfId="768" applyFont="1" applyAlignment="1">
      <alignment horizontal="center"/>
    </xf>
    <xf numFmtId="2" fontId="117" fillId="0" borderId="0" xfId="768" applyNumberFormat="1" applyFont="1" applyAlignment="1">
      <alignment horizontal="center" vertical="center"/>
    </xf>
    <xf numFmtId="0" fontId="113" fillId="0" borderId="0" xfId="768" applyFont="1" applyAlignment="1">
      <alignment horizontal="center" vertical="center" wrapText="1"/>
    </xf>
    <xf numFmtId="0" fontId="137" fillId="0" borderId="0" xfId="0" applyFont="1" applyAlignment="1">
      <alignment horizontal="center" vertical="center" wrapText="1"/>
    </xf>
    <xf numFmtId="0" fontId="138" fillId="0" borderId="0" xfId="0" applyFont="1" applyAlignment="1">
      <alignment wrapText="1"/>
    </xf>
    <xf numFmtId="0" fontId="82" fillId="0" borderId="0" xfId="0" applyFont="1" applyAlignment="1">
      <alignment horizontal="center" vertical="center"/>
    </xf>
    <xf numFmtId="0" fontId="87" fillId="0" borderId="0" xfId="488" applyFont="1" applyAlignment="1">
      <alignment horizontal="center" vertical="center" wrapText="1"/>
    </xf>
    <xf numFmtId="0" fontId="87" fillId="0" borderId="9" xfId="0" applyFont="1" applyBorder="1" applyAlignment="1">
      <alignment horizontal="center" vertical="top" wrapText="1"/>
    </xf>
    <xf numFmtId="1" fontId="50" fillId="0" borderId="0" xfId="488" applyNumberFormat="1" applyFont="1" applyAlignment="1">
      <alignment vertical="center" wrapText="1"/>
    </xf>
    <xf numFmtId="0" fontId="142" fillId="0" borderId="0" xfId="0" applyFont="1" applyAlignment="1">
      <alignment horizontal="center"/>
    </xf>
    <xf numFmtId="0" fontId="79" fillId="0" borderId="0" xfId="0" applyFont="1" applyAlignment="1">
      <alignment horizontal="center" vertical="center" wrapText="1"/>
    </xf>
    <xf numFmtId="0" fontId="0" fillId="0" borderId="0" xfId="0" applyAlignment="1">
      <alignment horizontal="center"/>
    </xf>
    <xf numFmtId="0" fontId="81" fillId="0" borderId="23" xfId="0" applyFont="1" applyBorder="1" applyAlignment="1">
      <alignment horizontal="left" vertical="top" wrapText="1"/>
    </xf>
    <xf numFmtId="0" fontId="81" fillId="0" borderId="5" xfId="0" applyFont="1" applyBorder="1" applyAlignment="1">
      <alignment horizontal="left" vertical="top" wrapText="1"/>
    </xf>
    <xf numFmtId="0" fontId="81" fillId="0" borderId="21" xfId="0" applyFont="1" applyBorder="1" applyAlignment="1">
      <alignment horizontal="left" vertical="top" wrapText="1"/>
    </xf>
    <xf numFmtId="0" fontId="80" fillId="0" borderId="9" xfId="0" applyFont="1" applyBorder="1" applyAlignment="1">
      <alignment horizontal="center" vertical="center"/>
    </xf>
    <xf numFmtId="0" fontId="142" fillId="0" borderId="0" xfId="0" applyFont="1" applyAlignment="1">
      <alignment horizontal="center" vertical="center"/>
    </xf>
    <xf numFmtId="49" fontId="79" fillId="0" borderId="0" xfId="0" applyNumberFormat="1" applyFont="1" applyAlignment="1">
      <alignment horizontal="center" vertical="center" wrapText="1"/>
    </xf>
    <xf numFmtId="0" fontId="80" fillId="0" borderId="0" xfId="0" applyFont="1" applyAlignment="1">
      <alignment horizontal="center"/>
    </xf>
    <xf numFmtId="0" fontId="92" fillId="0" borderId="0" xfId="0" applyFont="1" applyAlignment="1">
      <alignment horizontal="center"/>
    </xf>
    <xf numFmtId="0" fontId="80" fillId="0" borderId="0" xfId="0" applyFont="1" applyAlignment="1">
      <alignment horizontal="center" vertical="center"/>
    </xf>
    <xf numFmtId="0" fontId="82" fillId="0" borderId="0" xfId="587" applyFont="1" applyAlignment="1">
      <alignment horizontal="center" vertical="center" wrapText="1"/>
    </xf>
    <xf numFmtId="0" fontId="82" fillId="0" borderId="14" xfId="587" applyFont="1" applyBorder="1" applyAlignment="1">
      <alignment horizontal="center" vertical="center" wrapText="1"/>
    </xf>
    <xf numFmtId="0" fontId="82" fillId="0" borderId="16" xfId="587" applyFont="1" applyBorder="1" applyAlignment="1">
      <alignment horizontal="center" vertical="center" wrapText="1"/>
    </xf>
    <xf numFmtId="0" fontId="82" fillId="0" borderId="22" xfId="587" applyFont="1" applyBorder="1" applyAlignment="1">
      <alignment horizontal="center" vertical="center" wrapText="1"/>
    </xf>
    <xf numFmtId="0" fontId="82" fillId="0" borderId="9" xfId="587" applyFont="1" applyBorder="1" applyAlignment="1">
      <alignment horizontal="center" vertical="center" wrapText="1"/>
    </xf>
    <xf numFmtId="0" fontId="82" fillId="0" borderId="9" xfId="0" applyFont="1" applyBorder="1" applyAlignment="1">
      <alignment horizontal="center" vertical="center" wrapText="1"/>
    </xf>
    <xf numFmtId="0" fontId="82" fillId="0" borderId="0" xfId="0" applyFont="1" applyAlignment="1">
      <alignment horizontal="center" vertical="center" wrapText="1"/>
    </xf>
    <xf numFmtId="0" fontId="81" fillId="0" borderId="0" xfId="491" applyFont="1" applyAlignment="1">
      <alignment horizontal="left" vertical="top" wrapText="1"/>
    </xf>
    <xf numFmtId="0" fontId="81" fillId="0" borderId="0" xfId="491" applyFont="1" applyAlignment="1">
      <alignment horizontal="left" vertical="top"/>
    </xf>
    <xf numFmtId="0" fontId="83" fillId="0" borderId="0" xfId="0" applyFont="1" applyAlignment="1" applyProtection="1">
      <alignment horizontal="left"/>
      <protection hidden="1"/>
    </xf>
    <xf numFmtId="0" fontId="83" fillId="0" borderId="0" xfId="491" applyFont="1" applyAlignment="1" applyProtection="1">
      <alignment horizontal="left" vertical="center" wrapText="1"/>
      <protection hidden="1"/>
    </xf>
    <xf numFmtId="0" fontId="83" fillId="0" borderId="0" xfId="491" applyFont="1" applyAlignment="1" applyProtection="1">
      <alignment horizontal="left"/>
      <protection hidden="1"/>
    </xf>
    <xf numFmtId="0" fontId="6" fillId="0" borderId="0" xfId="587" applyAlignment="1">
      <alignment horizontal="left" vertical="center" wrapText="1"/>
    </xf>
    <xf numFmtId="0" fontId="83" fillId="0" borderId="0" xfId="0" applyFont="1" applyAlignment="1" applyProtection="1">
      <alignment horizontal="left" vertical="top" wrapText="1"/>
      <protection hidden="1"/>
    </xf>
    <xf numFmtId="0" fontId="83" fillId="0" borderId="9" xfId="0" applyFont="1" applyBorder="1" applyAlignment="1" applyProtection="1">
      <alignment horizontal="left" vertical="center" wrapText="1"/>
      <protection hidden="1"/>
    </xf>
    <xf numFmtId="0" fontId="83" fillId="0" borderId="0" xfId="0" applyFont="1" applyAlignment="1" applyProtection="1">
      <alignment horizontal="left" vertical="center" wrapText="1"/>
      <protection hidden="1"/>
    </xf>
    <xf numFmtId="0" fontId="83" fillId="0" borderId="0" xfId="0" applyFont="1" applyAlignment="1" applyProtection="1">
      <alignment vertical="center" wrapText="1"/>
      <protection hidden="1"/>
    </xf>
    <xf numFmtId="0" fontId="80" fillId="0" borderId="32" xfId="502" applyFont="1" applyBorder="1" applyAlignment="1">
      <alignment horizontal="center" vertical="center" wrapText="1"/>
    </xf>
    <xf numFmtId="0" fontId="83" fillId="0" borderId="34" xfId="502" applyFont="1" applyBorder="1"/>
    <xf numFmtId="0" fontId="83" fillId="0" borderId="34" xfId="502" applyFont="1" applyBorder="1" applyAlignment="1">
      <alignment horizontal="center" vertical="center"/>
    </xf>
    <xf numFmtId="0" fontId="81" fillId="0" borderId="0" xfId="502" applyFont="1" applyAlignment="1">
      <alignment horizontal="left"/>
    </xf>
    <xf numFmtId="0" fontId="83" fillId="0" borderId="0" xfId="502" applyFont="1"/>
    <xf numFmtId="0" fontId="80" fillId="0" borderId="0" xfId="502" applyFont="1" applyAlignment="1">
      <alignment horizontal="center" vertical="center" wrapText="1"/>
    </xf>
    <xf numFmtId="0" fontId="81" fillId="0" borderId="0" xfId="502" applyFont="1" applyAlignment="1">
      <alignment horizontal="left" vertical="top" wrapText="1"/>
    </xf>
    <xf numFmtId="0" fontId="83" fillId="26" borderId="14" xfId="0" applyFont="1" applyFill="1" applyBorder="1" applyAlignment="1">
      <alignment horizontal="center" wrapText="1"/>
    </xf>
    <xf numFmtId="0" fontId="83" fillId="26" borderId="9" xfId="0" applyFont="1" applyFill="1" applyBorder="1" applyAlignment="1">
      <alignment horizontal="center"/>
    </xf>
    <xf numFmtId="2" fontId="83" fillId="26" borderId="9" xfId="0" applyNumberFormat="1" applyFont="1" applyFill="1" applyBorder="1" applyAlignment="1">
      <alignment horizontal="center" vertical="center" wrapText="1"/>
    </xf>
    <xf numFmtId="0" fontId="83" fillId="26" borderId="9" xfId="0" applyFont="1" applyFill="1" applyBorder="1" applyAlignment="1">
      <alignment horizontal="center" vertical="center" wrapText="1"/>
    </xf>
    <xf numFmtId="0" fontId="83" fillId="26" borderId="9" xfId="0" applyFont="1" applyFill="1" applyBorder="1" applyAlignment="1">
      <alignment horizontal="center" wrapText="1"/>
    </xf>
    <xf numFmtId="0" fontId="83" fillId="26" borderId="14" xfId="0" applyFont="1" applyFill="1" applyBorder="1" applyAlignment="1">
      <alignment vertical="center" wrapText="1"/>
    </xf>
    <xf numFmtId="2" fontId="83" fillId="26" borderId="9" xfId="0" applyNumberFormat="1" applyFont="1" applyFill="1" applyBorder="1" applyAlignment="1">
      <alignment horizontal="center" wrapText="1"/>
    </xf>
    <xf numFmtId="0" fontId="83" fillId="26" borderId="23" xfId="0" applyFont="1" applyFill="1" applyBorder="1" applyAlignment="1">
      <alignment horizontal="center" vertical="center" wrapText="1"/>
    </xf>
    <xf numFmtId="0" fontId="83" fillId="26" borderId="21" xfId="0" applyFont="1" applyFill="1" applyBorder="1" applyAlignment="1">
      <alignment horizontal="center" vertical="center" wrapText="1"/>
    </xf>
    <xf numFmtId="0" fontId="83" fillId="26" borderId="9" xfId="0" applyFont="1" applyFill="1" applyBorder="1" applyAlignment="1">
      <alignment horizontal="center" vertical="center"/>
    </xf>
    <xf numFmtId="0" fontId="83" fillId="26" borderId="9" xfId="0" applyFont="1" applyFill="1" applyBorder="1" applyAlignment="1">
      <alignment vertical="center" wrapText="1"/>
    </xf>
    <xf numFmtId="2" fontId="83" fillId="26" borderId="9" xfId="0" applyNumberFormat="1" applyFont="1" applyFill="1" applyBorder="1" applyAlignment="1">
      <alignment horizontal="center" vertical="center"/>
    </xf>
    <xf numFmtId="0" fontId="82" fillId="0" borderId="22" xfId="504" applyFont="1" applyBorder="1" applyAlignment="1">
      <alignment horizontal="center" vertical="center" wrapText="1"/>
    </xf>
    <xf numFmtId="0" fontId="82" fillId="0" borderId="9" xfId="504" applyFont="1" applyBorder="1" applyAlignment="1">
      <alignment horizontal="center" vertical="center" wrapText="1"/>
    </xf>
    <xf numFmtId="0" fontId="82" fillId="0" borderId="31" xfId="504" applyFont="1" applyBorder="1" applyAlignment="1">
      <alignment horizontal="center" vertical="center" wrapText="1"/>
    </xf>
    <xf numFmtId="0" fontId="82" fillId="0" borderId="30" xfId="504" applyFont="1" applyBorder="1" applyAlignment="1">
      <alignment horizontal="center" vertical="center" wrapText="1"/>
    </xf>
    <xf numFmtId="0" fontId="83" fillId="0" borderId="9" xfId="0" applyFont="1" applyBorder="1" applyAlignment="1">
      <alignment horizontal="center" vertical="center" wrapText="1"/>
    </xf>
    <xf numFmtId="0" fontId="87" fillId="26" borderId="9" xfId="502" applyFont="1" applyFill="1" applyBorder="1" applyAlignment="1">
      <alignment horizontal="center"/>
    </xf>
    <xf numFmtId="0" fontId="79" fillId="26" borderId="9" xfId="502" applyFont="1" applyFill="1" applyBorder="1" applyAlignment="1">
      <alignment horizontal="center" vertical="center" wrapText="1"/>
    </xf>
    <xf numFmtId="0" fontId="82" fillId="0" borderId="22" xfId="767" applyFont="1" applyBorder="1" applyAlignment="1">
      <alignment horizontal="center" vertical="center" wrapText="1"/>
    </xf>
    <xf numFmtId="0" fontId="82" fillId="0" borderId="9" xfId="767" applyFont="1" applyBorder="1" applyAlignment="1">
      <alignment horizontal="center" vertical="center" wrapText="1"/>
    </xf>
    <xf numFmtId="2" fontId="83" fillId="26" borderId="0" xfId="502" applyNumberFormat="1" applyFont="1" applyFill="1" applyAlignment="1">
      <alignment horizontal="left" vertical="center" wrapText="1"/>
    </xf>
    <xf numFmtId="0" fontId="83" fillId="26" borderId="22" xfId="0" applyFont="1" applyFill="1" applyBorder="1" applyAlignment="1">
      <alignment horizontal="center" vertical="center" wrapText="1"/>
    </xf>
    <xf numFmtId="0" fontId="82" fillId="0" borderId="22" xfId="0" applyFont="1" applyBorder="1" applyAlignment="1">
      <alignment horizontal="center" vertical="center" wrapText="1"/>
    </xf>
    <xf numFmtId="0" fontId="131" fillId="0" borderId="0" xfId="0" applyFont="1" applyAlignment="1">
      <alignment horizontal="center"/>
    </xf>
    <xf numFmtId="0" fontId="82" fillId="0" borderId="14" xfId="0" applyFont="1" applyBorder="1"/>
    <xf numFmtId="0" fontId="129" fillId="0" borderId="0" xfId="0" applyFont="1" applyAlignment="1">
      <alignment horizontal="center"/>
    </xf>
    <xf numFmtId="0" fontId="130" fillId="0" borderId="0" xfId="0" applyFont="1" applyAlignment="1">
      <alignment horizontal="center"/>
    </xf>
    <xf numFmtId="0" fontId="129" fillId="0" borderId="19" xfId="0" applyFont="1" applyBorder="1" applyAlignment="1">
      <alignment horizontal="center" vertical="center" wrapText="1"/>
    </xf>
    <xf numFmtId="0" fontId="129" fillId="0" borderId="20" xfId="0" applyFont="1" applyBorder="1" applyAlignment="1">
      <alignment horizontal="center" vertical="center" wrapText="1"/>
    </xf>
    <xf numFmtId="0" fontId="75" fillId="0" borderId="15" xfId="0" applyFont="1" applyBorder="1" applyAlignment="1">
      <alignment horizontal="center" vertical="center"/>
    </xf>
    <xf numFmtId="0" fontId="63" fillId="0" borderId="0" xfId="0" applyFont="1" applyAlignment="1">
      <alignment horizontal="center"/>
    </xf>
    <xf numFmtId="0" fontId="75" fillId="0" borderId="0" xfId="0" applyFont="1" applyAlignment="1">
      <alignment horizontal="left" vertical="center"/>
    </xf>
    <xf numFmtId="0" fontId="75" fillId="0" borderId="0" xfId="0" applyFont="1" applyAlignment="1">
      <alignment horizontal="center"/>
    </xf>
    <xf numFmtId="0" fontId="73" fillId="0" borderId="0" xfId="1" applyFont="1" applyAlignment="1">
      <alignment horizontal="center" vertical="center"/>
    </xf>
    <xf numFmtId="0" fontId="75" fillId="0" borderId="0" xfId="0" applyFont="1" applyAlignment="1">
      <alignment horizontal="left" vertical="center" wrapText="1"/>
    </xf>
    <xf numFmtId="0" fontId="83" fillId="26" borderId="22" xfId="0" applyFont="1" applyFill="1" applyBorder="1" applyAlignment="1">
      <alignment horizontal="center" vertical="center"/>
    </xf>
    <xf numFmtId="0" fontId="83" fillId="26" borderId="22" xfId="0" applyFont="1" applyFill="1" applyBorder="1" applyAlignment="1">
      <alignment horizontal="center" vertical="center"/>
    </xf>
    <xf numFmtId="1" fontId="83" fillId="26" borderId="22" xfId="0" applyNumberFormat="1" applyFont="1" applyFill="1" applyBorder="1" applyAlignment="1">
      <alignment horizontal="center" vertical="center"/>
    </xf>
    <xf numFmtId="0" fontId="87" fillId="0" borderId="9" xfId="515" applyFont="1" applyBorder="1" applyAlignment="1">
      <alignment horizontal="center" vertical="center" wrapText="1"/>
    </xf>
    <xf numFmtId="0" fontId="129" fillId="0" borderId="9" xfId="515" applyFont="1" applyBorder="1" applyAlignment="1">
      <alignment horizontal="center" vertical="center" wrapText="1"/>
    </xf>
  </cellXfs>
  <cellStyles count="770">
    <cellStyle name="20% - Accent1 2" xfId="2" xr:uid="{00000000-0005-0000-0000-000006000000}"/>
    <cellStyle name="20% - Accent1 2 2" xfId="3" xr:uid="{00000000-0005-0000-0000-000007000000}"/>
    <cellStyle name="20% - Accent1 2 3" xfId="4" xr:uid="{00000000-0005-0000-0000-000008000000}"/>
    <cellStyle name="20% - Accent1 2 4" xfId="5" xr:uid="{00000000-0005-0000-0000-000009000000}"/>
    <cellStyle name="20% - Accent1 2 5" xfId="6" xr:uid="{00000000-0005-0000-0000-00000A000000}"/>
    <cellStyle name="20% - Accent1 3" xfId="7" xr:uid="{00000000-0005-0000-0000-00000B000000}"/>
    <cellStyle name="20% - Accent1 4" xfId="8" xr:uid="{00000000-0005-0000-0000-00000C000000}"/>
    <cellStyle name="20% - Accent1 5" xfId="9" xr:uid="{00000000-0005-0000-0000-00000D000000}"/>
    <cellStyle name="20% - Accent2 2" xfId="10" xr:uid="{00000000-0005-0000-0000-00000E000000}"/>
    <cellStyle name="20% - Accent2 2 2" xfId="11" xr:uid="{00000000-0005-0000-0000-00000F000000}"/>
    <cellStyle name="20% - Accent2 2 3" xfId="12" xr:uid="{00000000-0005-0000-0000-000010000000}"/>
    <cellStyle name="20% - Accent2 2 4" xfId="13" xr:uid="{00000000-0005-0000-0000-000011000000}"/>
    <cellStyle name="20% - Accent2 2 5" xfId="14" xr:uid="{00000000-0005-0000-0000-000012000000}"/>
    <cellStyle name="20% - Accent2 3" xfId="15" xr:uid="{00000000-0005-0000-0000-000013000000}"/>
    <cellStyle name="20% - Accent2 4" xfId="16" xr:uid="{00000000-0005-0000-0000-000014000000}"/>
    <cellStyle name="20% - Accent2 5" xfId="17" xr:uid="{00000000-0005-0000-0000-000015000000}"/>
    <cellStyle name="20% - Accent3 2" xfId="18" xr:uid="{00000000-0005-0000-0000-000016000000}"/>
    <cellStyle name="20% - Accent3 2 2" xfId="19" xr:uid="{00000000-0005-0000-0000-000017000000}"/>
    <cellStyle name="20% - Accent3 2 3" xfId="20" xr:uid="{00000000-0005-0000-0000-000018000000}"/>
    <cellStyle name="20% - Accent3 2 4" xfId="21" xr:uid="{00000000-0005-0000-0000-000019000000}"/>
    <cellStyle name="20% - Accent3 2 5" xfId="22" xr:uid="{00000000-0005-0000-0000-00001A000000}"/>
    <cellStyle name="20% - Accent3 3" xfId="23" xr:uid="{00000000-0005-0000-0000-00001B000000}"/>
    <cellStyle name="20% - Accent3 4" xfId="24" xr:uid="{00000000-0005-0000-0000-00001C000000}"/>
    <cellStyle name="20% - Accent3 5" xfId="25" xr:uid="{00000000-0005-0000-0000-00001D000000}"/>
    <cellStyle name="20% - Accent4 2" xfId="26" xr:uid="{00000000-0005-0000-0000-00001E000000}"/>
    <cellStyle name="20% - Accent4 2 2" xfId="27" xr:uid="{00000000-0005-0000-0000-00001F000000}"/>
    <cellStyle name="20% - Accent4 2 3" xfId="28" xr:uid="{00000000-0005-0000-0000-000020000000}"/>
    <cellStyle name="20% - Accent4 2 4" xfId="29" xr:uid="{00000000-0005-0000-0000-000021000000}"/>
    <cellStyle name="20% - Accent4 2 5" xfId="30" xr:uid="{00000000-0005-0000-0000-000022000000}"/>
    <cellStyle name="20% - Accent4 3" xfId="31" xr:uid="{00000000-0005-0000-0000-000023000000}"/>
    <cellStyle name="20% - Accent4 4" xfId="32" xr:uid="{00000000-0005-0000-0000-000024000000}"/>
    <cellStyle name="20% - Accent4 5" xfId="33" xr:uid="{00000000-0005-0000-0000-000025000000}"/>
    <cellStyle name="20% - Accent5 2" xfId="34" xr:uid="{00000000-0005-0000-0000-000026000000}"/>
    <cellStyle name="20% - Accent5 2 2" xfId="35" xr:uid="{00000000-0005-0000-0000-000027000000}"/>
    <cellStyle name="20% - Accent5 2 3" xfId="36" xr:uid="{00000000-0005-0000-0000-000028000000}"/>
    <cellStyle name="20% - Accent5 2 4" xfId="37" xr:uid="{00000000-0005-0000-0000-000029000000}"/>
    <cellStyle name="20% - Accent5 2 5" xfId="38" xr:uid="{00000000-0005-0000-0000-00002A000000}"/>
    <cellStyle name="20% - Accent5 3" xfId="39" xr:uid="{00000000-0005-0000-0000-00002B000000}"/>
    <cellStyle name="20% - Accent5 4" xfId="40" xr:uid="{00000000-0005-0000-0000-00002C000000}"/>
    <cellStyle name="20% - Accent5 5" xfId="41" xr:uid="{00000000-0005-0000-0000-00002D000000}"/>
    <cellStyle name="20% - Accent6 2" xfId="42" xr:uid="{00000000-0005-0000-0000-00002E000000}"/>
    <cellStyle name="20% - Accent6 2 2" xfId="43" xr:uid="{00000000-0005-0000-0000-00002F000000}"/>
    <cellStyle name="20% - Accent6 2 3" xfId="44" xr:uid="{00000000-0005-0000-0000-000030000000}"/>
    <cellStyle name="20% - Accent6 2 4" xfId="45" xr:uid="{00000000-0005-0000-0000-000031000000}"/>
    <cellStyle name="20% - Accent6 2 5" xfId="46" xr:uid="{00000000-0005-0000-0000-000032000000}"/>
    <cellStyle name="20% - Accent6 3" xfId="47" xr:uid="{00000000-0005-0000-0000-000033000000}"/>
    <cellStyle name="20% - Accent6 4" xfId="48" xr:uid="{00000000-0005-0000-0000-000034000000}"/>
    <cellStyle name="20% - Accent6 5" xfId="49" xr:uid="{00000000-0005-0000-0000-000035000000}"/>
    <cellStyle name="40% - Accent1 2" xfId="50" xr:uid="{00000000-0005-0000-0000-000036000000}"/>
    <cellStyle name="40% - Accent1 2 2" xfId="51" xr:uid="{00000000-0005-0000-0000-000037000000}"/>
    <cellStyle name="40% - Accent1 2 3" xfId="52" xr:uid="{00000000-0005-0000-0000-000038000000}"/>
    <cellStyle name="40% - Accent1 2 4" xfId="53" xr:uid="{00000000-0005-0000-0000-000039000000}"/>
    <cellStyle name="40% - Accent1 2 5" xfId="54" xr:uid="{00000000-0005-0000-0000-00003A000000}"/>
    <cellStyle name="40% - Accent1 3" xfId="55" xr:uid="{00000000-0005-0000-0000-00003B000000}"/>
    <cellStyle name="40% - Accent1 4" xfId="56" xr:uid="{00000000-0005-0000-0000-00003C000000}"/>
    <cellStyle name="40% - Accent1 5" xfId="57" xr:uid="{00000000-0005-0000-0000-00003D000000}"/>
    <cellStyle name="40% - Accent2 2" xfId="58" xr:uid="{00000000-0005-0000-0000-00003E000000}"/>
    <cellStyle name="40% - Accent2 2 2" xfId="59" xr:uid="{00000000-0005-0000-0000-00003F000000}"/>
    <cellStyle name="40% - Accent2 2 3" xfId="60" xr:uid="{00000000-0005-0000-0000-000040000000}"/>
    <cellStyle name="40% - Accent2 2 4" xfId="61" xr:uid="{00000000-0005-0000-0000-000041000000}"/>
    <cellStyle name="40% - Accent2 2 5" xfId="62" xr:uid="{00000000-0005-0000-0000-000042000000}"/>
    <cellStyle name="40% - Accent2 3" xfId="63" xr:uid="{00000000-0005-0000-0000-000043000000}"/>
    <cellStyle name="40% - Accent2 4" xfId="64" xr:uid="{00000000-0005-0000-0000-000044000000}"/>
    <cellStyle name="40% - Accent2 5" xfId="65" xr:uid="{00000000-0005-0000-0000-000045000000}"/>
    <cellStyle name="40% - Accent3 2" xfId="66" xr:uid="{00000000-0005-0000-0000-000046000000}"/>
    <cellStyle name="40% - Accent3 2 2" xfId="67" xr:uid="{00000000-0005-0000-0000-000047000000}"/>
    <cellStyle name="40% - Accent3 2 3" xfId="68" xr:uid="{00000000-0005-0000-0000-000048000000}"/>
    <cellStyle name="40% - Accent3 2 4" xfId="69" xr:uid="{00000000-0005-0000-0000-000049000000}"/>
    <cellStyle name="40% - Accent3 2 5" xfId="70" xr:uid="{00000000-0005-0000-0000-00004A000000}"/>
    <cellStyle name="40% - Accent3 3" xfId="71" xr:uid="{00000000-0005-0000-0000-00004B000000}"/>
    <cellStyle name="40% - Accent3 4" xfId="72" xr:uid="{00000000-0005-0000-0000-00004C000000}"/>
    <cellStyle name="40% - Accent3 5" xfId="73" xr:uid="{00000000-0005-0000-0000-00004D000000}"/>
    <cellStyle name="40% - Accent4 2" xfId="74" xr:uid="{00000000-0005-0000-0000-00004E000000}"/>
    <cellStyle name="40% - Accent4 2 2" xfId="75" xr:uid="{00000000-0005-0000-0000-00004F000000}"/>
    <cellStyle name="40% - Accent4 2 3" xfId="76" xr:uid="{00000000-0005-0000-0000-000050000000}"/>
    <cellStyle name="40% - Accent4 2 4" xfId="77" xr:uid="{00000000-0005-0000-0000-000051000000}"/>
    <cellStyle name="40% - Accent4 2 5" xfId="78" xr:uid="{00000000-0005-0000-0000-000052000000}"/>
    <cellStyle name="40% - Accent4 3" xfId="79" xr:uid="{00000000-0005-0000-0000-000053000000}"/>
    <cellStyle name="40% - Accent4 4" xfId="80" xr:uid="{00000000-0005-0000-0000-000054000000}"/>
    <cellStyle name="40% - Accent4 5" xfId="81" xr:uid="{00000000-0005-0000-0000-000055000000}"/>
    <cellStyle name="40% - Accent5 2" xfId="82" xr:uid="{00000000-0005-0000-0000-000056000000}"/>
    <cellStyle name="40% - Accent5 2 2" xfId="83" xr:uid="{00000000-0005-0000-0000-000057000000}"/>
    <cellStyle name="40% - Accent5 2 3" xfId="84" xr:uid="{00000000-0005-0000-0000-000058000000}"/>
    <cellStyle name="40% - Accent5 2 4" xfId="85" xr:uid="{00000000-0005-0000-0000-000059000000}"/>
    <cellStyle name="40% - Accent5 2 5" xfId="86" xr:uid="{00000000-0005-0000-0000-00005A000000}"/>
    <cellStyle name="40% - Accent5 3" xfId="87" xr:uid="{00000000-0005-0000-0000-00005B000000}"/>
    <cellStyle name="40% - Accent5 4" xfId="88" xr:uid="{00000000-0005-0000-0000-00005C000000}"/>
    <cellStyle name="40% - Accent5 5" xfId="89" xr:uid="{00000000-0005-0000-0000-00005D000000}"/>
    <cellStyle name="40% - Accent6 2" xfId="90" xr:uid="{00000000-0005-0000-0000-00005E000000}"/>
    <cellStyle name="40% - Accent6 2 2" xfId="91" xr:uid="{00000000-0005-0000-0000-00005F000000}"/>
    <cellStyle name="40% - Accent6 2 3" xfId="92" xr:uid="{00000000-0005-0000-0000-000060000000}"/>
    <cellStyle name="40% - Accent6 2 4" xfId="93" xr:uid="{00000000-0005-0000-0000-000061000000}"/>
    <cellStyle name="40% - Accent6 2 5" xfId="94" xr:uid="{00000000-0005-0000-0000-000062000000}"/>
    <cellStyle name="40% - Accent6 3" xfId="95" xr:uid="{00000000-0005-0000-0000-000063000000}"/>
    <cellStyle name="40% - Accent6 4" xfId="96" xr:uid="{00000000-0005-0000-0000-000064000000}"/>
    <cellStyle name="40% - Accent6 5" xfId="97" xr:uid="{00000000-0005-0000-0000-000065000000}"/>
    <cellStyle name="60% - Accent1 2" xfId="98" xr:uid="{00000000-0005-0000-0000-000066000000}"/>
    <cellStyle name="60% - Accent1 2 2" xfId="99" xr:uid="{00000000-0005-0000-0000-000067000000}"/>
    <cellStyle name="60% - Accent1 2 3" xfId="100" xr:uid="{00000000-0005-0000-0000-000068000000}"/>
    <cellStyle name="60% - Accent1 2 4" xfId="101" xr:uid="{00000000-0005-0000-0000-000069000000}"/>
    <cellStyle name="60% - Accent1 2 5" xfId="102" xr:uid="{00000000-0005-0000-0000-00006A000000}"/>
    <cellStyle name="60% - Accent1 3" xfId="103" xr:uid="{00000000-0005-0000-0000-00006B000000}"/>
    <cellStyle name="60% - Accent1 4" xfId="104" xr:uid="{00000000-0005-0000-0000-00006C000000}"/>
    <cellStyle name="60% - Accent1 5" xfId="105" xr:uid="{00000000-0005-0000-0000-00006D000000}"/>
    <cellStyle name="60% - Accent2 2" xfId="106" xr:uid="{00000000-0005-0000-0000-00006E000000}"/>
    <cellStyle name="60% - Accent2 2 2" xfId="107" xr:uid="{00000000-0005-0000-0000-00006F000000}"/>
    <cellStyle name="60% - Accent2 2 3" xfId="108" xr:uid="{00000000-0005-0000-0000-000070000000}"/>
    <cellStyle name="60% - Accent2 2 4" xfId="109" xr:uid="{00000000-0005-0000-0000-000071000000}"/>
    <cellStyle name="60% - Accent2 2 5" xfId="110" xr:uid="{00000000-0005-0000-0000-000072000000}"/>
    <cellStyle name="60% - Accent2 3" xfId="111" xr:uid="{00000000-0005-0000-0000-000073000000}"/>
    <cellStyle name="60% - Accent2 4" xfId="112" xr:uid="{00000000-0005-0000-0000-000074000000}"/>
    <cellStyle name="60% - Accent2 5" xfId="113" xr:uid="{00000000-0005-0000-0000-000075000000}"/>
    <cellStyle name="60% - Accent3 2" xfId="114" xr:uid="{00000000-0005-0000-0000-000076000000}"/>
    <cellStyle name="60% - Accent3 2 2" xfId="115" xr:uid="{00000000-0005-0000-0000-000077000000}"/>
    <cellStyle name="60% - Accent3 2 3" xfId="116" xr:uid="{00000000-0005-0000-0000-000078000000}"/>
    <cellStyle name="60% - Accent3 2 4" xfId="117" xr:uid="{00000000-0005-0000-0000-000079000000}"/>
    <cellStyle name="60% - Accent3 2 5" xfId="118" xr:uid="{00000000-0005-0000-0000-00007A000000}"/>
    <cellStyle name="60% - Accent3 3" xfId="119" xr:uid="{00000000-0005-0000-0000-00007B000000}"/>
    <cellStyle name="60% - Accent3 4" xfId="120" xr:uid="{00000000-0005-0000-0000-00007C000000}"/>
    <cellStyle name="60% - Accent3 5" xfId="121" xr:uid="{00000000-0005-0000-0000-00007D000000}"/>
    <cellStyle name="60% - Accent4 2" xfId="122" xr:uid="{00000000-0005-0000-0000-00007E000000}"/>
    <cellStyle name="60% - Accent4 2 2" xfId="123" xr:uid="{00000000-0005-0000-0000-00007F000000}"/>
    <cellStyle name="60% - Accent4 2 3" xfId="124" xr:uid="{00000000-0005-0000-0000-000080000000}"/>
    <cellStyle name="60% - Accent4 2 4" xfId="125" xr:uid="{00000000-0005-0000-0000-000081000000}"/>
    <cellStyle name="60% - Accent4 2 5" xfId="126" xr:uid="{00000000-0005-0000-0000-000082000000}"/>
    <cellStyle name="60% - Accent4 3" xfId="127" xr:uid="{00000000-0005-0000-0000-000083000000}"/>
    <cellStyle name="60% - Accent4 4" xfId="128" xr:uid="{00000000-0005-0000-0000-000084000000}"/>
    <cellStyle name="60% - Accent4 5" xfId="129" xr:uid="{00000000-0005-0000-0000-000085000000}"/>
    <cellStyle name="60% - Accent5 2" xfId="130" xr:uid="{00000000-0005-0000-0000-000086000000}"/>
    <cellStyle name="60% - Accent5 2 2" xfId="131" xr:uid="{00000000-0005-0000-0000-000087000000}"/>
    <cellStyle name="60% - Accent5 2 3" xfId="132" xr:uid="{00000000-0005-0000-0000-000088000000}"/>
    <cellStyle name="60% - Accent5 2 4" xfId="133" xr:uid="{00000000-0005-0000-0000-000089000000}"/>
    <cellStyle name="60% - Accent5 2 5" xfId="134" xr:uid="{00000000-0005-0000-0000-00008A000000}"/>
    <cellStyle name="60% - Accent5 3" xfId="135" xr:uid="{00000000-0005-0000-0000-00008B000000}"/>
    <cellStyle name="60% - Accent5 4" xfId="136" xr:uid="{00000000-0005-0000-0000-00008C000000}"/>
    <cellStyle name="60% - Accent5 5" xfId="137" xr:uid="{00000000-0005-0000-0000-00008D000000}"/>
    <cellStyle name="60% - Accent6 2" xfId="138" xr:uid="{00000000-0005-0000-0000-00008E000000}"/>
    <cellStyle name="60% - Accent6 2 2" xfId="139" xr:uid="{00000000-0005-0000-0000-00008F000000}"/>
    <cellStyle name="60% - Accent6 2 3" xfId="140" xr:uid="{00000000-0005-0000-0000-000090000000}"/>
    <cellStyle name="60% - Accent6 2 4" xfId="141" xr:uid="{00000000-0005-0000-0000-000091000000}"/>
    <cellStyle name="60% - Accent6 2 5" xfId="142" xr:uid="{00000000-0005-0000-0000-000092000000}"/>
    <cellStyle name="60% - Accent6 3" xfId="143" xr:uid="{00000000-0005-0000-0000-000093000000}"/>
    <cellStyle name="60% - Accent6 4" xfId="144" xr:uid="{00000000-0005-0000-0000-000094000000}"/>
    <cellStyle name="60% - Accent6 5" xfId="145" xr:uid="{00000000-0005-0000-0000-000095000000}"/>
    <cellStyle name="75" xfId="146" xr:uid="{00000000-0005-0000-0000-000096000000}"/>
    <cellStyle name="Accent1 2" xfId="147" xr:uid="{00000000-0005-0000-0000-000097000000}"/>
    <cellStyle name="Accent1 2 2" xfId="148" xr:uid="{00000000-0005-0000-0000-000098000000}"/>
    <cellStyle name="Accent1 2 3" xfId="149" xr:uid="{00000000-0005-0000-0000-000099000000}"/>
    <cellStyle name="Accent1 2 4" xfId="150" xr:uid="{00000000-0005-0000-0000-00009A000000}"/>
    <cellStyle name="Accent1 2 5" xfId="151" xr:uid="{00000000-0005-0000-0000-00009B000000}"/>
    <cellStyle name="Accent1 3" xfId="152" xr:uid="{00000000-0005-0000-0000-00009C000000}"/>
    <cellStyle name="Accent1 4" xfId="153" xr:uid="{00000000-0005-0000-0000-00009D000000}"/>
    <cellStyle name="Accent1 5" xfId="154" xr:uid="{00000000-0005-0000-0000-00009E000000}"/>
    <cellStyle name="Accent2 2" xfId="155" xr:uid="{00000000-0005-0000-0000-00009F000000}"/>
    <cellStyle name="Accent2 2 2" xfId="156" xr:uid="{00000000-0005-0000-0000-0000A0000000}"/>
    <cellStyle name="Accent2 2 3" xfId="157" xr:uid="{00000000-0005-0000-0000-0000A1000000}"/>
    <cellStyle name="Accent2 2 4" xfId="158" xr:uid="{00000000-0005-0000-0000-0000A2000000}"/>
    <cellStyle name="Accent2 2 5" xfId="159" xr:uid="{00000000-0005-0000-0000-0000A3000000}"/>
    <cellStyle name="Accent2 3" xfId="160" xr:uid="{00000000-0005-0000-0000-0000A4000000}"/>
    <cellStyle name="Accent2 4" xfId="161" xr:uid="{00000000-0005-0000-0000-0000A5000000}"/>
    <cellStyle name="Accent2 5" xfId="162" xr:uid="{00000000-0005-0000-0000-0000A6000000}"/>
    <cellStyle name="Accent3 2" xfId="163" xr:uid="{00000000-0005-0000-0000-0000A7000000}"/>
    <cellStyle name="Accent3 2 2" xfId="164" xr:uid="{00000000-0005-0000-0000-0000A8000000}"/>
    <cellStyle name="Accent3 2 3" xfId="165" xr:uid="{00000000-0005-0000-0000-0000A9000000}"/>
    <cellStyle name="Accent3 2 4" xfId="166" xr:uid="{00000000-0005-0000-0000-0000AA000000}"/>
    <cellStyle name="Accent3 2 5" xfId="167" xr:uid="{00000000-0005-0000-0000-0000AB000000}"/>
    <cellStyle name="Accent3 3" xfId="168" xr:uid="{00000000-0005-0000-0000-0000AC000000}"/>
    <cellStyle name="Accent3 4" xfId="169" xr:uid="{00000000-0005-0000-0000-0000AD000000}"/>
    <cellStyle name="Accent3 5" xfId="170" xr:uid="{00000000-0005-0000-0000-0000AE000000}"/>
    <cellStyle name="Accent4 2" xfId="171" xr:uid="{00000000-0005-0000-0000-0000AF000000}"/>
    <cellStyle name="Accent4 2 2" xfId="172" xr:uid="{00000000-0005-0000-0000-0000B0000000}"/>
    <cellStyle name="Accent4 2 3" xfId="173" xr:uid="{00000000-0005-0000-0000-0000B1000000}"/>
    <cellStyle name="Accent4 2 4" xfId="174" xr:uid="{00000000-0005-0000-0000-0000B2000000}"/>
    <cellStyle name="Accent4 2 5" xfId="175" xr:uid="{00000000-0005-0000-0000-0000B3000000}"/>
    <cellStyle name="Accent4 3" xfId="176" xr:uid="{00000000-0005-0000-0000-0000B4000000}"/>
    <cellStyle name="Accent4 4" xfId="177" xr:uid="{00000000-0005-0000-0000-0000B5000000}"/>
    <cellStyle name="Accent4 5" xfId="178" xr:uid="{00000000-0005-0000-0000-0000B6000000}"/>
    <cellStyle name="Accent5 2" xfId="179" xr:uid="{00000000-0005-0000-0000-0000B7000000}"/>
    <cellStyle name="Accent5 2 2" xfId="180" xr:uid="{00000000-0005-0000-0000-0000B8000000}"/>
    <cellStyle name="Accent5 2 3" xfId="181" xr:uid="{00000000-0005-0000-0000-0000B9000000}"/>
    <cellStyle name="Accent5 2 4" xfId="182" xr:uid="{00000000-0005-0000-0000-0000BA000000}"/>
    <cellStyle name="Accent5 2 5" xfId="183" xr:uid="{00000000-0005-0000-0000-0000BB000000}"/>
    <cellStyle name="Accent5 3" xfId="184" xr:uid="{00000000-0005-0000-0000-0000BC000000}"/>
    <cellStyle name="Accent5 4" xfId="185" xr:uid="{00000000-0005-0000-0000-0000BD000000}"/>
    <cellStyle name="Accent5 5" xfId="186" xr:uid="{00000000-0005-0000-0000-0000BE000000}"/>
    <cellStyle name="Accent6 2" xfId="187" xr:uid="{00000000-0005-0000-0000-0000BF000000}"/>
    <cellStyle name="Accent6 2 2" xfId="188" xr:uid="{00000000-0005-0000-0000-0000C0000000}"/>
    <cellStyle name="Accent6 2 3" xfId="189" xr:uid="{00000000-0005-0000-0000-0000C1000000}"/>
    <cellStyle name="Accent6 2 4" xfId="190" xr:uid="{00000000-0005-0000-0000-0000C2000000}"/>
    <cellStyle name="Accent6 2 5" xfId="191" xr:uid="{00000000-0005-0000-0000-0000C3000000}"/>
    <cellStyle name="Accent6 3" xfId="192" xr:uid="{00000000-0005-0000-0000-0000C4000000}"/>
    <cellStyle name="Accent6 4" xfId="193" xr:uid="{00000000-0005-0000-0000-0000C5000000}"/>
    <cellStyle name="Accent6 5" xfId="194" xr:uid="{00000000-0005-0000-0000-0000C6000000}"/>
    <cellStyle name="ÅëÈ­ [0]_±âÅ¸" xfId="762" xr:uid="{00000000-0005-0000-0000-0000FF020000}"/>
    <cellStyle name="ÅëÈ­_±âÅ¸" xfId="763" xr:uid="{00000000-0005-0000-0000-000000030000}"/>
    <cellStyle name="args.style" xfId="195" xr:uid="{00000000-0005-0000-0000-0000C7000000}"/>
    <cellStyle name="ÄÞ¸¶ [0]_±âÅ¸" xfId="760" xr:uid="{00000000-0005-0000-0000-0000FD020000}"/>
    <cellStyle name="ÄÞ¸¶_±âÅ¸" xfId="761" xr:uid="{00000000-0005-0000-0000-0000FE020000}"/>
    <cellStyle name="Bad 2" xfId="196" xr:uid="{00000000-0005-0000-0000-0000C8000000}"/>
    <cellStyle name="Bad 2 2" xfId="197" xr:uid="{00000000-0005-0000-0000-0000C9000000}"/>
    <cellStyle name="Bad 2 3" xfId="198" xr:uid="{00000000-0005-0000-0000-0000CA000000}"/>
    <cellStyle name="Bad 2 4" xfId="199" xr:uid="{00000000-0005-0000-0000-0000CB000000}"/>
    <cellStyle name="Bad 2 5" xfId="200" xr:uid="{00000000-0005-0000-0000-0000CC000000}"/>
    <cellStyle name="Bad 3" xfId="201" xr:uid="{00000000-0005-0000-0000-0000CD000000}"/>
    <cellStyle name="Bad 4" xfId="202" xr:uid="{00000000-0005-0000-0000-0000CE000000}"/>
    <cellStyle name="Bad 5" xfId="203" xr:uid="{00000000-0005-0000-0000-0000CF000000}"/>
    <cellStyle name="Ç¥ÁØ_¿¬°£´©°è¿¹»ó" xfId="764" xr:uid="{00000000-0005-0000-0000-000001030000}"/>
    <cellStyle name="Calc Currency (0)" xfId="204" xr:uid="{00000000-0005-0000-0000-0000D0000000}"/>
    <cellStyle name="Calc Currency (0) 2" xfId="205" xr:uid="{00000000-0005-0000-0000-0000D1000000}"/>
    <cellStyle name="Calc Currency (0) 3" xfId="206" xr:uid="{00000000-0005-0000-0000-0000D2000000}"/>
    <cellStyle name="Calc Currency (0) 4" xfId="207" xr:uid="{00000000-0005-0000-0000-0000D3000000}"/>
    <cellStyle name="Calc Currency (0) 5" xfId="208" xr:uid="{00000000-0005-0000-0000-0000D4000000}"/>
    <cellStyle name="Calc Currency (0) 6" xfId="209" xr:uid="{00000000-0005-0000-0000-0000D5000000}"/>
    <cellStyle name="Calc Currency (0)_6Pole_33-Estimate-BRAHMANAGAON-I-24-10-2011" xfId="210" xr:uid="{00000000-0005-0000-0000-0000D6000000}"/>
    <cellStyle name="Calculation 2" xfId="211" xr:uid="{00000000-0005-0000-0000-0000D7000000}"/>
    <cellStyle name="Calculation 2 2" xfId="212" xr:uid="{00000000-0005-0000-0000-0000D8000000}"/>
    <cellStyle name="Calculation 2 3" xfId="213" xr:uid="{00000000-0005-0000-0000-0000D9000000}"/>
    <cellStyle name="Calculation 2 4" xfId="214" xr:uid="{00000000-0005-0000-0000-0000DA000000}"/>
    <cellStyle name="Calculation 2 5" xfId="215" xr:uid="{00000000-0005-0000-0000-0000DB000000}"/>
    <cellStyle name="Calculation 3" xfId="216" xr:uid="{00000000-0005-0000-0000-0000DC000000}"/>
    <cellStyle name="Calculation 4" xfId="217" xr:uid="{00000000-0005-0000-0000-0000DD000000}"/>
    <cellStyle name="Calculation 5" xfId="218" xr:uid="{00000000-0005-0000-0000-0000DE000000}"/>
    <cellStyle name="Check Cell 2" xfId="219" xr:uid="{00000000-0005-0000-0000-0000DF000000}"/>
    <cellStyle name="Check Cell 2 2" xfId="220" xr:uid="{00000000-0005-0000-0000-0000E0000000}"/>
    <cellStyle name="Check Cell 2 3" xfId="221" xr:uid="{00000000-0005-0000-0000-0000E1000000}"/>
    <cellStyle name="Check Cell 2 4" xfId="222" xr:uid="{00000000-0005-0000-0000-0000E2000000}"/>
    <cellStyle name="Check Cell 2 5" xfId="223" xr:uid="{00000000-0005-0000-0000-0000E3000000}"/>
    <cellStyle name="Check Cell 3" xfId="224" xr:uid="{00000000-0005-0000-0000-0000E4000000}"/>
    <cellStyle name="Check Cell 4" xfId="225" xr:uid="{00000000-0005-0000-0000-0000E5000000}"/>
    <cellStyle name="Check Cell 5" xfId="226" xr:uid="{00000000-0005-0000-0000-0000E6000000}"/>
    <cellStyle name="Comma  - Style1" xfId="227" xr:uid="{00000000-0005-0000-0000-0000E7000000}"/>
    <cellStyle name="Comma  - Style2" xfId="228" xr:uid="{00000000-0005-0000-0000-0000E8000000}"/>
    <cellStyle name="Comma  - Style3" xfId="229" xr:uid="{00000000-0005-0000-0000-0000E9000000}"/>
    <cellStyle name="Comma  - Style4" xfId="230" xr:uid="{00000000-0005-0000-0000-0000EA000000}"/>
    <cellStyle name="Comma  - Style5" xfId="231" xr:uid="{00000000-0005-0000-0000-0000EB000000}"/>
    <cellStyle name="Comma  - Style6" xfId="232" xr:uid="{00000000-0005-0000-0000-0000EC000000}"/>
    <cellStyle name="Comma  - Style7" xfId="233" xr:uid="{00000000-0005-0000-0000-0000ED000000}"/>
    <cellStyle name="Comma  - Style8" xfId="234" xr:uid="{00000000-0005-0000-0000-0000EE000000}"/>
    <cellStyle name="Comma 10" xfId="235" xr:uid="{00000000-0005-0000-0000-0000EF000000}"/>
    <cellStyle name="Comma 10 2" xfId="236" xr:uid="{00000000-0005-0000-0000-0000F0000000}"/>
    <cellStyle name="Comma 10 3" xfId="237" xr:uid="{00000000-0005-0000-0000-0000F1000000}"/>
    <cellStyle name="Comma 10 4" xfId="238" xr:uid="{00000000-0005-0000-0000-0000F2000000}"/>
    <cellStyle name="Comma 10 5" xfId="239" xr:uid="{00000000-0005-0000-0000-0000F3000000}"/>
    <cellStyle name="Comma 11" xfId="240" xr:uid="{00000000-0005-0000-0000-0000F4000000}"/>
    <cellStyle name="Comma 12" xfId="241" xr:uid="{00000000-0005-0000-0000-0000F5000000}"/>
    <cellStyle name="Comma 13" xfId="242" xr:uid="{00000000-0005-0000-0000-0000F6000000}"/>
    <cellStyle name="Comma 2" xfId="243" xr:uid="{00000000-0005-0000-0000-0000F7000000}"/>
    <cellStyle name="Comma 2 2" xfId="244" xr:uid="{00000000-0005-0000-0000-0000F8000000}"/>
    <cellStyle name="Comma 2 2 10" xfId="245" xr:uid="{00000000-0005-0000-0000-0000F9000000}"/>
    <cellStyle name="Comma 2 2 11" xfId="246" xr:uid="{00000000-0005-0000-0000-0000FA000000}"/>
    <cellStyle name="Comma 2 2 12" xfId="247" xr:uid="{00000000-0005-0000-0000-0000FB000000}"/>
    <cellStyle name="Comma 2 2 13" xfId="248" xr:uid="{00000000-0005-0000-0000-0000FC000000}"/>
    <cellStyle name="Comma 2 2 14" xfId="249" xr:uid="{00000000-0005-0000-0000-0000FD000000}"/>
    <cellStyle name="Comma 2 2 15" xfId="250" xr:uid="{00000000-0005-0000-0000-0000FE000000}"/>
    <cellStyle name="Comma 2 2 16" xfId="251" xr:uid="{00000000-0005-0000-0000-0000FF000000}"/>
    <cellStyle name="Comma 2 2 17" xfId="252" xr:uid="{00000000-0005-0000-0000-000000010000}"/>
    <cellStyle name="Comma 2 2 18" xfId="253" xr:uid="{00000000-0005-0000-0000-000001010000}"/>
    <cellStyle name="Comma 2 2 19" xfId="254" xr:uid="{00000000-0005-0000-0000-000002010000}"/>
    <cellStyle name="Comma 2 2 2" xfId="255" xr:uid="{00000000-0005-0000-0000-000003010000}"/>
    <cellStyle name="Comma 2 2 2 10" xfId="256" xr:uid="{00000000-0005-0000-0000-000004010000}"/>
    <cellStyle name="Comma 2 2 2 11" xfId="257" xr:uid="{00000000-0005-0000-0000-000005010000}"/>
    <cellStyle name="Comma 2 2 2 12" xfId="258" xr:uid="{00000000-0005-0000-0000-000006010000}"/>
    <cellStyle name="Comma 2 2 2 13" xfId="259" xr:uid="{00000000-0005-0000-0000-000007010000}"/>
    <cellStyle name="Comma 2 2 2 14" xfId="260" xr:uid="{00000000-0005-0000-0000-000008010000}"/>
    <cellStyle name="Comma 2 2 2 15" xfId="261" xr:uid="{00000000-0005-0000-0000-000009010000}"/>
    <cellStyle name="Comma 2 2 2 16" xfId="262" xr:uid="{00000000-0005-0000-0000-00000A010000}"/>
    <cellStyle name="Comma 2 2 2 17" xfId="263" xr:uid="{00000000-0005-0000-0000-00000B010000}"/>
    <cellStyle name="Comma 2 2 2 18" xfId="264" xr:uid="{00000000-0005-0000-0000-00000C010000}"/>
    <cellStyle name="Comma 2 2 2 19" xfId="265" xr:uid="{00000000-0005-0000-0000-00000D010000}"/>
    <cellStyle name="Comma 2 2 2 2" xfId="266" xr:uid="{00000000-0005-0000-0000-00000E010000}"/>
    <cellStyle name="Comma 2 2 2 20" xfId="267" xr:uid="{00000000-0005-0000-0000-00000F010000}"/>
    <cellStyle name="Comma 2 2 2 21" xfId="268" xr:uid="{00000000-0005-0000-0000-000010010000}"/>
    <cellStyle name="Comma 2 2 2 22" xfId="269" xr:uid="{00000000-0005-0000-0000-000011010000}"/>
    <cellStyle name="Comma 2 2 2 23" xfId="270" xr:uid="{00000000-0005-0000-0000-000012010000}"/>
    <cellStyle name="Comma 2 2 2 24" xfId="271" xr:uid="{00000000-0005-0000-0000-000013010000}"/>
    <cellStyle name="Comma 2 2 2 25" xfId="272" xr:uid="{00000000-0005-0000-0000-000014010000}"/>
    <cellStyle name="Comma 2 2 2 26" xfId="273" xr:uid="{00000000-0005-0000-0000-000015010000}"/>
    <cellStyle name="Comma 2 2 2 27" xfId="274" xr:uid="{00000000-0005-0000-0000-000016010000}"/>
    <cellStyle name="Comma 2 2 2 28" xfId="275" xr:uid="{00000000-0005-0000-0000-000017010000}"/>
    <cellStyle name="Comma 2 2 2 29" xfId="276" xr:uid="{00000000-0005-0000-0000-000018010000}"/>
    <cellStyle name="Comma 2 2 2 3" xfId="277" xr:uid="{00000000-0005-0000-0000-000019010000}"/>
    <cellStyle name="Comma 2 2 2 30" xfId="278" xr:uid="{00000000-0005-0000-0000-00001A010000}"/>
    <cellStyle name="Comma 2 2 2 31" xfId="279" xr:uid="{00000000-0005-0000-0000-00001B010000}"/>
    <cellStyle name="Comma 2 2 2 32" xfId="280" xr:uid="{00000000-0005-0000-0000-00001C010000}"/>
    <cellStyle name="Comma 2 2 2 33" xfId="281" xr:uid="{00000000-0005-0000-0000-00001D010000}"/>
    <cellStyle name="Comma 2 2 2 34" xfId="282" xr:uid="{00000000-0005-0000-0000-00001E010000}"/>
    <cellStyle name="Comma 2 2 2 35" xfId="283" xr:uid="{00000000-0005-0000-0000-00001F010000}"/>
    <cellStyle name="Comma 2 2 2 36" xfId="284" xr:uid="{00000000-0005-0000-0000-000020010000}"/>
    <cellStyle name="Comma 2 2 2 37" xfId="285" xr:uid="{00000000-0005-0000-0000-000021010000}"/>
    <cellStyle name="Comma 2 2 2 38" xfId="286" xr:uid="{00000000-0005-0000-0000-000022010000}"/>
    <cellStyle name="Comma 2 2 2 39" xfId="287" xr:uid="{00000000-0005-0000-0000-000023010000}"/>
    <cellStyle name="Comma 2 2 2 4" xfId="288" xr:uid="{00000000-0005-0000-0000-000024010000}"/>
    <cellStyle name="Comma 2 2 2 40" xfId="289" xr:uid="{00000000-0005-0000-0000-000025010000}"/>
    <cellStyle name="Comma 2 2 2 41" xfId="290" xr:uid="{00000000-0005-0000-0000-000026010000}"/>
    <cellStyle name="Comma 2 2 2 42" xfId="291" xr:uid="{00000000-0005-0000-0000-000027010000}"/>
    <cellStyle name="Comma 2 2 2 43" xfId="292" xr:uid="{00000000-0005-0000-0000-000028010000}"/>
    <cellStyle name="Comma 2 2 2 44" xfId="293" xr:uid="{00000000-0005-0000-0000-000029010000}"/>
    <cellStyle name="Comma 2 2 2 45" xfId="294" xr:uid="{00000000-0005-0000-0000-00002A010000}"/>
    <cellStyle name="Comma 2 2 2 46" xfId="295" xr:uid="{00000000-0005-0000-0000-00002B010000}"/>
    <cellStyle name="Comma 2 2 2 47" xfId="296" xr:uid="{00000000-0005-0000-0000-00002C010000}"/>
    <cellStyle name="Comma 2 2 2 48" xfId="297" xr:uid="{00000000-0005-0000-0000-00002D010000}"/>
    <cellStyle name="Comma 2 2 2 49" xfId="298" xr:uid="{00000000-0005-0000-0000-00002E010000}"/>
    <cellStyle name="Comma 2 2 2 5" xfId="299" xr:uid="{00000000-0005-0000-0000-00002F010000}"/>
    <cellStyle name="Comma 2 2 2 50" xfId="300" xr:uid="{00000000-0005-0000-0000-000030010000}"/>
    <cellStyle name="Comma 2 2 2 6" xfId="301" xr:uid="{00000000-0005-0000-0000-000031010000}"/>
    <cellStyle name="Comma 2 2 2 7" xfId="302" xr:uid="{00000000-0005-0000-0000-000032010000}"/>
    <cellStyle name="Comma 2 2 2 8" xfId="303" xr:uid="{00000000-0005-0000-0000-000033010000}"/>
    <cellStyle name="Comma 2 2 2 9" xfId="304" xr:uid="{00000000-0005-0000-0000-000034010000}"/>
    <cellStyle name="Comma 2 2 20" xfId="305" xr:uid="{00000000-0005-0000-0000-000035010000}"/>
    <cellStyle name="Comma 2 2 21" xfId="306" xr:uid="{00000000-0005-0000-0000-000036010000}"/>
    <cellStyle name="Comma 2 2 22" xfId="307" xr:uid="{00000000-0005-0000-0000-000037010000}"/>
    <cellStyle name="Comma 2 2 23" xfId="308" xr:uid="{00000000-0005-0000-0000-000038010000}"/>
    <cellStyle name="Comma 2 2 24" xfId="309" xr:uid="{00000000-0005-0000-0000-000039010000}"/>
    <cellStyle name="Comma 2 2 25" xfId="310" xr:uid="{00000000-0005-0000-0000-00003A010000}"/>
    <cellStyle name="Comma 2 2 26" xfId="311" xr:uid="{00000000-0005-0000-0000-00003B010000}"/>
    <cellStyle name="Comma 2 2 27" xfId="312" xr:uid="{00000000-0005-0000-0000-00003C010000}"/>
    <cellStyle name="Comma 2 2 28" xfId="313" xr:uid="{00000000-0005-0000-0000-00003D010000}"/>
    <cellStyle name="Comma 2 2 29" xfId="314" xr:uid="{00000000-0005-0000-0000-00003E010000}"/>
    <cellStyle name="Comma 2 2 3" xfId="315" xr:uid="{00000000-0005-0000-0000-00003F010000}"/>
    <cellStyle name="Comma 2 2 30" xfId="316" xr:uid="{00000000-0005-0000-0000-000040010000}"/>
    <cellStyle name="Comma 2 2 31" xfId="317" xr:uid="{00000000-0005-0000-0000-000041010000}"/>
    <cellStyle name="Comma 2 2 32" xfId="318" xr:uid="{00000000-0005-0000-0000-000042010000}"/>
    <cellStyle name="Comma 2 2 33" xfId="319" xr:uid="{00000000-0005-0000-0000-000043010000}"/>
    <cellStyle name="Comma 2 2 34" xfId="320" xr:uid="{00000000-0005-0000-0000-000044010000}"/>
    <cellStyle name="Comma 2 2 35" xfId="321" xr:uid="{00000000-0005-0000-0000-000045010000}"/>
    <cellStyle name="Comma 2 2 36" xfId="322" xr:uid="{00000000-0005-0000-0000-000046010000}"/>
    <cellStyle name="Comma 2 2 37" xfId="323" xr:uid="{00000000-0005-0000-0000-000047010000}"/>
    <cellStyle name="Comma 2 2 38" xfId="324" xr:uid="{00000000-0005-0000-0000-000048010000}"/>
    <cellStyle name="Comma 2 2 39" xfId="325" xr:uid="{00000000-0005-0000-0000-000049010000}"/>
    <cellStyle name="Comma 2 2 4" xfId="326" xr:uid="{00000000-0005-0000-0000-00004A010000}"/>
    <cellStyle name="Comma 2 2 40" xfId="327" xr:uid="{00000000-0005-0000-0000-00004B010000}"/>
    <cellStyle name="Comma 2 2 41" xfId="328" xr:uid="{00000000-0005-0000-0000-00004C010000}"/>
    <cellStyle name="Comma 2 2 42" xfId="329" xr:uid="{00000000-0005-0000-0000-00004D010000}"/>
    <cellStyle name="Comma 2 2 43" xfId="330" xr:uid="{00000000-0005-0000-0000-00004E010000}"/>
    <cellStyle name="Comma 2 2 44" xfId="331" xr:uid="{00000000-0005-0000-0000-00004F010000}"/>
    <cellStyle name="Comma 2 2 45" xfId="332" xr:uid="{00000000-0005-0000-0000-000050010000}"/>
    <cellStyle name="Comma 2 2 46" xfId="333" xr:uid="{00000000-0005-0000-0000-000051010000}"/>
    <cellStyle name="Comma 2 2 47" xfId="334" xr:uid="{00000000-0005-0000-0000-000052010000}"/>
    <cellStyle name="Comma 2 2 48" xfId="335" xr:uid="{00000000-0005-0000-0000-000053010000}"/>
    <cellStyle name="Comma 2 2 49" xfId="336" xr:uid="{00000000-0005-0000-0000-000054010000}"/>
    <cellStyle name="Comma 2 2 5" xfId="337" xr:uid="{00000000-0005-0000-0000-000055010000}"/>
    <cellStyle name="Comma 2 2 50" xfId="338" xr:uid="{00000000-0005-0000-0000-000056010000}"/>
    <cellStyle name="Comma 2 2 6" xfId="339" xr:uid="{00000000-0005-0000-0000-000057010000}"/>
    <cellStyle name="Comma 2 2 7" xfId="340" xr:uid="{00000000-0005-0000-0000-000058010000}"/>
    <cellStyle name="Comma 2 2 8" xfId="341" xr:uid="{00000000-0005-0000-0000-000059010000}"/>
    <cellStyle name="Comma 2 2 9" xfId="342" xr:uid="{00000000-0005-0000-0000-00005A010000}"/>
    <cellStyle name="Comma 2 3" xfId="343" xr:uid="{00000000-0005-0000-0000-00005B010000}"/>
    <cellStyle name="Comma 2 4" xfId="344" xr:uid="{00000000-0005-0000-0000-00005C010000}"/>
    <cellStyle name="Comma 2 5" xfId="345" xr:uid="{00000000-0005-0000-0000-00005D010000}"/>
    <cellStyle name="Comma 2 6" xfId="346" xr:uid="{00000000-0005-0000-0000-00005E010000}"/>
    <cellStyle name="Comma 2 7" xfId="347" xr:uid="{00000000-0005-0000-0000-00005F010000}"/>
    <cellStyle name="Comma 2 8" xfId="348" xr:uid="{00000000-0005-0000-0000-000060010000}"/>
    <cellStyle name="Comma 2 9" xfId="349" xr:uid="{00000000-0005-0000-0000-000061010000}"/>
    <cellStyle name="Comma 3" xfId="350" xr:uid="{00000000-0005-0000-0000-000062010000}"/>
    <cellStyle name="Comma 3 2" xfId="351" xr:uid="{00000000-0005-0000-0000-000063010000}"/>
    <cellStyle name="Comma 3 2 2" xfId="352" xr:uid="{00000000-0005-0000-0000-000064010000}"/>
    <cellStyle name="Comma 3 2 3" xfId="353" xr:uid="{00000000-0005-0000-0000-000065010000}"/>
    <cellStyle name="Comma 3 2 4" xfId="354" xr:uid="{00000000-0005-0000-0000-000066010000}"/>
    <cellStyle name="Comma 3 2 5" xfId="355" xr:uid="{00000000-0005-0000-0000-000067010000}"/>
    <cellStyle name="Comma 3 3" xfId="356" xr:uid="{00000000-0005-0000-0000-000068010000}"/>
    <cellStyle name="Comma 3 4" xfId="357" xr:uid="{00000000-0005-0000-0000-000069010000}"/>
    <cellStyle name="Comma 3 5" xfId="358" xr:uid="{00000000-0005-0000-0000-00006A010000}"/>
    <cellStyle name="Comma 3 6" xfId="359" xr:uid="{00000000-0005-0000-0000-00006B010000}"/>
    <cellStyle name="Comma 3 7" xfId="360" xr:uid="{00000000-0005-0000-0000-00006C010000}"/>
    <cellStyle name="Comma 4" xfId="361" xr:uid="{00000000-0005-0000-0000-00006D010000}"/>
    <cellStyle name="Comma 4 2" xfId="362" xr:uid="{00000000-0005-0000-0000-00006E010000}"/>
    <cellStyle name="Comma 4 3" xfId="363" xr:uid="{00000000-0005-0000-0000-00006F010000}"/>
    <cellStyle name="Comma 5" xfId="364" xr:uid="{00000000-0005-0000-0000-000070010000}"/>
    <cellStyle name="Comma 5 2" xfId="365" xr:uid="{00000000-0005-0000-0000-000071010000}"/>
    <cellStyle name="Comma 5 3" xfId="366" xr:uid="{00000000-0005-0000-0000-000072010000}"/>
    <cellStyle name="Comma 5 4" xfId="367" xr:uid="{00000000-0005-0000-0000-000073010000}"/>
    <cellStyle name="Comma 5 5" xfId="368" xr:uid="{00000000-0005-0000-0000-000074010000}"/>
    <cellStyle name="Comma 5 6" xfId="369" xr:uid="{00000000-0005-0000-0000-000075010000}"/>
    <cellStyle name="Comma 6" xfId="370" xr:uid="{00000000-0005-0000-0000-000076010000}"/>
    <cellStyle name="Comma 6 2" xfId="371" xr:uid="{00000000-0005-0000-0000-000077010000}"/>
    <cellStyle name="Comma 6 3" xfId="372" xr:uid="{00000000-0005-0000-0000-000078010000}"/>
    <cellStyle name="Comma 6 4" xfId="373" xr:uid="{00000000-0005-0000-0000-000079010000}"/>
    <cellStyle name="Comma 6 5" xfId="374" xr:uid="{00000000-0005-0000-0000-00007A010000}"/>
    <cellStyle name="Comma 7" xfId="375" xr:uid="{00000000-0005-0000-0000-00007B010000}"/>
    <cellStyle name="Comma 7 2" xfId="376" xr:uid="{00000000-0005-0000-0000-00007C010000}"/>
    <cellStyle name="Comma 7 3" xfId="377" xr:uid="{00000000-0005-0000-0000-00007D010000}"/>
    <cellStyle name="Comma 7 4" xfId="378" xr:uid="{00000000-0005-0000-0000-00007E010000}"/>
    <cellStyle name="Comma 7 5" xfId="379" xr:uid="{00000000-0005-0000-0000-00007F010000}"/>
    <cellStyle name="Comma 8" xfId="380" xr:uid="{00000000-0005-0000-0000-000080010000}"/>
    <cellStyle name="Comma 9" xfId="381" xr:uid="{00000000-0005-0000-0000-000081010000}"/>
    <cellStyle name="Comma 9 2" xfId="382" xr:uid="{00000000-0005-0000-0000-000082010000}"/>
    <cellStyle name="Comma 9 3" xfId="383" xr:uid="{00000000-0005-0000-0000-000083010000}"/>
    <cellStyle name="Comma 9 4" xfId="384" xr:uid="{00000000-0005-0000-0000-000084010000}"/>
    <cellStyle name="Comma 9 5" xfId="385" xr:uid="{00000000-0005-0000-0000-000085010000}"/>
    <cellStyle name="Comma 9 6" xfId="386" xr:uid="{00000000-0005-0000-0000-000086010000}"/>
    <cellStyle name="Copied" xfId="387" xr:uid="{00000000-0005-0000-0000-000087010000}"/>
    <cellStyle name="COST1" xfId="388" xr:uid="{00000000-0005-0000-0000-000088010000}"/>
    <cellStyle name="Currency 2" xfId="389" xr:uid="{00000000-0005-0000-0000-000089010000}"/>
    <cellStyle name="Entered" xfId="390" xr:uid="{00000000-0005-0000-0000-00008A010000}"/>
    <cellStyle name="Explanatory Text 2" xfId="391" xr:uid="{00000000-0005-0000-0000-00008B010000}"/>
    <cellStyle name="Explanatory Text 2 2" xfId="392" xr:uid="{00000000-0005-0000-0000-00008C010000}"/>
    <cellStyle name="Explanatory Text 2 3" xfId="393" xr:uid="{00000000-0005-0000-0000-00008D010000}"/>
    <cellStyle name="Explanatory Text 2 4" xfId="394" xr:uid="{00000000-0005-0000-0000-00008E010000}"/>
    <cellStyle name="Explanatory Text 2 5" xfId="395" xr:uid="{00000000-0005-0000-0000-00008F010000}"/>
    <cellStyle name="Explanatory Text 3" xfId="396" xr:uid="{00000000-0005-0000-0000-000090010000}"/>
    <cellStyle name="Explanatory Text 4" xfId="397" xr:uid="{00000000-0005-0000-0000-000091010000}"/>
    <cellStyle name="Explanatory Text 5" xfId="398" xr:uid="{00000000-0005-0000-0000-000092010000}"/>
    <cellStyle name="Formula" xfId="399" xr:uid="{00000000-0005-0000-0000-000093010000}"/>
    <cellStyle name="Good 2" xfId="400" xr:uid="{00000000-0005-0000-0000-000094010000}"/>
    <cellStyle name="Good 2 2" xfId="401" xr:uid="{00000000-0005-0000-0000-000095010000}"/>
    <cellStyle name="Good 2 3" xfId="402" xr:uid="{00000000-0005-0000-0000-000096010000}"/>
    <cellStyle name="Good 2 4" xfId="403" xr:uid="{00000000-0005-0000-0000-000097010000}"/>
    <cellStyle name="Good 2 5" xfId="404" xr:uid="{00000000-0005-0000-0000-000098010000}"/>
    <cellStyle name="Good 3" xfId="405" xr:uid="{00000000-0005-0000-0000-000099010000}"/>
    <cellStyle name="Good 4" xfId="406" xr:uid="{00000000-0005-0000-0000-00009A010000}"/>
    <cellStyle name="Good 5" xfId="407" xr:uid="{00000000-0005-0000-0000-00009B010000}"/>
    <cellStyle name="Grey" xfId="408" xr:uid="{00000000-0005-0000-0000-00009C010000}"/>
    <cellStyle name="Grey 2" xfId="409" xr:uid="{00000000-0005-0000-0000-00009D010000}"/>
    <cellStyle name="Grey 3" xfId="410" xr:uid="{00000000-0005-0000-0000-00009E010000}"/>
    <cellStyle name="Grey 4" xfId="411" xr:uid="{00000000-0005-0000-0000-00009F010000}"/>
    <cellStyle name="Grey 5" xfId="412" xr:uid="{00000000-0005-0000-0000-0000A0010000}"/>
    <cellStyle name="Grey 6" xfId="413" xr:uid="{00000000-0005-0000-0000-0000A1010000}"/>
    <cellStyle name="Header1" xfId="414" xr:uid="{00000000-0005-0000-0000-0000A2010000}"/>
    <cellStyle name="Header2" xfId="415" xr:uid="{00000000-0005-0000-0000-0000A3010000}"/>
    <cellStyle name="Heading 1 2" xfId="416" xr:uid="{00000000-0005-0000-0000-0000A4010000}"/>
    <cellStyle name="Heading 1 2 2" xfId="417" xr:uid="{00000000-0005-0000-0000-0000A5010000}"/>
    <cellStyle name="Heading 1 2 3" xfId="418" xr:uid="{00000000-0005-0000-0000-0000A6010000}"/>
    <cellStyle name="Heading 1 2 4" xfId="419" xr:uid="{00000000-0005-0000-0000-0000A7010000}"/>
    <cellStyle name="Heading 1 2 5" xfId="420" xr:uid="{00000000-0005-0000-0000-0000A8010000}"/>
    <cellStyle name="Heading 1 3" xfId="421" xr:uid="{00000000-0005-0000-0000-0000A9010000}"/>
    <cellStyle name="Heading 1 4" xfId="422" xr:uid="{00000000-0005-0000-0000-0000AA010000}"/>
    <cellStyle name="Heading 1 5" xfId="423" xr:uid="{00000000-0005-0000-0000-0000AB010000}"/>
    <cellStyle name="Heading 2 2" xfId="424" xr:uid="{00000000-0005-0000-0000-0000AC010000}"/>
    <cellStyle name="Heading 2 2 2" xfId="425" xr:uid="{00000000-0005-0000-0000-0000AD010000}"/>
    <cellStyle name="Heading 2 2 3" xfId="426" xr:uid="{00000000-0005-0000-0000-0000AE010000}"/>
    <cellStyle name="Heading 2 2 4" xfId="427" xr:uid="{00000000-0005-0000-0000-0000AF010000}"/>
    <cellStyle name="Heading 2 2 5" xfId="428" xr:uid="{00000000-0005-0000-0000-0000B0010000}"/>
    <cellStyle name="Heading 2 3" xfId="429" xr:uid="{00000000-0005-0000-0000-0000B1010000}"/>
    <cellStyle name="Heading 2 4" xfId="430" xr:uid="{00000000-0005-0000-0000-0000B2010000}"/>
    <cellStyle name="Heading 2 5" xfId="431" xr:uid="{00000000-0005-0000-0000-0000B3010000}"/>
    <cellStyle name="Heading 3 2" xfId="432" xr:uid="{00000000-0005-0000-0000-0000B4010000}"/>
    <cellStyle name="Heading 3 2 2" xfId="433" xr:uid="{00000000-0005-0000-0000-0000B5010000}"/>
    <cellStyle name="Heading 3 2 3" xfId="434" xr:uid="{00000000-0005-0000-0000-0000B6010000}"/>
    <cellStyle name="Heading 3 2 4" xfId="435" xr:uid="{00000000-0005-0000-0000-0000B7010000}"/>
    <cellStyle name="Heading 3 2 5" xfId="436" xr:uid="{00000000-0005-0000-0000-0000B8010000}"/>
    <cellStyle name="Heading 3 3" xfId="437" xr:uid="{00000000-0005-0000-0000-0000B9010000}"/>
    <cellStyle name="Heading 3 4" xfId="438" xr:uid="{00000000-0005-0000-0000-0000BA010000}"/>
    <cellStyle name="Heading 3 5" xfId="439" xr:uid="{00000000-0005-0000-0000-0000BB010000}"/>
    <cellStyle name="Heading 4 2" xfId="440" xr:uid="{00000000-0005-0000-0000-0000BC010000}"/>
    <cellStyle name="Heading 4 2 2" xfId="441" xr:uid="{00000000-0005-0000-0000-0000BD010000}"/>
    <cellStyle name="Heading 4 2 3" xfId="442" xr:uid="{00000000-0005-0000-0000-0000BE010000}"/>
    <cellStyle name="Heading 4 2 4" xfId="443" xr:uid="{00000000-0005-0000-0000-0000BF010000}"/>
    <cellStyle name="Heading 4 2 5" xfId="444" xr:uid="{00000000-0005-0000-0000-0000C0010000}"/>
    <cellStyle name="Heading 4 3" xfId="445" xr:uid="{00000000-0005-0000-0000-0000C1010000}"/>
    <cellStyle name="Heading 4 4" xfId="446" xr:uid="{00000000-0005-0000-0000-0000C2010000}"/>
    <cellStyle name="Heading 4 5" xfId="447" xr:uid="{00000000-0005-0000-0000-0000C3010000}"/>
    <cellStyle name="Hyperlink" xfId="1" builtinId="8"/>
    <cellStyle name="Hyperlink 2" xfId="448" xr:uid="{00000000-0005-0000-0000-0000C4010000}"/>
    <cellStyle name="Hyperlink 3" xfId="449" xr:uid="{00000000-0005-0000-0000-0000C5010000}"/>
    <cellStyle name="Hypertextový odkaz" xfId="450" xr:uid="{00000000-0005-0000-0000-0000C6010000}"/>
    <cellStyle name="Input [yellow]" xfId="459" xr:uid="{00000000-0005-0000-0000-0000CF010000}"/>
    <cellStyle name="Input [yellow] 2" xfId="460" xr:uid="{00000000-0005-0000-0000-0000D0010000}"/>
    <cellStyle name="Input [yellow] 3" xfId="461" xr:uid="{00000000-0005-0000-0000-0000D1010000}"/>
    <cellStyle name="Input [yellow] 4" xfId="462" xr:uid="{00000000-0005-0000-0000-0000D2010000}"/>
    <cellStyle name="Input [yellow] 5" xfId="463" xr:uid="{00000000-0005-0000-0000-0000D3010000}"/>
    <cellStyle name="Input [yellow] 6" xfId="464" xr:uid="{00000000-0005-0000-0000-0000D4010000}"/>
    <cellStyle name="Input 2" xfId="451" xr:uid="{00000000-0005-0000-0000-0000C7010000}"/>
    <cellStyle name="Input 2 2" xfId="452" xr:uid="{00000000-0005-0000-0000-0000C8010000}"/>
    <cellStyle name="Input 2 3" xfId="453" xr:uid="{00000000-0005-0000-0000-0000C9010000}"/>
    <cellStyle name="Input 2 4" xfId="454" xr:uid="{00000000-0005-0000-0000-0000CA010000}"/>
    <cellStyle name="Input 2 5" xfId="455" xr:uid="{00000000-0005-0000-0000-0000CB010000}"/>
    <cellStyle name="Input 3" xfId="456" xr:uid="{00000000-0005-0000-0000-0000CC010000}"/>
    <cellStyle name="Input 4" xfId="457" xr:uid="{00000000-0005-0000-0000-0000CD010000}"/>
    <cellStyle name="Input 5" xfId="458" xr:uid="{00000000-0005-0000-0000-0000CE010000}"/>
    <cellStyle name="Input Cells" xfId="465" xr:uid="{00000000-0005-0000-0000-0000D5010000}"/>
    <cellStyle name="Linked Cell 2" xfId="466" xr:uid="{00000000-0005-0000-0000-0000D6010000}"/>
    <cellStyle name="Linked Cell 2 2" xfId="467" xr:uid="{00000000-0005-0000-0000-0000D7010000}"/>
    <cellStyle name="Linked Cell 2 3" xfId="468" xr:uid="{00000000-0005-0000-0000-0000D8010000}"/>
    <cellStyle name="Linked Cell 2 4" xfId="469" xr:uid="{00000000-0005-0000-0000-0000D9010000}"/>
    <cellStyle name="Linked Cell 2 5" xfId="470" xr:uid="{00000000-0005-0000-0000-0000DA010000}"/>
    <cellStyle name="Linked Cell 3" xfId="471" xr:uid="{00000000-0005-0000-0000-0000DB010000}"/>
    <cellStyle name="Linked Cell 4" xfId="472" xr:uid="{00000000-0005-0000-0000-0000DC010000}"/>
    <cellStyle name="Linked Cell 5" xfId="473" xr:uid="{00000000-0005-0000-0000-0000DD010000}"/>
    <cellStyle name="Linked Cells" xfId="474" xr:uid="{00000000-0005-0000-0000-0000DE010000}"/>
    <cellStyle name="Milliers [0]_!!!GO" xfId="475" xr:uid="{00000000-0005-0000-0000-0000DF010000}"/>
    <cellStyle name="Milliers_!!!GO" xfId="476" xr:uid="{00000000-0005-0000-0000-0000E0010000}"/>
    <cellStyle name="Monétaire [0]_!!!GO" xfId="477" xr:uid="{00000000-0005-0000-0000-0000E1010000}"/>
    <cellStyle name="Monétaire_!!!GO" xfId="478" xr:uid="{00000000-0005-0000-0000-0000E2010000}"/>
    <cellStyle name="Neutral 2" xfId="479" xr:uid="{00000000-0005-0000-0000-0000E3010000}"/>
    <cellStyle name="Neutral 2 2" xfId="480" xr:uid="{00000000-0005-0000-0000-0000E4010000}"/>
    <cellStyle name="Neutral 2 3" xfId="481" xr:uid="{00000000-0005-0000-0000-0000E5010000}"/>
    <cellStyle name="Neutral 2 4" xfId="482" xr:uid="{00000000-0005-0000-0000-0000E6010000}"/>
    <cellStyle name="Neutral 2 5" xfId="483" xr:uid="{00000000-0005-0000-0000-0000E7010000}"/>
    <cellStyle name="Neutral 3" xfId="484" xr:uid="{00000000-0005-0000-0000-0000E8010000}"/>
    <cellStyle name="Neutral 4" xfId="485" xr:uid="{00000000-0005-0000-0000-0000E9010000}"/>
    <cellStyle name="Neutral 5" xfId="486" xr:uid="{00000000-0005-0000-0000-0000EA010000}"/>
    <cellStyle name="no dec" xfId="487" xr:uid="{00000000-0005-0000-0000-0000EB010000}"/>
    <cellStyle name="Normal" xfId="0" builtinId="0"/>
    <cellStyle name="Normal - Style1" xfId="488" xr:uid="{00000000-0005-0000-0000-0000EC010000}"/>
    <cellStyle name="Normal - Style1 2" xfId="489" xr:uid="{00000000-0005-0000-0000-0000ED010000}"/>
    <cellStyle name="Normal 10" xfId="490" xr:uid="{00000000-0005-0000-0000-0000EE010000}"/>
    <cellStyle name="Normal 10 2" xfId="491" xr:uid="{00000000-0005-0000-0000-0000EF010000}"/>
    <cellStyle name="Normal 11" xfId="492" xr:uid="{00000000-0005-0000-0000-0000F0010000}"/>
    <cellStyle name="Normal 11 2" xfId="493" xr:uid="{00000000-0005-0000-0000-0000F1010000}"/>
    <cellStyle name="Normal 11 2 2" xfId="494" xr:uid="{00000000-0005-0000-0000-0000F2010000}"/>
    <cellStyle name="Normal 11 3" xfId="495" xr:uid="{00000000-0005-0000-0000-0000F3010000}"/>
    <cellStyle name="Normal 12 2" xfId="496" xr:uid="{00000000-0005-0000-0000-0000F4010000}"/>
    <cellStyle name="Normal 14" xfId="497" xr:uid="{00000000-0005-0000-0000-0000F5010000}"/>
    <cellStyle name="Normal 15" xfId="498" xr:uid="{00000000-0005-0000-0000-0000F6010000}"/>
    <cellStyle name="Normal 16 2" xfId="499" xr:uid="{00000000-0005-0000-0000-0000F7010000}"/>
    <cellStyle name="Normal 17 3" xfId="500" xr:uid="{00000000-0005-0000-0000-0000F8010000}"/>
    <cellStyle name="Normal 19" xfId="501" xr:uid="{00000000-0005-0000-0000-0000F9010000}"/>
    <cellStyle name="Normal 2" xfId="502" xr:uid="{00000000-0005-0000-0000-0000FA010000}"/>
    <cellStyle name="Normal 2 10" xfId="503" xr:uid="{00000000-0005-0000-0000-0000FB010000}"/>
    <cellStyle name="Normal 2 10 2" xfId="504" xr:uid="{00000000-0005-0000-0000-0000FC010000}"/>
    <cellStyle name="Normal 2 11" xfId="505" xr:uid="{00000000-0005-0000-0000-0000FD010000}"/>
    <cellStyle name="Normal 2 12" xfId="506" xr:uid="{00000000-0005-0000-0000-0000FE010000}"/>
    <cellStyle name="Normal 2 12 2" xfId="507" xr:uid="{00000000-0005-0000-0000-0000FF010000}"/>
    <cellStyle name="Normal 2 13" xfId="508" xr:uid="{00000000-0005-0000-0000-000000020000}"/>
    <cellStyle name="Normal 2 14" xfId="509" xr:uid="{00000000-0005-0000-0000-000001020000}"/>
    <cellStyle name="Normal 2 15" xfId="510" xr:uid="{00000000-0005-0000-0000-000002020000}"/>
    <cellStyle name="Normal 2 16" xfId="511" xr:uid="{00000000-0005-0000-0000-000003020000}"/>
    <cellStyle name="Normal 2 17" xfId="512" xr:uid="{00000000-0005-0000-0000-000004020000}"/>
    <cellStyle name="Normal 2 18" xfId="513" xr:uid="{00000000-0005-0000-0000-000005020000}"/>
    <cellStyle name="Normal 2 19" xfId="514" xr:uid="{00000000-0005-0000-0000-000006020000}"/>
    <cellStyle name="Normal 2 2" xfId="515" xr:uid="{00000000-0005-0000-0000-000007020000}"/>
    <cellStyle name="Normal 2 2 10" xfId="516" xr:uid="{00000000-0005-0000-0000-000008020000}"/>
    <cellStyle name="Normal 2 2 11" xfId="517" xr:uid="{00000000-0005-0000-0000-000009020000}"/>
    <cellStyle name="Normal 2 2 2" xfId="518" xr:uid="{00000000-0005-0000-0000-00000A020000}"/>
    <cellStyle name="Normal 2 2 2 2 2 2" xfId="767" xr:uid="{37A3CD5B-95F4-4CF0-AB75-E6EAB4E4F3DC}"/>
    <cellStyle name="Normal 2 2 3" xfId="519" xr:uid="{00000000-0005-0000-0000-00000B020000}"/>
    <cellStyle name="Normal 2 2 3 2" xfId="520" xr:uid="{00000000-0005-0000-0000-00000C020000}"/>
    <cellStyle name="Normal 2 2 4" xfId="521" xr:uid="{00000000-0005-0000-0000-00000D020000}"/>
    <cellStyle name="Normal 2 2 5" xfId="522" xr:uid="{00000000-0005-0000-0000-00000E020000}"/>
    <cellStyle name="Normal 2 2 6" xfId="523" xr:uid="{00000000-0005-0000-0000-00000F020000}"/>
    <cellStyle name="Normal 2 2 7" xfId="524" xr:uid="{00000000-0005-0000-0000-000010020000}"/>
    <cellStyle name="Normal 2 2 7 2" xfId="525" xr:uid="{00000000-0005-0000-0000-000011020000}"/>
    <cellStyle name="Normal 2 2 8" xfId="526" xr:uid="{00000000-0005-0000-0000-000012020000}"/>
    <cellStyle name="Normal 2 2 9" xfId="527" xr:uid="{00000000-0005-0000-0000-000013020000}"/>
    <cellStyle name="Normal 2 20" xfId="528" xr:uid="{00000000-0005-0000-0000-000014020000}"/>
    <cellStyle name="Normal 2 21" xfId="529" xr:uid="{00000000-0005-0000-0000-000015020000}"/>
    <cellStyle name="Normal 2 22" xfId="530" xr:uid="{00000000-0005-0000-0000-000016020000}"/>
    <cellStyle name="Normal 2 23" xfId="531" xr:uid="{00000000-0005-0000-0000-000017020000}"/>
    <cellStyle name="Normal 2 24" xfId="532" xr:uid="{00000000-0005-0000-0000-000018020000}"/>
    <cellStyle name="Normal 2 25" xfId="533" xr:uid="{00000000-0005-0000-0000-000019020000}"/>
    <cellStyle name="Normal 2 26" xfId="534" xr:uid="{00000000-0005-0000-0000-00001A020000}"/>
    <cellStyle name="Normal 2 27" xfId="535" xr:uid="{00000000-0005-0000-0000-00001B020000}"/>
    <cellStyle name="Normal 2 28" xfId="536" xr:uid="{00000000-0005-0000-0000-00001C020000}"/>
    <cellStyle name="Normal 2 29" xfId="537" xr:uid="{00000000-0005-0000-0000-00001D020000}"/>
    <cellStyle name="Normal 2 3" xfId="538" xr:uid="{00000000-0005-0000-0000-00001E020000}"/>
    <cellStyle name="Normal 2 3 2" xfId="539" xr:uid="{00000000-0005-0000-0000-00001F020000}"/>
    <cellStyle name="Normal 2 3 4" xfId="540" xr:uid="{00000000-0005-0000-0000-000020020000}"/>
    <cellStyle name="Normal 2 30" xfId="541" xr:uid="{00000000-0005-0000-0000-000021020000}"/>
    <cellStyle name="Normal 2 31" xfId="542" xr:uid="{00000000-0005-0000-0000-000022020000}"/>
    <cellStyle name="Normal 2 32" xfId="543" xr:uid="{00000000-0005-0000-0000-000023020000}"/>
    <cellStyle name="Normal 2 33" xfId="544" xr:uid="{00000000-0005-0000-0000-000024020000}"/>
    <cellStyle name="Normal 2 34" xfId="545" xr:uid="{00000000-0005-0000-0000-000025020000}"/>
    <cellStyle name="Normal 2 35" xfId="546" xr:uid="{00000000-0005-0000-0000-000026020000}"/>
    <cellStyle name="Normal 2 36" xfId="547" xr:uid="{00000000-0005-0000-0000-000027020000}"/>
    <cellStyle name="Normal 2 37" xfId="548" xr:uid="{00000000-0005-0000-0000-000028020000}"/>
    <cellStyle name="Normal 2 38" xfId="549" xr:uid="{00000000-0005-0000-0000-000029020000}"/>
    <cellStyle name="Normal 2 39" xfId="550" xr:uid="{00000000-0005-0000-0000-00002A020000}"/>
    <cellStyle name="Normal 2 4" xfId="551" xr:uid="{00000000-0005-0000-0000-00002B020000}"/>
    <cellStyle name="Normal 2 40" xfId="552" xr:uid="{00000000-0005-0000-0000-00002C020000}"/>
    <cellStyle name="Normal 2 41" xfId="553" xr:uid="{00000000-0005-0000-0000-00002D020000}"/>
    <cellStyle name="Normal 2 42" xfId="554" xr:uid="{00000000-0005-0000-0000-00002E020000}"/>
    <cellStyle name="Normal 2 43" xfId="555" xr:uid="{00000000-0005-0000-0000-00002F020000}"/>
    <cellStyle name="Normal 2 44" xfId="556" xr:uid="{00000000-0005-0000-0000-000030020000}"/>
    <cellStyle name="Normal 2 45" xfId="557" xr:uid="{00000000-0005-0000-0000-000031020000}"/>
    <cellStyle name="Normal 2 46" xfId="558" xr:uid="{00000000-0005-0000-0000-000032020000}"/>
    <cellStyle name="Normal 2 47" xfId="559" xr:uid="{00000000-0005-0000-0000-000033020000}"/>
    <cellStyle name="Normal 2 48" xfId="560" xr:uid="{00000000-0005-0000-0000-000034020000}"/>
    <cellStyle name="Normal 2 49" xfId="561" xr:uid="{00000000-0005-0000-0000-000035020000}"/>
    <cellStyle name="Normal 2 5" xfId="562" xr:uid="{00000000-0005-0000-0000-000036020000}"/>
    <cellStyle name="Normal 2 50" xfId="563" xr:uid="{00000000-0005-0000-0000-000037020000}"/>
    <cellStyle name="Normal 2 51" xfId="564" xr:uid="{00000000-0005-0000-0000-000038020000}"/>
    <cellStyle name="Normal 2 52" xfId="565" xr:uid="{00000000-0005-0000-0000-000039020000}"/>
    <cellStyle name="Normal 2 52 2" xfId="566" xr:uid="{00000000-0005-0000-0000-00003A020000}"/>
    <cellStyle name="Normal 2 52_BASSAPUR ESTIMATE" xfId="567" xr:uid="{00000000-0005-0000-0000-00003B020000}"/>
    <cellStyle name="Normal 2 53" xfId="568" xr:uid="{00000000-0005-0000-0000-00003C020000}"/>
    <cellStyle name="Normal 2 54" xfId="569" xr:uid="{00000000-0005-0000-0000-00003D020000}"/>
    <cellStyle name="Normal 2 55" xfId="570" xr:uid="{00000000-0005-0000-0000-00003E020000}"/>
    <cellStyle name="Normal 2 56" xfId="571" xr:uid="{00000000-0005-0000-0000-00003F020000}"/>
    <cellStyle name="Normal 2 57" xfId="572" xr:uid="{00000000-0005-0000-0000-000040020000}"/>
    <cellStyle name="Normal 2 58" xfId="573" xr:uid="{00000000-0005-0000-0000-000041020000}"/>
    <cellStyle name="Normal 2 59" xfId="574" xr:uid="{00000000-0005-0000-0000-000042020000}"/>
    <cellStyle name="Normal 2 6" xfId="575" xr:uid="{00000000-0005-0000-0000-000043020000}"/>
    <cellStyle name="Normal 2 60" xfId="576" xr:uid="{00000000-0005-0000-0000-000044020000}"/>
    <cellStyle name="Normal 2 61" xfId="577" xr:uid="{00000000-0005-0000-0000-000045020000}"/>
    <cellStyle name="Normal 2 62" xfId="578" xr:uid="{00000000-0005-0000-0000-000046020000}"/>
    <cellStyle name="Normal 2 7" xfId="579" xr:uid="{00000000-0005-0000-0000-000047020000}"/>
    <cellStyle name="Normal 2 79" xfId="580" xr:uid="{00000000-0005-0000-0000-000048020000}"/>
    <cellStyle name="Normal 2 8" xfId="581" xr:uid="{00000000-0005-0000-0000-000049020000}"/>
    <cellStyle name="Normal 2 9" xfId="582" xr:uid="{00000000-0005-0000-0000-00004A020000}"/>
    <cellStyle name="Normal 2_5. Designs 10-09-2013" xfId="586" xr:uid="{00000000-0005-0000-0000-00004E020000}"/>
    <cellStyle name="Normal 21" xfId="583" xr:uid="{00000000-0005-0000-0000-00004B020000}"/>
    <cellStyle name="Normal 27" xfId="584" xr:uid="{00000000-0005-0000-0000-00004C020000}"/>
    <cellStyle name="Normal 28" xfId="585" xr:uid="{00000000-0005-0000-0000-00004D020000}"/>
    <cellStyle name="Normal 3" xfId="587" xr:uid="{00000000-0005-0000-0000-00004F020000}"/>
    <cellStyle name="Normal 3 10" xfId="588" xr:uid="{00000000-0005-0000-0000-000050020000}"/>
    <cellStyle name="Normal 3 11" xfId="589" xr:uid="{00000000-0005-0000-0000-000051020000}"/>
    <cellStyle name="Normal 3 12" xfId="590" xr:uid="{00000000-0005-0000-0000-000052020000}"/>
    <cellStyle name="Normal 3 13" xfId="591" xr:uid="{00000000-0005-0000-0000-000053020000}"/>
    <cellStyle name="Normal 3 14" xfId="592" xr:uid="{00000000-0005-0000-0000-000054020000}"/>
    <cellStyle name="Normal 3 15" xfId="593" xr:uid="{00000000-0005-0000-0000-000055020000}"/>
    <cellStyle name="Normal 3 16" xfId="594" xr:uid="{00000000-0005-0000-0000-000056020000}"/>
    <cellStyle name="Normal 3 17" xfId="595" xr:uid="{00000000-0005-0000-0000-000057020000}"/>
    <cellStyle name="Normal 3 18" xfId="596" xr:uid="{00000000-0005-0000-0000-000058020000}"/>
    <cellStyle name="Normal 3 19" xfId="597" xr:uid="{00000000-0005-0000-0000-000059020000}"/>
    <cellStyle name="Normal 3 2" xfId="598" xr:uid="{00000000-0005-0000-0000-00005A020000}"/>
    <cellStyle name="Normal 3 2 2" xfId="599" xr:uid="{00000000-0005-0000-0000-00005B020000}"/>
    <cellStyle name="Normal 3 2 3 2" xfId="769" xr:uid="{1E91C972-A21A-45D4-9FCA-5C5D1EA585CE}"/>
    <cellStyle name="Normal 3 2_GH A.S.PETA" xfId="610" xr:uid="{00000000-0005-0000-0000-000066020000}"/>
    <cellStyle name="Normal 3 20" xfId="600" xr:uid="{00000000-0005-0000-0000-00005C020000}"/>
    <cellStyle name="Normal 3 21" xfId="601" xr:uid="{00000000-0005-0000-0000-00005D020000}"/>
    <cellStyle name="Normal 3 22" xfId="602" xr:uid="{00000000-0005-0000-0000-00005E020000}"/>
    <cellStyle name="Normal 3 23" xfId="603" xr:uid="{00000000-0005-0000-0000-00005F020000}"/>
    <cellStyle name="Normal 3 24" xfId="604" xr:uid="{00000000-0005-0000-0000-000060020000}"/>
    <cellStyle name="Normal 3 25" xfId="605" xr:uid="{00000000-0005-0000-0000-000061020000}"/>
    <cellStyle name="Normal 3 26" xfId="606" xr:uid="{00000000-0005-0000-0000-000062020000}"/>
    <cellStyle name="Normal 3 27" xfId="607" xr:uid="{00000000-0005-0000-0000-000063020000}"/>
    <cellStyle name="Normal 3 28" xfId="608" xr:uid="{00000000-0005-0000-0000-000064020000}"/>
    <cellStyle name="Normal 3 29" xfId="609" xr:uid="{00000000-0005-0000-0000-000065020000}"/>
    <cellStyle name="Normal 3 3" xfId="611" xr:uid="{00000000-0005-0000-0000-000067020000}"/>
    <cellStyle name="Normal 3 30" xfId="612" xr:uid="{00000000-0005-0000-0000-000068020000}"/>
    <cellStyle name="Normal 3 31" xfId="613" xr:uid="{00000000-0005-0000-0000-000069020000}"/>
    <cellStyle name="Normal 3 32" xfId="614" xr:uid="{00000000-0005-0000-0000-00006A020000}"/>
    <cellStyle name="Normal 3 33" xfId="615" xr:uid="{00000000-0005-0000-0000-00006B020000}"/>
    <cellStyle name="Normal 3 34" xfId="616" xr:uid="{00000000-0005-0000-0000-00006C020000}"/>
    <cellStyle name="Normal 3 35" xfId="617" xr:uid="{00000000-0005-0000-0000-00006D020000}"/>
    <cellStyle name="Normal 3 36" xfId="618" xr:uid="{00000000-0005-0000-0000-00006E020000}"/>
    <cellStyle name="Normal 3 37" xfId="619" xr:uid="{00000000-0005-0000-0000-00006F020000}"/>
    <cellStyle name="Normal 3 38" xfId="620" xr:uid="{00000000-0005-0000-0000-000070020000}"/>
    <cellStyle name="Normal 3 39" xfId="621" xr:uid="{00000000-0005-0000-0000-000071020000}"/>
    <cellStyle name="Normal 3 4" xfId="622" xr:uid="{00000000-0005-0000-0000-000072020000}"/>
    <cellStyle name="Normal 3 40" xfId="623" xr:uid="{00000000-0005-0000-0000-000073020000}"/>
    <cellStyle name="Normal 3 41" xfId="624" xr:uid="{00000000-0005-0000-0000-000074020000}"/>
    <cellStyle name="Normal 3 42" xfId="625" xr:uid="{00000000-0005-0000-0000-000075020000}"/>
    <cellStyle name="Normal 3 43" xfId="626" xr:uid="{00000000-0005-0000-0000-000076020000}"/>
    <cellStyle name="Normal 3 46" xfId="627" xr:uid="{00000000-0005-0000-0000-000077020000}"/>
    <cellStyle name="Normal 3 47" xfId="628" xr:uid="{00000000-0005-0000-0000-000078020000}"/>
    <cellStyle name="Normal 3 5" xfId="629" xr:uid="{00000000-0005-0000-0000-000079020000}"/>
    <cellStyle name="Normal 3 50" xfId="630" xr:uid="{00000000-0005-0000-0000-00007A020000}"/>
    <cellStyle name="Normal 3 50 2" xfId="631" xr:uid="{00000000-0005-0000-0000-00007B020000}"/>
    <cellStyle name="Normal 3 50_BASSAPUR ESTIMATE" xfId="632" xr:uid="{00000000-0005-0000-0000-00007C020000}"/>
    <cellStyle name="Normal 3 6" xfId="633" xr:uid="{00000000-0005-0000-0000-00007D020000}"/>
    <cellStyle name="Normal 3 61" xfId="634" xr:uid="{00000000-0005-0000-0000-00007E020000}"/>
    <cellStyle name="Normal 3 7" xfId="635" xr:uid="{00000000-0005-0000-0000-00007F020000}"/>
    <cellStyle name="Normal 3 8" xfId="636" xr:uid="{00000000-0005-0000-0000-000080020000}"/>
    <cellStyle name="Normal 3 9" xfId="637" xr:uid="{00000000-0005-0000-0000-000081020000}"/>
    <cellStyle name="Normal 3_sluice" xfId="639" xr:uid="{00000000-0005-0000-0000-000083020000}"/>
    <cellStyle name="Normal 32" xfId="638" xr:uid="{00000000-0005-0000-0000-000082020000}"/>
    <cellStyle name="Normal 4" xfId="640" xr:uid="{00000000-0005-0000-0000-000084020000}"/>
    <cellStyle name="Normal 4 2" xfId="641" xr:uid="{00000000-0005-0000-0000-000085020000}"/>
    <cellStyle name="Normal 4 3" xfId="642" xr:uid="{00000000-0005-0000-0000-000086020000}"/>
    <cellStyle name="Normal 4 5" xfId="643" xr:uid="{00000000-0005-0000-0000-000087020000}"/>
    <cellStyle name="Normal 5" xfId="644" xr:uid="{00000000-0005-0000-0000-000088020000}"/>
    <cellStyle name="Normal 5 2" xfId="645" xr:uid="{00000000-0005-0000-0000-000089020000}"/>
    <cellStyle name="Normal 5 3 2" xfId="646" xr:uid="{00000000-0005-0000-0000-00008A020000}"/>
    <cellStyle name="Normal 6" xfId="647" xr:uid="{00000000-0005-0000-0000-00008B020000}"/>
    <cellStyle name="Normal 6 2" xfId="648" xr:uid="{00000000-0005-0000-0000-00008C020000}"/>
    <cellStyle name="Normal 7" xfId="649" xr:uid="{00000000-0005-0000-0000-00008D020000}"/>
    <cellStyle name="Normal 8" xfId="650" xr:uid="{00000000-0005-0000-0000-00008E020000}"/>
    <cellStyle name="Normal 8 2 2" xfId="651" xr:uid="{00000000-0005-0000-0000-00008F020000}"/>
    <cellStyle name="Normal 9" xfId="652" xr:uid="{00000000-0005-0000-0000-000090020000}"/>
    <cellStyle name="Normal 9 2" xfId="653" xr:uid="{00000000-0005-0000-0000-000091020000}"/>
    <cellStyle name="Normal_xx" xfId="768" xr:uid="{F193A6AB-CB1B-460A-A0B7-1BED1ACE11FD}"/>
    <cellStyle name="Note 2" xfId="654" xr:uid="{00000000-0005-0000-0000-000093020000}"/>
    <cellStyle name="Note 2 2" xfId="655" xr:uid="{00000000-0005-0000-0000-000094020000}"/>
    <cellStyle name="Note 2 3" xfId="656" xr:uid="{00000000-0005-0000-0000-000095020000}"/>
    <cellStyle name="Note 2 4" xfId="657" xr:uid="{00000000-0005-0000-0000-000096020000}"/>
    <cellStyle name="Note 2 5" xfId="658" xr:uid="{00000000-0005-0000-0000-000097020000}"/>
    <cellStyle name="Note 3" xfId="659" xr:uid="{00000000-0005-0000-0000-000098020000}"/>
    <cellStyle name="Note 4" xfId="660" xr:uid="{00000000-0005-0000-0000-000099020000}"/>
    <cellStyle name="Note 5" xfId="661" xr:uid="{00000000-0005-0000-0000-00009A020000}"/>
    <cellStyle name="Œ…‹æØ‚è [0.00]_Region Orders (2)" xfId="765" xr:uid="{00000000-0005-0000-0000-000002030000}"/>
    <cellStyle name="Œ…‹æØ‚è_Region Orders (2)" xfId="766" xr:uid="{00000000-0005-0000-0000-000003030000}"/>
    <cellStyle name="Output 2" xfId="662" xr:uid="{00000000-0005-0000-0000-00009B020000}"/>
    <cellStyle name="Output 2 2" xfId="663" xr:uid="{00000000-0005-0000-0000-00009C020000}"/>
    <cellStyle name="Output 2 3" xfId="664" xr:uid="{00000000-0005-0000-0000-00009D020000}"/>
    <cellStyle name="Output 2 4" xfId="665" xr:uid="{00000000-0005-0000-0000-00009E020000}"/>
    <cellStyle name="Output 2 5" xfId="666" xr:uid="{00000000-0005-0000-0000-00009F020000}"/>
    <cellStyle name="Output 3" xfId="667" xr:uid="{00000000-0005-0000-0000-0000A0020000}"/>
    <cellStyle name="Output 4" xfId="668" xr:uid="{00000000-0005-0000-0000-0000A1020000}"/>
    <cellStyle name="Output 5" xfId="669" xr:uid="{00000000-0005-0000-0000-0000A2020000}"/>
    <cellStyle name="per.style" xfId="670" xr:uid="{00000000-0005-0000-0000-0000A3020000}"/>
    <cellStyle name="Percent [2]" xfId="716" xr:uid="{00000000-0005-0000-0000-0000D1020000}"/>
    <cellStyle name="Percent [2] 2" xfId="717" xr:uid="{00000000-0005-0000-0000-0000D2020000}"/>
    <cellStyle name="Percent [2] 3" xfId="718" xr:uid="{00000000-0005-0000-0000-0000D3020000}"/>
    <cellStyle name="Percent [2] 4" xfId="719" xr:uid="{00000000-0005-0000-0000-0000D4020000}"/>
    <cellStyle name="Percent [2] 5" xfId="720" xr:uid="{00000000-0005-0000-0000-0000D5020000}"/>
    <cellStyle name="Percent [2] 6" xfId="721" xr:uid="{00000000-0005-0000-0000-0000D6020000}"/>
    <cellStyle name="Percent 10" xfId="671" xr:uid="{00000000-0005-0000-0000-0000A4020000}"/>
    <cellStyle name="Percent 11" xfId="672" xr:uid="{00000000-0005-0000-0000-0000A5020000}"/>
    <cellStyle name="Percent 12" xfId="673" xr:uid="{00000000-0005-0000-0000-0000A6020000}"/>
    <cellStyle name="Percent 2" xfId="674" xr:uid="{00000000-0005-0000-0000-0000A7020000}"/>
    <cellStyle name="Percent 2 2" xfId="675" xr:uid="{00000000-0005-0000-0000-0000A8020000}"/>
    <cellStyle name="Percent 2 2 2" xfId="676" xr:uid="{00000000-0005-0000-0000-0000A9020000}"/>
    <cellStyle name="Percent 2 2 3" xfId="677" xr:uid="{00000000-0005-0000-0000-0000AA020000}"/>
    <cellStyle name="Percent 2 2 4" xfId="678" xr:uid="{00000000-0005-0000-0000-0000AB020000}"/>
    <cellStyle name="Percent 2 2 5" xfId="679" xr:uid="{00000000-0005-0000-0000-0000AC020000}"/>
    <cellStyle name="Percent 2 3" xfId="680" xr:uid="{00000000-0005-0000-0000-0000AD020000}"/>
    <cellStyle name="Percent 2 3 2" xfId="681" xr:uid="{00000000-0005-0000-0000-0000AE020000}"/>
    <cellStyle name="Percent 2 4" xfId="682" xr:uid="{00000000-0005-0000-0000-0000AF020000}"/>
    <cellStyle name="Percent 2 5" xfId="683" xr:uid="{00000000-0005-0000-0000-0000B0020000}"/>
    <cellStyle name="Percent 2 6" xfId="684" xr:uid="{00000000-0005-0000-0000-0000B1020000}"/>
    <cellStyle name="Percent 2 7" xfId="685" xr:uid="{00000000-0005-0000-0000-0000B2020000}"/>
    <cellStyle name="Percent 2 8" xfId="686" xr:uid="{00000000-0005-0000-0000-0000B3020000}"/>
    <cellStyle name="Percent 2 8 2" xfId="687" xr:uid="{00000000-0005-0000-0000-0000B4020000}"/>
    <cellStyle name="Percent 3" xfId="688" xr:uid="{00000000-0005-0000-0000-0000B5020000}"/>
    <cellStyle name="Percent 3 2" xfId="689" xr:uid="{00000000-0005-0000-0000-0000B6020000}"/>
    <cellStyle name="Percent 3 2 2" xfId="690" xr:uid="{00000000-0005-0000-0000-0000B7020000}"/>
    <cellStyle name="Percent 3 2 3" xfId="691" xr:uid="{00000000-0005-0000-0000-0000B8020000}"/>
    <cellStyle name="Percent 3 2 4" xfId="692" xr:uid="{00000000-0005-0000-0000-0000B9020000}"/>
    <cellStyle name="Percent 3 2 5" xfId="693" xr:uid="{00000000-0005-0000-0000-0000BA020000}"/>
    <cellStyle name="Percent 3 3" xfId="694" xr:uid="{00000000-0005-0000-0000-0000BB020000}"/>
    <cellStyle name="Percent 3 3 2" xfId="695" xr:uid="{00000000-0005-0000-0000-0000BC020000}"/>
    <cellStyle name="Percent 3 4" xfId="696" xr:uid="{00000000-0005-0000-0000-0000BD020000}"/>
    <cellStyle name="Percent 3 5" xfId="697" xr:uid="{00000000-0005-0000-0000-0000BE020000}"/>
    <cellStyle name="Percent 3 6" xfId="698" xr:uid="{00000000-0005-0000-0000-0000BF020000}"/>
    <cellStyle name="Percent 3 7" xfId="699" xr:uid="{00000000-0005-0000-0000-0000C0020000}"/>
    <cellStyle name="Percent 4" xfId="700" xr:uid="{00000000-0005-0000-0000-0000C1020000}"/>
    <cellStyle name="Percent 4 2" xfId="701" xr:uid="{00000000-0005-0000-0000-0000C2020000}"/>
    <cellStyle name="Percent 4 2 2" xfId="702" xr:uid="{00000000-0005-0000-0000-0000C3020000}"/>
    <cellStyle name="Percent 4 2 3" xfId="703" xr:uid="{00000000-0005-0000-0000-0000C4020000}"/>
    <cellStyle name="Percent 4 2 4" xfId="704" xr:uid="{00000000-0005-0000-0000-0000C5020000}"/>
    <cellStyle name="Percent 4 2 5" xfId="705" xr:uid="{00000000-0005-0000-0000-0000C6020000}"/>
    <cellStyle name="Percent 4 3" xfId="706" xr:uid="{00000000-0005-0000-0000-0000C7020000}"/>
    <cellStyle name="Percent 4 4" xfId="707" xr:uid="{00000000-0005-0000-0000-0000C8020000}"/>
    <cellStyle name="Percent 4 5" xfId="708" xr:uid="{00000000-0005-0000-0000-0000C9020000}"/>
    <cellStyle name="Percent 4 6" xfId="709" xr:uid="{00000000-0005-0000-0000-0000CA020000}"/>
    <cellStyle name="Percent 5" xfId="710" xr:uid="{00000000-0005-0000-0000-0000CB020000}"/>
    <cellStyle name="Percent 5 2" xfId="711" xr:uid="{00000000-0005-0000-0000-0000CC020000}"/>
    <cellStyle name="Percent 6" xfId="712" xr:uid="{00000000-0005-0000-0000-0000CD020000}"/>
    <cellStyle name="Percent 7" xfId="713" xr:uid="{00000000-0005-0000-0000-0000CE020000}"/>
    <cellStyle name="Percent 8" xfId="714" xr:uid="{00000000-0005-0000-0000-0000CF020000}"/>
    <cellStyle name="Percent 9" xfId="715" xr:uid="{00000000-0005-0000-0000-0000D0020000}"/>
    <cellStyle name="Popis" xfId="722" xr:uid="{00000000-0005-0000-0000-0000D7020000}"/>
    <cellStyle name="pricing" xfId="723" xr:uid="{00000000-0005-0000-0000-0000D8020000}"/>
    <cellStyle name="PSChar" xfId="724" xr:uid="{00000000-0005-0000-0000-0000D9020000}"/>
    <cellStyle name="RevList" xfId="725" xr:uid="{00000000-0005-0000-0000-0000DA020000}"/>
    <cellStyle name="RevList 2" xfId="726" xr:uid="{00000000-0005-0000-0000-0000DB020000}"/>
    <cellStyle name="RevList 3" xfId="727" xr:uid="{00000000-0005-0000-0000-0000DC020000}"/>
    <cellStyle name="RevList 4" xfId="728" xr:uid="{00000000-0005-0000-0000-0000DD020000}"/>
    <cellStyle name="RevList 5" xfId="729" xr:uid="{00000000-0005-0000-0000-0000DE020000}"/>
    <cellStyle name="RevList 6" xfId="730" xr:uid="{00000000-0005-0000-0000-0000DF020000}"/>
    <cellStyle name="RevList_6Pole_33-Estimate-BRAHMANAGAON-I-24-10-2011" xfId="731" xr:uid="{00000000-0005-0000-0000-0000E0020000}"/>
    <cellStyle name="Sledovaný hypertextový odkaz" xfId="732" xr:uid="{00000000-0005-0000-0000-0000E1020000}"/>
    <cellStyle name="Standard_BS14" xfId="733" xr:uid="{00000000-0005-0000-0000-0000E2020000}"/>
    <cellStyle name="Style 1" xfId="734" xr:uid="{00000000-0005-0000-0000-0000E3020000}"/>
    <cellStyle name="Subtotal" xfId="735" xr:uid="{00000000-0005-0000-0000-0000E4020000}"/>
    <cellStyle name="Title 2" xfId="736" xr:uid="{00000000-0005-0000-0000-0000E5020000}"/>
    <cellStyle name="Title 2 2" xfId="737" xr:uid="{00000000-0005-0000-0000-0000E6020000}"/>
    <cellStyle name="Title 2 3" xfId="738" xr:uid="{00000000-0005-0000-0000-0000E7020000}"/>
    <cellStyle name="Title 2 4" xfId="739" xr:uid="{00000000-0005-0000-0000-0000E8020000}"/>
    <cellStyle name="Title 2 5" xfId="740" xr:uid="{00000000-0005-0000-0000-0000E9020000}"/>
    <cellStyle name="Title 3" xfId="741" xr:uid="{00000000-0005-0000-0000-0000EA020000}"/>
    <cellStyle name="Title 4" xfId="742" xr:uid="{00000000-0005-0000-0000-0000EB020000}"/>
    <cellStyle name="Title 5" xfId="743" xr:uid="{00000000-0005-0000-0000-0000EC020000}"/>
    <cellStyle name="Total 2" xfId="744" xr:uid="{00000000-0005-0000-0000-0000ED020000}"/>
    <cellStyle name="Total 2 2" xfId="745" xr:uid="{00000000-0005-0000-0000-0000EE020000}"/>
    <cellStyle name="Total 2 3" xfId="746" xr:uid="{00000000-0005-0000-0000-0000EF020000}"/>
    <cellStyle name="Total 2 4" xfId="747" xr:uid="{00000000-0005-0000-0000-0000F0020000}"/>
    <cellStyle name="Total 2 5" xfId="748" xr:uid="{00000000-0005-0000-0000-0000F1020000}"/>
    <cellStyle name="Total 3" xfId="749" xr:uid="{00000000-0005-0000-0000-0000F2020000}"/>
    <cellStyle name="Total 4" xfId="750" xr:uid="{00000000-0005-0000-0000-0000F3020000}"/>
    <cellStyle name="Total 5" xfId="751" xr:uid="{00000000-0005-0000-0000-0000F4020000}"/>
    <cellStyle name="Warning Text 2" xfId="752" xr:uid="{00000000-0005-0000-0000-0000F5020000}"/>
    <cellStyle name="Warning Text 2 2" xfId="753" xr:uid="{00000000-0005-0000-0000-0000F6020000}"/>
    <cellStyle name="Warning Text 2 3" xfId="754" xr:uid="{00000000-0005-0000-0000-0000F7020000}"/>
    <cellStyle name="Warning Text 2 4" xfId="755" xr:uid="{00000000-0005-0000-0000-0000F8020000}"/>
    <cellStyle name="Warning Text 2 5" xfId="756" xr:uid="{00000000-0005-0000-0000-0000F9020000}"/>
    <cellStyle name="Warning Text 3" xfId="757" xr:uid="{00000000-0005-0000-0000-0000FA020000}"/>
    <cellStyle name="Warning Text 4" xfId="758" xr:uid="{00000000-0005-0000-0000-0000FB020000}"/>
    <cellStyle name="Warning Text 5" xfId="759" xr:uid="{00000000-0005-0000-0000-0000FC02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EECE1"/>
      <rgbColor rgb="FFCCFFCC"/>
      <rgbColor rgb="FFFFFF99"/>
      <rgbColor rgb="FF99CCFF"/>
      <rgbColor rgb="FFFF99CC"/>
      <rgbColor rgb="FFCC99FF"/>
      <rgbColor rgb="FFFFCC99"/>
      <rgbColor rgb="FF3366FF"/>
      <rgbColor rgb="FF33CCCC"/>
      <rgbColor rgb="FF99CC00"/>
      <rgbColor rgb="FFFFCC00"/>
      <rgbColor rgb="FFFF9900"/>
      <rgbColor rgb="FFFF6600"/>
      <rgbColor rgb="FF558ED5"/>
      <rgbColor rgb="FF969696"/>
      <rgbColor rgb="FF003366"/>
      <rgbColor rgb="FF339966"/>
      <rgbColor rgb="FF003300"/>
      <rgbColor rgb="FF40404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 Type="http://schemas.openxmlformats.org/officeDocument/2006/relationships/worksheet" Target="worksheets/sheet3.xml"/><Relationship Id="rId21" Type="http://schemas.openxmlformats.org/officeDocument/2006/relationships/externalLink" Target="externalLinks/externalLink10.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200025</xdr:colOff>
      <xdr:row>1</xdr:row>
      <xdr:rowOff>0</xdr:rowOff>
    </xdr:from>
    <xdr:to>
      <xdr:col>14</xdr:col>
      <xdr:colOff>152400</xdr:colOff>
      <xdr:row>29</xdr:row>
      <xdr:rowOff>142875</xdr:rowOff>
    </xdr:to>
    <xdr:grpSp>
      <xdr:nvGrpSpPr>
        <xdr:cNvPr id="2" name="Group 1">
          <a:extLst>
            <a:ext uri="{FF2B5EF4-FFF2-40B4-BE49-F238E27FC236}">
              <a16:creationId xmlns:a16="http://schemas.microsoft.com/office/drawing/2014/main" id="{CC2EB384-6303-4BAE-9A6C-2AB94EE820E1}"/>
            </a:ext>
          </a:extLst>
        </xdr:cNvPr>
        <xdr:cNvGrpSpPr>
          <a:grpSpLocks/>
        </xdr:cNvGrpSpPr>
      </xdr:nvGrpSpPr>
      <xdr:grpSpPr bwMode="auto">
        <a:xfrm>
          <a:off x="200025" y="161925"/>
          <a:ext cx="10077450" cy="11258550"/>
          <a:chOff x="200025" y="190500"/>
          <a:chExt cx="5612946" cy="9422946"/>
        </a:xfrm>
      </xdr:grpSpPr>
      <xdr:sp macro="" textlink="">
        <xdr:nvSpPr>
          <xdr:cNvPr id="3" name="PubHalfFrame">
            <a:extLst>
              <a:ext uri="{FF2B5EF4-FFF2-40B4-BE49-F238E27FC236}">
                <a16:creationId xmlns:a16="http://schemas.microsoft.com/office/drawing/2014/main" id="{E64265F6-3C1B-A22C-0465-24EBBEEC3343}"/>
              </a:ext>
            </a:extLst>
          </xdr:cNvPr>
          <xdr:cNvSpPr>
            <a:spLocks noEditPoints="1" noChangeArrowheads="1"/>
          </xdr:cNvSpPr>
        </xdr:nvSpPr>
        <xdr:spPr bwMode="auto">
          <a:xfrm rot="5400000">
            <a:off x="5046859" y="328161"/>
            <a:ext cx="595230" cy="594630"/>
          </a:xfrm>
          <a:custGeom>
            <a:avLst/>
            <a:gdLst>
              <a:gd name="T0" fmla="*/ 2147483646 w 21600"/>
              <a:gd name="T1" fmla="*/ 0 h 21600"/>
              <a:gd name="T2" fmla="*/ 0 w 21600"/>
              <a:gd name="T3" fmla="*/ 2147483646 h 21600"/>
              <a:gd name="T4" fmla="*/ 2147483646 w 21600"/>
              <a:gd name="T5" fmla="*/ 2147483646 h 21600"/>
              <a:gd name="T6" fmla="*/ 2147483646 w 21600"/>
              <a:gd name="T7" fmla="*/ 2147483646 h 21600"/>
              <a:gd name="T8" fmla="*/ 17694720 60000 65536"/>
              <a:gd name="T9" fmla="*/ 11796480 60000 65536"/>
              <a:gd name="T10" fmla="*/ 5898240 60000 65536"/>
              <a:gd name="T11" fmla="*/ 0 60000 65536"/>
              <a:gd name="T12" fmla="*/ 0 w 21600"/>
              <a:gd name="T13" fmla="*/ 0 h 21600"/>
              <a:gd name="T14" fmla="*/ 15330 w 21600"/>
              <a:gd name="T15" fmla="*/ 6270 h 21600"/>
            </a:gdLst>
            <a:ahLst/>
            <a:cxnLst>
              <a:cxn ang="T8">
                <a:pos x="T0" y="T1"/>
              </a:cxn>
              <a:cxn ang="T9">
                <a:pos x="T2" y="T3"/>
              </a:cxn>
              <a:cxn ang="T10">
                <a:pos x="T4" y="T5"/>
              </a:cxn>
              <a:cxn ang="T11">
                <a:pos x="T6" y="T7"/>
              </a:cxn>
            </a:cxnLst>
            <a:rect l="T12" t="T13" r="T14" b="T15"/>
            <a:pathLst>
              <a:path w="21600" h="21600">
                <a:moveTo>
                  <a:pt x="0" y="0"/>
                </a:moveTo>
                <a:lnTo>
                  <a:pt x="0" y="21600"/>
                </a:lnTo>
                <a:lnTo>
                  <a:pt x="7200" y="14400"/>
                </a:lnTo>
                <a:lnTo>
                  <a:pt x="7200" y="6270"/>
                </a:lnTo>
                <a:lnTo>
                  <a:pt x="15330" y="6270"/>
                </a:lnTo>
                <a:lnTo>
                  <a:pt x="21600" y="0"/>
                </a:lnTo>
                <a:lnTo>
                  <a:pt x="0" y="0"/>
                </a:lnTo>
                <a:close/>
              </a:path>
            </a:pathLst>
          </a:custGeom>
          <a:solidFill>
            <a:srgbClr val="008000"/>
          </a:solidFill>
          <a:ln w="19050">
            <a:solidFill>
              <a:srgbClr val="FFFF00"/>
            </a:solidFill>
            <a:miter lim="800000"/>
            <a:headEnd/>
            <a:tailEnd/>
          </a:ln>
          <a:effectLst>
            <a:outerShdw dist="107763" dir="2700000" algn="ctr" rotWithShape="0">
              <a:srgbClr val="808080"/>
            </a:outerShdw>
          </a:effectLst>
        </xdr:spPr>
      </xdr:sp>
      <xdr:sp macro="" textlink="">
        <xdr:nvSpPr>
          <xdr:cNvPr id="4" name="PubHalfFrame">
            <a:extLst>
              <a:ext uri="{FF2B5EF4-FFF2-40B4-BE49-F238E27FC236}">
                <a16:creationId xmlns:a16="http://schemas.microsoft.com/office/drawing/2014/main" id="{229ED21C-2D57-0B88-A3F0-7D57AADE2FFC}"/>
              </a:ext>
            </a:extLst>
          </xdr:cNvPr>
          <xdr:cNvSpPr>
            <a:spLocks noEditPoints="1" noChangeArrowheads="1"/>
          </xdr:cNvSpPr>
        </xdr:nvSpPr>
        <xdr:spPr bwMode="auto">
          <a:xfrm rot="5400000" flipV="1">
            <a:off x="316849" y="328161"/>
            <a:ext cx="595230" cy="594630"/>
          </a:xfrm>
          <a:custGeom>
            <a:avLst/>
            <a:gdLst>
              <a:gd name="T0" fmla="*/ 2147483646 w 21600"/>
              <a:gd name="T1" fmla="*/ 0 h 21600"/>
              <a:gd name="T2" fmla="*/ 0 w 21600"/>
              <a:gd name="T3" fmla="*/ 2147483646 h 21600"/>
              <a:gd name="T4" fmla="*/ 2147483646 w 21600"/>
              <a:gd name="T5" fmla="*/ 2147483646 h 21600"/>
              <a:gd name="T6" fmla="*/ 2147483646 w 21600"/>
              <a:gd name="T7" fmla="*/ 2147483646 h 21600"/>
              <a:gd name="T8" fmla="*/ 17694720 60000 65536"/>
              <a:gd name="T9" fmla="*/ 11796480 60000 65536"/>
              <a:gd name="T10" fmla="*/ 5898240 60000 65536"/>
              <a:gd name="T11" fmla="*/ 0 60000 65536"/>
              <a:gd name="T12" fmla="*/ 0 w 21600"/>
              <a:gd name="T13" fmla="*/ 0 h 21600"/>
              <a:gd name="T14" fmla="*/ 14400 w 21600"/>
              <a:gd name="T15" fmla="*/ 7200 h 21600"/>
            </a:gdLst>
            <a:ahLst/>
            <a:cxnLst>
              <a:cxn ang="T8">
                <a:pos x="T0" y="T1"/>
              </a:cxn>
              <a:cxn ang="T9">
                <a:pos x="T2" y="T3"/>
              </a:cxn>
              <a:cxn ang="T10">
                <a:pos x="T4" y="T5"/>
              </a:cxn>
              <a:cxn ang="T11">
                <a:pos x="T6" y="T7"/>
              </a:cxn>
            </a:cxnLst>
            <a:rect l="T12" t="T13" r="T14" b="T15"/>
            <a:pathLst>
              <a:path w="21600" h="21600">
                <a:moveTo>
                  <a:pt x="0" y="0"/>
                </a:moveTo>
                <a:lnTo>
                  <a:pt x="0" y="21600"/>
                </a:lnTo>
                <a:lnTo>
                  <a:pt x="7200" y="14400"/>
                </a:lnTo>
                <a:lnTo>
                  <a:pt x="7200" y="7200"/>
                </a:lnTo>
                <a:lnTo>
                  <a:pt x="14400" y="7200"/>
                </a:lnTo>
                <a:lnTo>
                  <a:pt x="21600" y="0"/>
                </a:lnTo>
                <a:lnTo>
                  <a:pt x="0" y="0"/>
                </a:lnTo>
                <a:close/>
              </a:path>
            </a:pathLst>
          </a:custGeom>
          <a:solidFill>
            <a:srgbClr val="008000"/>
          </a:solidFill>
          <a:ln w="19050">
            <a:solidFill>
              <a:srgbClr val="FFFF00"/>
            </a:solidFill>
            <a:miter lim="800000"/>
            <a:headEnd/>
            <a:tailEnd/>
          </a:ln>
          <a:effectLst>
            <a:outerShdw dist="107763" dir="2700000" algn="ctr" rotWithShape="0">
              <a:srgbClr val="808080"/>
            </a:outerShdw>
          </a:effectLst>
        </xdr:spPr>
      </xdr:sp>
      <xdr:sp macro="" textlink="">
        <xdr:nvSpPr>
          <xdr:cNvPr id="5" name="PubHalfFrame">
            <a:extLst>
              <a:ext uri="{FF2B5EF4-FFF2-40B4-BE49-F238E27FC236}">
                <a16:creationId xmlns:a16="http://schemas.microsoft.com/office/drawing/2014/main" id="{A9C61074-1D42-1721-7D31-7C8D2F3888E3}"/>
              </a:ext>
            </a:extLst>
          </xdr:cNvPr>
          <xdr:cNvSpPr>
            <a:spLocks noEditPoints="1" noChangeArrowheads="1"/>
          </xdr:cNvSpPr>
        </xdr:nvSpPr>
        <xdr:spPr bwMode="auto">
          <a:xfrm rot="5400000" flipH="1">
            <a:off x="4992802" y="8817054"/>
            <a:ext cx="595230" cy="594630"/>
          </a:xfrm>
          <a:custGeom>
            <a:avLst/>
            <a:gdLst>
              <a:gd name="T0" fmla="*/ 2147483646 w 21600"/>
              <a:gd name="T1" fmla="*/ 0 h 21600"/>
              <a:gd name="T2" fmla="*/ 0 w 21600"/>
              <a:gd name="T3" fmla="*/ 2147483646 h 21600"/>
              <a:gd name="T4" fmla="*/ 2147483646 w 21600"/>
              <a:gd name="T5" fmla="*/ 2147483646 h 21600"/>
              <a:gd name="T6" fmla="*/ 2147483646 w 21600"/>
              <a:gd name="T7" fmla="*/ 2147483646 h 21600"/>
              <a:gd name="T8" fmla="*/ 17694720 60000 65536"/>
              <a:gd name="T9" fmla="*/ 11796480 60000 65536"/>
              <a:gd name="T10" fmla="*/ 5898240 60000 65536"/>
              <a:gd name="T11" fmla="*/ 0 60000 65536"/>
              <a:gd name="T12" fmla="*/ 0 w 21600"/>
              <a:gd name="T13" fmla="*/ 0 h 21600"/>
              <a:gd name="T14" fmla="*/ 14400 w 21600"/>
              <a:gd name="T15" fmla="*/ 7200 h 21600"/>
            </a:gdLst>
            <a:ahLst/>
            <a:cxnLst>
              <a:cxn ang="T8">
                <a:pos x="T0" y="T1"/>
              </a:cxn>
              <a:cxn ang="T9">
                <a:pos x="T2" y="T3"/>
              </a:cxn>
              <a:cxn ang="T10">
                <a:pos x="T4" y="T5"/>
              </a:cxn>
              <a:cxn ang="T11">
                <a:pos x="T6" y="T7"/>
              </a:cxn>
            </a:cxnLst>
            <a:rect l="T12" t="T13" r="T14" b="T15"/>
            <a:pathLst>
              <a:path w="21600" h="21600">
                <a:moveTo>
                  <a:pt x="0" y="0"/>
                </a:moveTo>
                <a:lnTo>
                  <a:pt x="0" y="21600"/>
                </a:lnTo>
                <a:lnTo>
                  <a:pt x="7200" y="14400"/>
                </a:lnTo>
                <a:lnTo>
                  <a:pt x="7200" y="7200"/>
                </a:lnTo>
                <a:lnTo>
                  <a:pt x="14400" y="7200"/>
                </a:lnTo>
                <a:lnTo>
                  <a:pt x="21600" y="0"/>
                </a:lnTo>
                <a:lnTo>
                  <a:pt x="0" y="0"/>
                </a:lnTo>
                <a:close/>
              </a:path>
            </a:pathLst>
          </a:custGeom>
          <a:solidFill>
            <a:srgbClr val="008000"/>
          </a:solidFill>
          <a:ln w="19050">
            <a:solidFill>
              <a:srgbClr val="FFFF00"/>
            </a:solidFill>
            <a:miter lim="800000"/>
            <a:headEnd/>
            <a:tailEnd/>
          </a:ln>
          <a:effectLst>
            <a:outerShdw dist="107763" dir="2700000" algn="ctr" rotWithShape="0">
              <a:srgbClr val="808080"/>
            </a:outerShdw>
          </a:effectLst>
        </xdr:spPr>
      </xdr:sp>
      <xdr:sp macro="" textlink="">
        <xdr:nvSpPr>
          <xdr:cNvPr id="6" name="PubHalfFrame">
            <a:extLst>
              <a:ext uri="{FF2B5EF4-FFF2-40B4-BE49-F238E27FC236}">
                <a16:creationId xmlns:a16="http://schemas.microsoft.com/office/drawing/2014/main" id="{367A1720-CDDD-5C17-86A2-BA01F4E12EF4}"/>
              </a:ext>
            </a:extLst>
          </xdr:cNvPr>
          <xdr:cNvSpPr>
            <a:spLocks noEditPoints="1" noChangeArrowheads="1"/>
          </xdr:cNvSpPr>
        </xdr:nvSpPr>
        <xdr:spPr bwMode="auto">
          <a:xfrm rot="-5400000">
            <a:off x="316849" y="8817054"/>
            <a:ext cx="595230" cy="594630"/>
          </a:xfrm>
          <a:custGeom>
            <a:avLst/>
            <a:gdLst>
              <a:gd name="T0" fmla="*/ 2147483646 w 21600"/>
              <a:gd name="T1" fmla="*/ 0 h 21600"/>
              <a:gd name="T2" fmla="*/ 0 w 21600"/>
              <a:gd name="T3" fmla="*/ 2147483646 h 21600"/>
              <a:gd name="T4" fmla="*/ 2147483646 w 21600"/>
              <a:gd name="T5" fmla="*/ 2147483646 h 21600"/>
              <a:gd name="T6" fmla="*/ 2147483646 w 21600"/>
              <a:gd name="T7" fmla="*/ 2147483646 h 21600"/>
              <a:gd name="T8" fmla="*/ 17694720 60000 65536"/>
              <a:gd name="T9" fmla="*/ 11796480 60000 65536"/>
              <a:gd name="T10" fmla="*/ 5898240 60000 65536"/>
              <a:gd name="T11" fmla="*/ 0 60000 65536"/>
              <a:gd name="T12" fmla="*/ 0 w 21600"/>
              <a:gd name="T13" fmla="*/ 0 h 21600"/>
              <a:gd name="T14" fmla="*/ 14400 w 21600"/>
              <a:gd name="T15" fmla="*/ 7200 h 21600"/>
            </a:gdLst>
            <a:ahLst/>
            <a:cxnLst>
              <a:cxn ang="T8">
                <a:pos x="T0" y="T1"/>
              </a:cxn>
              <a:cxn ang="T9">
                <a:pos x="T2" y="T3"/>
              </a:cxn>
              <a:cxn ang="T10">
                <a:pos x="T4" y="T5"/>
              </a:cxn>
              <a:cxn ang="T11">
                <a:pos x="T6" y="T7"/>
              </a:cxn>
            </a:cxnLst>
            <a:rect l="T12" t="T13" r="T14" b="T15"/>
            <a:pathLst>
              <a:path w="21600" h="21600">
                <a:moveTo>
                  <a:pt x="0" y="0"/>
                </a:moveTo>
                <a:lnTo>
                  <a:pt x="0" y="21600"/>
                </a:lnTo>
                <a:lnTo>
                  <a:pt x="7200" y="14400"/>
                </a:lnTo>
                <a:lnTo>
                  <a:pt x="7200" y="7200"/>
                </a:lnTo>
                <a:lnTo>
                  <a:pt x="14400" y="7200"/>
                </a:lnTo>
                <a:lnTo>
                  <a:pt x="21600" y="0"/>
                </a:lnTo>
                <a:lnTo>
                  <a:pt x="0" y="0"/>
                </a:lnTo>
                <a:close/>
              </a:path>
            </a:pathLst>
          </a:custGeom>
          <a:solidFill>
            <a:srgbClr val="008000"/>
          </a:solidFill>
          <a:ln w="19050">
            <a:solidFill>
              <a:srgbClr val="FFFF00"/>
            </a:solidFill>
            <a:miter lim="800000"/>
            <a:headEnd/>
            <a:tailEnd/>
          </a:ln>
          <a:effectLst>
            <a:outerShdw dist="107763" dir="2700000" algn="ctr" rotWithShape="0">
              <a:srgbClr val="808080"/>
            </a:outerShdw>
          </a:effectLst>
        </xdr:spPr>
      </xdr:sp>
      <xdr:sp macro="" textlink="">
        <xdr:nvSpPr>
          <xdr:cNvPr id="7" name="AutoShape 5">
            <a:extLst>
              <a:ext uri="{FF2B5EF4-FFF2-40B4-BE49-F238E27FC236}">
                <a16:creationId xmlns:a16="http://schemas.microsoft.com/office/drawing/2014/main" id="{D3221872-A32D-A6A2-7B2B-41042499570C}"/>
              </a:ext>
            </a:extLst>
          </xdr:cNvPr>
          <xdr:cNvSpPr>
            <a:spLocks noChangeArrowheads="1"/>
          </xdr:cNvSpPr>
        </xdr:nvSpPr>
        <xdr:spPr bwMode="auto">
          <a:xfrm>
            <a:off x="200025" y="190500"/>
            <a:ext cx="5612946" cy="9422946"/>
          </a:xfrm>
          <a:prstGeom prst="roundRect">
            <a:avLst>
              <a:gd name="adj" fmla="val 0"/>
            </a:avLst>
          </a:prstGeom>
          <a:noFill/>
          <a:ln w="44450">
            <a:solidFill>
              <a:srgbClr val="FF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8" name="AutoShape 6">
            <a:extLst>
              <a:ext uri="{FF2B5EF4-FFF2-40B4-BE49-F238E27FC236}">
                <a16:creationId xmlns:a16="http://schemas.microsoft.com/office/drawing/2014/main" id="{210F4CBF-20F7-B83B-499A-1888429C3357}"/>
              </a:ext>
            </a:extLst>
          </xdr:cNvPr>
          <xdr:cNvSpPr>
            <a:spLocks noChangeArrowheads="1"/>
          </xdr:cNvSpPr>
        </xdr:nvSpPr>
        <xdr:spPr bwMode="auto">
          <a:xfrm>
            <a:off x="266700" y="266700"/>
            <a:ext cx="5470071" cy="9270546"/>
          </a:xfrm>
          <a:prstGeom prst="roundRect">
            <a:avLst>
              <a:gd name="adj" fmla="val 0"/>
            </a:avLst>
          </a:prstGeom>
          <a:noFill/>
          <a:ln w="28575">
            <a:solidFill>
              <a:srgbClr val="0000FF"/>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twoCellAnchor editAs="oneCell">
    <xdr:from>
      <xdr:col>5</xdr:col>
      <xdr:colOff>361950</xdr:colOff>
      <xdr:row>4</xdr:row>
      <xdr:rowOff>152400</xdr:rowOff>
    </xdr:from>
    <xdr:to>
      <xdr:col>9</xdr:col>
      <xdr:colOff>104775</xdr:colOff>
      <xdr:row>9</xdr:row>
      <xdr:rowOff>361950</xdr:rowOff>
    </xdr:to>
    <xdr:pic>
      <xdr:nvPicPr>
        <xdr:cNvPr id="9" name="Picture 11" descr="Jai Telangana">
          <a:extLst>
            <a:ext uri="{FF2B5EF4-FFF2-40B4-BE49-F238E27FC236}">
              <a16:creationId xmlns:a16="http://schemas.microsoft.com/office/drawing/2014/main" id="{33B3E4A4-2703-47A6-8A53-6A2F9970C5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714750" y="1466850"/>
          <a:ext cx="2981325" cy="24479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1657350</xdr:colOff>
      <xdr:row>556</xdr:row>
      <xdr:rowOff>57150</xdr:rowOff>
    </xdr:from>
    <xdr:to>
      <xdr:col>7</xdr:col>
      <xdr:colOff>371475</xdr:colOff>
      <xdr:row>558</xdr:row>
      <xdr:rowOff>123825</xdr:rowOff>
    </xdr:to>
    <xdr:sp macro="" textlink="">
      <xdr:nvSpPr>
        <xdr:cNvPr id="2" name="Rectangle 15">
          <a:extLst>
            <a:ext uri="{FF2B5EF4-FFF2-40B4-BE49-F238E27FC236}">
              <a16:creationId xmlns:a16="http://schemas.microsoft.com/office/drawing/2014/main" id="{A4A1B73C-3E21-4ADE-A77E-5BD7D4184149}"/>
            </a:ext>
          </a:extLst>
        </xdr:cNvPr>
        <xdr:cNvSpPr>
          <a:spLocks noChangeArrowheads="1"/>
        </xdr:cNvSpPr>
      </xdr:nvSpPr>
      <xdr:spPr bwMode="auto">
        <a:xfrm>
          <a:off x="1466850" y="5657850"/>
          <a:ext cx="2295525" cy="466725"/>
        </a:xfrm>
        <a:prstGeom prst="rect">
          <a:avLst/>
        </a:prstGeom>
        <a:noFill/>
        <a:ln w="9525">
          <a:noFill/>
          <a:miter lim="800000"/>
          <a:headEnd/>
          <a:tailEnd/>
        </a:ln>
      </xdr:spPr>
      <xdr:txBody>
        <a:bodyPr vertOverflow="clip" wrap="square" lIns="27432" tIns="22860" rIns="27432" bIns="0" anchor="t" upright="1"/>
        <a:lstStyle/>
        <a:p>
          <a:pPr algn="ctr" rtl="1">
            <a:defRPr sz="1000"/>
          </a:pPr>
          <a:endParaRPr lang="en-US" sz="800" b="1" i="0" strike="noStrike">
            <a:solidFill>
              <a:srgbClr val="000000"/>
            </a:solidFill>
            <a:latin typeface="Arial"/>
            <a:cs typeface="Arial"/>
          </a:endParaRPr>
        </a:p>
      </xdr:txBody>
    </xdr:sp>
    <xdr:clientData/>
  </xdr:twoCellAnchor>
  <xdr:twoCellAnchor>
    <xdr:from>
      <xdr:col>0</xdr:col>
      <xdr:colOff>95250</xdr:colOff>
      <xdr:row>556</xdr:row>
      <xdr:rowOff>57150</xdr:rowOff>
    </xdr:from>
    <xdr:to>
      <xdr:col>2</xdr:col>
      <xdr:colOff>1428750</xdr:colOff>
      <xdr:row>558</xdr:row>
      <xdr:rowOff>133350</xdr:rowOff>
    </xdr:to>
    <xdr:sp macro="" textlink="">
      <xdr:nvSpPr>
        <xdr:cNvPr id="3" name="Rectangle 16">
          <a:extLst>
            <a:ext uri="{FF2B5EF4-FFF2-40B4-BE49-F238E27FC236}">
              <a16:creationId xmlns:a16="http://schemas.microsoft.com/office/drawing/2014/main" id="{2AE2C885-A6AD-47AC-A782-DABAA237ADB3}"/>
            </a:ext>
          </a:extLst>
        </xdr:cNvPr>
        <xdr:cNvSpPr>
          <a:spLocks noChangeArrowheads="1"/>
        </xdr:cNvSpPr>
      </xdr:nvSpPr>
      <xdr:spPr bwMode="auto">
        <a:xfrm>
          <a:off x="95250" y="5657850"/>
          <a:ext cx="1371600" cy="476250"/>
        </a:xfrm>
        <a:prstGeom prst="rect">
          <a:avLst/>
        </a:prstGeom>
        <a:noFill/>
        <a:ln w="9525">
          <a:noFill/>
          <a:miter lim="800000"/>
          <a:headEnd/>
          <a:tailEnd/>
        </a:ln>
      </xdr:spPr>
      <xdr:txBody>
        <a:bodyPr vertOverflow="clip" wrap="square" lIns="27432" tIns="22860" rIns="27432" bIns="0" anchor="t" upright="1"/>
        <a:lstStyle/>
        <a:p>
          <a:pPr algn="ctr" rtl="1">
            <a:defRPr sz="1000"/>
          </a:pPr>
          <a:endParaRPr lang="en-US" sz="800" b="1" i="0" strike="noStrike">
            <a:solidFill>
              <a:srgbClr val="000000"/>
            </a:solidFill>
            <a:latin typeface="Arial"/>
            <a:cs typeface="Arial"/>
          </a:endParaRPr>
        </a:p>
      </xdr:txBody>
    </xdr:sp>
    <xdr:clientData/>
  </xdr:twoCellAnchor>
  <xdr:oneCellAnchor>
    <xdr:from>
      <xdr:col>4</xdr:col>
      <xdr:colOff>523875</xdr:colOff>
      <xdr:row>555</xdr:row>
      <xdr:rowOff>190500</xdr:rowOff>
    </xdr:from>
    <xdr:ext cx="2390775" cy="670560"/>
    <xdr:sp macro="" textlink="">
      <xdr:nvSpPr>
        <xdr:cNvPr id="4" name="TextBox 3">
          <a:extLst>
            <a:ext uri="{FF2B5EF4-FFF2-40B4-BE49-F238E27FC236}">
              <a16:creationId xmlns:a16="http://schemas.microsoft.com/office/drawing/2014/main" id="{4C6EB523-F997-4B50-947F-9B522E046E9D}"/>
            </a:ext>
          </a:extLst>
        </xdr:cNvPr>
        <xdr:cNvSpPr txBox="1"/>
      </xdr:nvSpPr>
      <xdr:spPr>
        <a:xfrm>
          <a:off x="4171950" y="105937050"/>
          <a:ext cx="2390775" cy="670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0" i="0">
              <a:solidFill>
                <a:schemeClr val="tx1"/>
              </a:solidFill>
              <a:effectLst/>
              <a:latin typeface="Times New Roman" panose="02020603050405020304" pitchFamily="18" charset="0"/>
              <a:ea typeface="+mn-ea"/>
              <a:cs typeface="Times New Roman" panose="02020603050405020304" pitchFamily="18" charset="0"/>
            </a:rPr>
            <a:t>Executive Engineer</a:t>
          </a:r>
          <a:r>
            <a:rPr lang="en-IN" sz="1200" b="0">
              <a:solidFill>
                <a:schemeClr val="tx1"/>
              </a:solidFill>
              <a:effectLst/>
              <a:latin typeface="Times New Roman" panose="02020603050405020304" pitchFamily="18" charset="0"/>
              <a:ea typeface="+mn-ea"/>
              <a:cs typeface="Times New Roman" panose="02020603050405020304" pitchFamily="18" charset="0"/>
            </a:rPr>
            <a:t> </a:t>
          </a:r>
          <a:endParaRPr lang="en-IN" sz="1200" b="0">
            <a:effectLst/>
            <a:latin typeface="Times New Roman" panose="02020603050405020304" pitchFamily="18" charset="0"/>
            <a:cs typeface="Times New Roman" panose="02020603050405020304" pitchFamily="18" charset="0"/>
          </a:endParaRPr>
        </a:p>
        <a:p>
          <a:pPr algn="ctr"/>
          <a:r>
            <a:rPr lang="en-IN" sz="1200" b="0" i="0">
              <a:solidFill>
                <a:schemeClr val="tx1"/>
              </a:solidFill>
              <a:effectLst/>
              <a:latin typeface="Times New Roman" panose="02020603050405020304" pitchFamily="18" charset="0"/>
              <a:ea typeface="+mn-ea"/>
              <a:cs typeface="Times New Roman" panose="02020603050405020304" pitchFamily="18" charset="0"/>
            </a:rPr>
            <a:t>Irrigation Division </a:t>
          </a:r>
          <a:r>
            <a:rPr lang="en-IN" sz="1100" b="0" i="0">
              <a:solidFill>
                <a:schemeClr val="tx1"/>
              </a:solidFill>
              <a:effectLst/>
              <a:latin typeface="+mn-lt"/>
              <a:ea typeface="+mn-ea"/>
              <a:cs typeface="+mn-cs"/>
            </a:rPr>
            <a:t>No-3</a:t>
          </a:r>
          <a:r>
            <a:rPr lang="en-IN" sz="1200" b="0">
              <a:solidFill>
                <a:schemeClr val="tx1"/>
              </a:solidFill>
              <a:effectLst/>
              <a:latin typeface="Times New Roman" panose="02020603050405020304" pitchFamily="18" charset="0"/>
              <a:ea typeface="+mn-ea"/>
              <a:cs typeface="Times New Roman" panose="02020603050405020304" pitchFamily="18" charset="0"/>
            </a:rPr>
            <a:t> </a:t>
          </a:r>
          <a:r>
            <a:rPr lang="en-IN" sz="1200" b="0" i="0">
              <a:solidFill>
                <a:schemeClr val="tx1"/>
              </a:solidFill>
              <a:effectLst/>
              <a:latin typeface="Times New Roman" panose="02020603050405020304" pitchFamily="18" charset="0"/>
              <a:ea typeface="+mn-ea"/>
              <a:cs typeface="Times New Roman" panose="02020603050405020304" pitchFamily="18" charset="0"/>
            </a:rPr>
            <a:t>Miryalaguda</a:t>
          </a:r>
          <a:r>
            <a:rPr lang="en-IN" sz="1200" b="0">
              <a:solidFill>
                <a:schemeClr val="tx1"/>
              </a:solidFill>
              <a:effectLst/>
              <a:latin typeface="Times New Roman" panose="02020603050405020304" pitchFamily="18" charset="0"/>
              <a:ea typeface="+mn-ea"/>
              <a:cs typeface="Times New Roman" panose="02020603050405020304" pitchFamily="18" charset="0"/>
            </a:rPr>
            <a:t> </a:t>
          </a:r>
          <a:endParaRPr lang="en-IN" sz="1200" b="0">
            <a:effectLst/>
            <a:latin typeface="Times New Roman" panose="02020603050405020304" pitchFamily="18" charset="0"/>
            <a:cs typeface="Times New Roman" panose="02020603050405020304" pitchFamily="18" charset="0"/>
          </a:endParaRPr>
        </a:p>
        <a:p>
          <a:endParaRPr lang="en-IN" sz="1100"/>
        </a:p>
      </xdr:txBody>
    </xdr:sp>
    <xdr:clientData/>
  </xdr:oneCellAnchor>
  <xdr:oneCellAnchor>
    <xdr:from>
      <xdr:col>3</xdr:col>
      <xdr:colOff>752475</xdr:colOff>
      <xdr:row>556</xdr:row>
      <xdr:rowOff>7620</xdr:rowOff>
    </xdr:from>
    <xdr:ext cx="2095500" cy="670560"/>
    <xdr:sp macro="" textlink="">
      <xdr:nvSpPr>
        <xdr:cNvPr id="5" name="TextBox 4">
          <a:extLst>
            <a:ext uri="{FF2B5EF4-FFF2-40B4-BE49-F238E27FC236}">
              <a16:creationId xmlns:a16="http://schemas.microsoft.com/office/drawing/2014/main" id="{887BFEB6-39EC-4199-A93E-BEDCDCA20175}"/>
            </a:ext>
          </a:extLst>
        </xdr:cNvPr>
        <xdr:cNvSpPr txBox="1"/>
      </xdr:nvSpPr>
      <xdr:spPr>
        <a:xfrm>
          <a:off x="2171700" y="105954195"/>
          <a:ext cx="2095500" cy="670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tx1"/>
              </a:solidFill>
              <a:effectLst/>
              <a:latin typeface="Times New Roman" panose="02020603050405020304" pitchFamily="18" charset="0"/>
              <a:ea typeface="+mn-ea"/>
              <a:cs typeface="Times New Roman" panose="02020603050405020304" pitchFamily="18" charset="0"/>
            </a:rPr>
            <a:t>Deputy Executive Engineer</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Irrigation Subdivision No-3</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            Miryalaguda.</a:t>
          </a:r>
          <a:endParaRPr lang="en-IN" sz="1200">
            <a:effectLst/>
            <a:latin typeface="Times New Roman" panose="02020603050405020304" pitchFamily="18" charset="0"/>
            <a:cs typeface="Times New Roman" panose="02020603050405020304" pitchFamily="18" charset="0"/>
          </a:endParaRPr>
        </a:p>
        <a:p>
          <a:endParaRPr lang="en-IN" sz="1100"/>
        </a:p>
      </xdr:txBody>
    </xdr:sp>
    <xdr:clientData/>
  </xdr:oneCellAnchor>
  <xdr:oneCellAnchor>
    <xdr:from>
      <xdr:col>0</xdr:col>
      <xdr:colOff>0</xdr:colOff>
      <xdr:row>556</xdr:row>
      <xdr:rowOff>7620</xdr:rowOff>
    </xdr:from>
    <xdr:ext cx="2444750" cy="731520"/>
    <xdr:sp macro="" textlink="">
      <xdr:nvSpPr>
        <xdr:cNvPr id="6" name="TextBox 5">
          <a:extLst>
            <a:ext uri="{FF2B5EF4-FFF2-40B4-BE49-F238E27FC236}">
              <a16:creationId xmlns:a16="http://schemas.microsoft.com/office/drawing/2014/main" id="{5C0D3026-C6F2-4CDA-8E18-495DAA2E9C71}"/>
            </a:ext>
          </a:extLst>
        </xdr:cNvPr>
        <xdr:cNvSpPr txBox="1"/>
      </xdr:nvSpPr>
      <xdr:spPr>
        <a:xfrm>
          <a:off x="0" y="5608320"/>
          <a:ext cx="2444750" cy="731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0">
              <a:solidFill>
                <a:schemeClr val="tx1"/>
              </a:solidFill>
              <a:latin typeface="Times New Roman" panose="02020603050405020304" pitchFamily="18" charset="0"/>
              <a:ea typeface="+mn-ea"/>
              <a:cs typeface="Times New Roman" panose="02020603050405020304" pitchFamily="18" charset="0"/>
            </a:rPr>
            <a:t>Assistant Executive</a:t>
          </a:r>
          <a:r>
            <a:rPr lang="en-IN" sz="1200" b="0" baseline="0">
              <a:solidFill>
                <a:schemeClr val="tx1"/>
              </a:solidFill>
              <a:latin typeface="Times New Roman" panose="02020603050405020304" pitchFamily="18" charset="0"/>
              <a:ea typeface="+mn-ea"/>
              <a:cs typeface="Times New Roman" panose="02020603050405020304" pitchFamily="18" charset="0"/>
            </a:rPr>
            <a:t> </a:t>
          </a:r>
          <a:r>
            <a:rPr lang="en-IN" sz="1200" b="0">
              <a:solidFill>
                <a:schemeClr val="tx1"/>
              </a:solidFill>
              <a:latin typeface="Times New Roman" panose="02020603050405020304" pitchFamily="18" charset="0"/>
              <a:ea typeface="+mn-ea"/>
              <a:cs typeface="Times New Roman" panose="02020603050405020304" pitchFamily="18" charset="0"/>
            </a:rPr>
            <a:t>Engineer </a:t>
          </a:r>
        </a:p>
        <a:p>
          <a:r>
            <a:rPr lang="en-IN" sz="1200">
              <a:solidFill>
                <a:schemeClr val="tx1"/>
              </a:solidFill>
              <a:effectLst/>
              <a:latin typeface="Times New Roman" panose="02020603050405020304" pitchFamily="18" charset="0"/>
              <a:ea typeface="+mn-ea"/>
              <a:cs typeface="Times New Roman" panose="02020603050405020304" pitchFamily="18" charset="0"/>
            </a:rPr>
            <a:t>Irrigation Subdivision No-3</a:t>
          </a:r>
          <a:endParaRPr lang="en-IN" sz="1200">
            <a:effectLst/>
            <a:latin typeface="Times New Roman" panose="02020603050405020304" pitchFamily="18" charset="0"/>
            <a:cs typeface="Times New Roman" panose="02020603050405020304" pitchFamily="18" charset="0"/>
          </a:endParaRPr>
        </a:p>
        <a:p>
          <a:r>
            <a:rPr lang="en-IN" sz="1200">
              <a:solidFill>
                <a:schemeClr val="tx1"/>
              </a:solidFill>
              <a:effectLst/>
              <a:latin typeface="Times New Roman" panose="02020603050405020304" pitchFamily="18" charset="0"/>
              <a:ea typeface="+mn-ea"/>
              <a:cs typeface="Times New Roman" panose="02020603050405020304" pitchFamily="18" charset="0"/>
            </a:rPr>
            <a:t>            Miryalaguda.</a:t>
          </a:r>
          <a:endParaRPr lang="en-IN" sz="1200">
            <a:effectLst/>
            <a:latin typeface="Times New Roman" panose="02020603050405020304" pitchFamily="18" charset="0"/>
            <a:cs typeface="Times New Roman" panose="02020603050405020304" pitchFamily="18" charset="0"/>
          </a:endParaRPr>
        </a:p>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absoluteAnchor>
    <xdr:pos x="0" y="1057275"/>
    <xdr:ext cx="8334374" cy="7143750"/>
    <xdr:sp macro="" textlink="">
      <xdr:nvSpPr>
        <xdr:cNvPr id="2" name="S2">
          <a:extLst>
            <a:ext uri="{FF2B5EF4-FFF2-40B4-BE49-F238E27FC236}">
              <a16:creationId xmlns:a16="http://schemas.microsoft.com/office/drawing/2014/main" id="{DAE0B1A0-99D7-44B9-BEA2-F28BD76F24AA}"/>
            </a:ext>
          </a:extLst>
        </xdr:cNvPr>
        <xdr:cNvSpPr/>
      </xdr:nvSpPr>
      <xdr:spPr>
        <a:xfrm>
          <a:off x="0" y="1057275"/>
          <a:ext cx="8334374" cy="7143750"/>
        </a:xfrm>
        <a:prstGeom prst="rect">
          <a:avLst/>
        </a:prstGeom>
        <a:noFill/>
        <a:ln w="15875" cap="rnd">
          <a:solidFill>
            <a:srgbClr val="000000"/>
          </a:solidFill>
        </a:ln>
      </xdr:spPr>
    </xdr:sp>
    <xdr:clientData/>
  </xdr:absoluteAnchor>
  <xdr:absoluteAnchor>
    <xdr:pos x="819150" y="1257300"/>
    <xdr:ext cx="209550" cy="419100"/>
    <xdr:sp macro="" textlink="">
      <xdr:nvSpPr>
        <xdr:cNvPr id="4" name="S22">
          <a:extLst>
            <a:ext uri="{FF2B5EF4-FFF2-40B4-BE49-F238E27FC236}">
              <a16:creationId xmlns:a16="http://schemas.microsoft.com/office/drawing/2014/main" id="{C76F8E00-6556-4273-B35E-6F563BC32510}"/>
            </a:ext>
          </a:extLst>
        </xdr:cNvPr>
        <xdr:cNvSpPr/>
      </xdr:nvSpPr>
      <xdr:spPr>
        <a:xfrm>
          <a:off x="819150" y="1257300"/>
          <a:ext cx="209550" cy="419100"/>
        </a:xfrm>
        <a:prstGeom prst="upArrow">
          <a:avLst/>
        </a:prstGeom>
        <a:solidFill>
          <a:srgbClr val="000000"/>
        </a:solidFill>
        <a:ln w="12700" cap="rnd">
          <a:solidFill>
            <a:srgbClr val="000000"/>
          </a:solidFill>
        </a:ln>
      </xdr:spPr>
    </xdr:sp>
    <xdr:clientData/>
  </xdr:absoluteAnchor>
  <xdr:absoluteAnchor>
    <xdr:pos x="3657600" y="2133600"/>
    <xdr:ext cx="230505" cy="5000625"/>
    <xdr:sp macro="" textlink="">
      <xdr:nvSpPr>
        <xdr:cNvPr id="5" name="C3">
          <a:extLst>
            <a:ext uri="{FF2B5EF4-FFF2-40B4-BE49-F238E27FC236}">
              <a16:creationId xmlns:a16="http://schemas.microsoft.com/office/drawing/2014/main" id="{D7637B2A-7AC1-4553-8AA6-447FB5DE8E57}"/>
            </a:ext>
          </a:extLst>
        </xdr:cNvPr>
        <xdr:cNvSpPr/>
      </xdr:nvSpPr>
      <xdr:spPr>
        <a:xfrm>
          <a:off x="3657600" y="2133600"/>
          <a:ext cx="230505" cy="5000625"/>
        </a:xfrm>
        <a:custGeom>
          <a:avLst/>
          <a:gdLst/>
          <a:ahLst/>
          <a:cxnLst/>
          <a:rect l="0" t="0" r="r" b="b"/>
          <a:pathLst>
            <a:path w="209550" h="5000625" fill="none">
              <a:moveTo>
                <a:pt x="0" y="0"/>
              </a:moveTo>
              <a:cubicBezTo>
                <a:pt x="57150" y="1714500"/>
                <a:pt x="133350" y="3238500"/>
                <a:pt x="209550" y="5000625"/>
              </a:cubicBezTo>
            </a:path>
          </a:pathLst>
        </a:custGeom>
        <a:noFill/>
        <a:ln w="177800" cap="rnd">
          <a:solidFill>
            <a:srgbClr val="9DC3E6"/>
          </a:solidFill>
        </a:ln>
      </xdr:spPr>
    </xdr:sp>
    <xdr:clientData/>
  </xdr:absoluteAnchor>
  <xdr:absoluteAnchor>
    <xdr:pos x="3657600" y="2133600"/>
    <xdr:ext cx="219075" cy="4924425"/>
    <xdr:sp macro="" textlink="">
      <xdr:nvSpPr>
        <xdr:cNvPr id="7" name="C4">
          <a:extLst>
            <a:ext uri="{FF2B5EF4-FFF2-40B4-BE49-F238E27FC236}">
              <a16:creationId xmlns:a16="http://schemas.microsoft.com/office/drawing/2014/main" id="{16ACCCCE-80C6-4BD0-BFA1-CDF9BC688217}"/>
            </a:ext>
          </a:extLst>
        </xdr:cNvPr>
        <xdr:cNvSpPr/>
      </xdr:nvSpPr>
      <xdr:spPr>
        <a:xfrm>
          <a:off x="3657600" y="2133600"/>
          <a:ext cx="219075" cy="4924425"/>
        </a:xfrm>
        <a:custGeom>
          <a:avLst/>
          <a:gdLst/>
          <a:ahLst/>
          <a:cxnLst/>
          <a:rect l="0" t="0" r="r" b="b"/>
          <a:pathLst>
            <a:path w="209550" h="5000625" fill="none">
              <a:moveTo>
                <a:pt x="0" y="0"/>
              </a:moveTo>
              <a:cubicBezTo>
                <a:pt x="57150" y="1714500"/>
                <a:pt x="133350" y="3238500"/>
                <a:pt x="209550" y="5000625"/>
              </a:cubicBezTo>
            </a:path>
          </a:pathLst>
        </a:custGeom>
        <a:noFill/>
        <a:ln w="25400" cap="rnd">
          <a:solidFill>
            <a:srgbClr val="2E75B6"/>
          </a:solidFill>
        </a:ln>
      </xdr:spPr>
    </xdr:sp>
    <xdr:clientData/>
  </xdr:absoluteAnchor>
  <xdr:absoluteAnchor>
    <xdr:pos x="3895725" y="2324100"/>
    <xdr:ext cx="457199" cy="2381250"/>
    <xdr:sp macro="" textlink="">
      <xdr:nvSpPr>
        <xdr:cNvPr id="8" name="S5">
          <a:extLst>
            <a:ext uri="{FF2B5EF4-FFF2-40B4-BE49-F238E27FC236}">
              <a16:creationId xmlns:a16="http://schemas.microsoft.com/office/drawing/2014/main" id="{21BD61BF-A537-4CB3-A78B-6BBF784CB5F8}"/>
            </a:ext>
          </a:extLst>
        </xdr:cNvPr>
        <xdr:cNvSpPr txBox="1"/>
      </xdr:nvSpPr>
      <xdr:spPr>
        <a:xfrm rot="21397249">
          <a:off x="3895725" y="2324100"/>
          <a:ext cx="457199" cy="2381250"/>
        </a:xfrm>
        <a:prstGeom prst="rect">
          <a:avLst/>
        </a:prstGeom>
        <a:noFill/>
        <a:ln>
          <a:noFill/>
        </a:ln>
      </xdr:spPr>
      <xdr:txBody>
        <a:bodyPr vert="vert" wrap="square" lIns="36000" tIns="18000" rIns="36000" bIns="18000" anchor="ctr"/>
        <a:lstStyle/>
        <a:p>
          <a:pPr algn="ctr"/>
          <a:r>
            <a:rPr lang="en-US" sz="1100" b="1" i="0">
              <a:solidFill>
                <a:srgbClr val="2E75B6"/>
              </a:solidFill>
              <a:latin typeface="Times New Roman"/>
              <a:cs typeface="Times New Roman"/>
            </a:rPr>
            <a:t>MULAKALKALVA MAJOR</a:t>
          </a:r>
        </a:p>
      </xdr:txBody>
    </xdr:sp>
    <xdr:clientData/>
  </xdr:absoluteAnchor>
  <xdr:absoluteAnchor>
    <xdr:pos x="3352800" y="1533526"/>
    <xdr:ext cx="3219450" cy="4943474"/>
    <xdr:sp macro="" textlink="">
      <xdr:nvSpPr>
        <xdr:cNvPr id="9" name="P6">
          <a:extLst>
            <a:ext uri="{FF2B5EF4-FFF2-40B4-BE49-F238E27FC236}">
              <a16:creationId xmlns:a16="http://schemas.microsoft.com/office/drawing/2014/main" id="{4C57C325-7264-496D-9FB7-83061F9F69FC}"/>
            </a:ext>
          </a:extLst>
        </xdr:cNvPr>
        <xdr:cNvSpPr/>
      </xdr:nvSpPr>
      <xdr:spPr>
        <a:xfrm>
          <a:off x="3352800" y="1533526"/>
          <a:ext cx="3219450" cy="4943474"/>
        </a:xfrm>
        <a:custGeom>
          <a:avLst/>
          <a:gdLst/>
          <a:ahLst/>
          <a:cxnLst/>
          <a:rect l="0" t="0" r="r" b="b"/>
          <a:pathLst>
            <a:path w="3524250" h="4810125" fill="none">
              <a:moveTo>
                <a:pt x="3524250" y="0"/>
              </a:moveTo>
              <a:lnTo>
                <a:pt x="2524125" y="95250"/>
              </a:lnTo>
              <a:lnTo>
                <a:pt x="2381250" y="571500"/>
              </a:lnTo>
              <a:lnTo>
                <a:pt x="2095500" y="1714500"/>
              </a:lnTo>
              <a:lnTo>
                <a:pt x="1333500" y="3333750"/>
              </a:lnTo>
              <a:lnTo>
                <a:pt x="762000" y="3905250"/>
              </a:lnTo>
              <a:lnTo>
                <a:pt x="47625" y="4019550"/>
              </a:lnTo>
              <a:lnTo>
                <a:pt x="0" y="4572000"/>
              </a:lnTo>
              <a:lnTo>
                <a:pt x="266700" y="4810125"/>
              </a:lnTo>
            </a:path>
          </a:pathLst>
        </a:custGeom>
        <a:noFill/>
        <a:ln w="76200" cap="rnd">
          <a:solidFill>
            <a:srgbClr val="808080"/>
          </a:solidFill>
          <a:round/>
        </a:ln>
      </xdr:spPr>
    </xdr:sp>
    <xdr:clientData/>
  </xdr:absoluteAnchor>
  <xdr:absoluteAnchor>
    <xdr:pos x="4467225" y="4905376"/>
    <xdr:ext cx="152400" cy="152400"/>
    <xdr:sp macro="" textlink="">
      <xdr:nvSpPr>
        <xdr:cNvPr id="10" name="S9">
          <a:extLst>
            <a:ext uri="{FF2B5EF4-FFF2-40B4-BE49-F238E27FC236}">
              <a16:creationId xmlns:a16="http://schemas.microsoft.com/office/drawing/2014/main" id="{0052676D-9A2A-485F-A2BB-B7DA88BADBB6}"/>
            </a:ext>
          </a:extLst>
        </xdr:cNvPr>
        <xdr:cNvSpPr/>
      </xdr:nvSpPr>
      <xdr:spPr>
        <a:xfrm>
          <a:off x="4467225" y="4905376"/>
          <a:ext cx="152400" cy="152400"/>
        </a:xfrm>
        <a:prstGeom prst="ellipse">
          <a:avLst/>
        </a:prstGeom>
        <a:solidFill>
          <a:srgbClr val="FFFFFF"/>
        </a:solidFill>
        <a:ln w="25400" cap="rnd">
          <a:solidFill>
            <a:srgbClr val="000000"/>
          </a:solidFill>
        </a:ln>
      </xdr:spPr>
    </xdr:sp>
    <xdr:clientData/>
  </xdr:absoluteAnchor>
  <xdr:absoluteAnchor>
    <xdr:pos x="4876800" y="4800600"/>
    <xdr:ext cx="1333500" cy="228600"/>
    <xdr:sp macro="" textlink="">
      <xdr:nvSpPr>
        <xdr:cNvPr id="11" name="S13">
          <a:extLst>
            <a:ext uri="{FF2B5EF4-FFF2-40B4-BE49-F238E27FC236}">
              <a16:creationId xmlns:a16="http://schemas.microsoft.com/office/drawing/2014/main" id="{7339B895-3125-41DC-B89A-531CE9A81268}"/>
            </a:ext>
          </a:extLst>
        </xdr:cNvPr>
        <xdr:cNvSpPr txBox="1"/>
      </xdr:nvSpPr>
      <xdr:spPr>
        <a:xfrm>
          <a:off x="4876800" y="4800600"/>
          <a:ext cx="1333500" cy="228600"/>
        </a:xfrm>
        <a:prstGeom prst="rect">
          <a:avLst/>
        </a:prstGeom>
        <a:noFill/>
        <a:ln>
          <a:noFill/>
        </a:ln>
      </xdr:spPr>
      <xdr:txBody>
        <a:bodyPr wrap="square" lIns="36000" tIns="18000" rIns="36000" bIns="18000" anchor="ctr"/>
        <a:lstStyle/>
        <a:p>
          <a:pPr algn="l"/>
          <a:r>
            <a:rPr lang="en-US" sz="1100" b="1" i="0">
              <a:solidFill>
                <a:srgbClr val="000000"/>
              </a:solidFill>
              <a:latin typeface="Times New Roman"/>
              <a:cs typeface="Times New Roman"/>
            </a:rPr>
            <a:t>Utlapally</a:t>
          </a:r>
        </a:p>
      </xdr:txBody>
    </xdr:sp>
    <xdr:clientData/>
  </xdr:absoluteAnchor>
  <xdr:absoluteAnchor>
    <xdr:pos x="5162550" y="3219451"/>
    <xdr:ext cx="152400" cy="152400"/>
    <xdr:sp macro="" textlink="">
      <xdr:nvSpPr>
        <xdr:cNvPr id="12" name="S8">
          <a:extLst>
            <a:ext uri="{FF2B5EF4-FFF2-40B4-BE49-F238E27FC236}">
              <a16:creationId xmlns:a16="http://schemas.microsoft.com/office/drawing/2014/main" id="{AF13BB9A-6C07-4034-A8A5-FE21BDE7E40B}"/>
            </a:ext>
          </a:extLst>
        </xdr:cNvPr>
        <xdr:cNvSpPr/>
      </xdr:nvSpPr>
      <xdr:spPr>
        <a:xfrm>
          <a:off x="5162550" y="3219451"/>
          <a:ext cx="152400" cy="152400"/>
        </a:xfrm>
        <a:prstGeom prst="ellipse">
          <a:avLst/>
        </a:prstGeom>
        <a:solidFill>
          <a:srgbClr val="FFFFFF"/>
        </a:solidFill>
        <a:ln w="25400" cap="rnd">
          <a:solidFill>
            <a:srgbClr val="000000"/>
          </a:solidFill>
        </a:ln>
      </xdr:spPr>
    </xdr:sp>
    <xdr:clientData/>
  </xdr:absoluteAnchor>
  <xdr:absoluteAnchor>
    <xdr:pos x="5486400" y="3276600"/>
    <xdr:ext cx="1333500" cy="228600"/>
    <xdr:sp macro="" textlink="">
      <xdr:nvSpPr>
        <xdr:cNvPr id="13" name="S12">
          <a:extLst>
            <a:ext uri="{FF2B5EF4-FFF2-40B4-BE49-F238E27FC236}">
              <a16:creationId xmlns:a16="http://schemas.microsoft.com/office/drawing/2014/main" id="{069191B1-511C-4F42-BD04-E302D8AF44B7}"/>
            </a:ext>
          </a:extLst>
        </xdr:cNvPr>
        <xdr:cNvSpPr txBox="1"/>
      </xdr:nvSpPr>
      <xdr:spPr>
        <a:xfrm>
          <a:off x="5486400" y="3276600"/>
          <a:ext cx="1333500" cy="228600"/>
        </a:xfrm>
        <a:prstGeom prst="rect">
          <a:avLst/>
        </a:prstGeom>
        <a:noFill/>
        <a:ln>
          <a:noFill/>
        </a:ln>
      </xdr:spPr>
      <xdr:txBody>
        <a:bodyPr wrap="square" lIns="36000" tIns="18000" rIns="36000" bIns="18000" anchor="ctr"/>
        <a:lstStyle/>
        <a:p>
          <a:pPr algn="l"/>
          <a:r>
            <a:rPr lang="en-US" sz="1100" b="1" i="0">
              <a:solidFill>
                <a:srgbClr val="000000"/>
              </a:solidFill>
              <a:latin typeface="Times New Roman"/>
              <a:cs typeface="Times New Roman"/>
            </a:rPr>
            <a:t>Thadakamalla</a:t>
          </a:r>
        </a:p>
      </xdr:txBody>
    </xdr:sp>
    <xdr:clientData/>
  </xdr:absoluteAnchor>
  <xdr:absoluteAnchor>
    <xdr:pos x="6705600" y="1371600"/>
    <xdr:ext cx="723900" cy="342900"/>
    <xdr:sp macro="" textlink="">
      <xdr:nvSpPr>
        <xdr:cNvPr id="14" name="S15">
          <a:extLst>
            <a:ext uri="{FF2B5EF4-FFF2-40B4-BE49-F238E27FC236}">
              <a16:creationId xmlns:a16="http://schemas.microsoft.com/office/drawing/2014/main" id="{94C1BBFA-0626-47F1-84F2-AC4209D8FD17}"/>
            </a:ext>
          </a:extLst>
        </xdr:cNvPr>
        <xdr:cNvSpPr/>
      </xdr:nvSpPr>
      <xdr:spPr>
        <a:xfrm>
          <a:off x="6705600" y="1371600"/>
          <a:ext cx="723900" cy="342900"/>
        </a:xfrm>
        <a:prstGeom prst="ellipse">
          <a:avLst/>
        </a:prstGeom>
        <a:solidFill>
          <a:srgbClr val="FFE699"/>
        </a:solidFill>
        <a:ln w="15875" cap="rnd">
          <a:solidFill>
            <a:srgbClr val="BF9000"/>
          </a:solidFill>
        </a:ln>
      </xdr:spPr>
      <xdr:txBody>
        <a:bodyPr wrap="square" lIns="36000" tIns="18000" rIns="36000" bIns="18000" anchor="ctr"/>
        <a:lstStyle/>
        <a:p>
          <a:pPr algn="ctr"/>
          <a:r>
            <a:rPr lang="en-US" sz="900" b="1" i="0">
              <a:solidFill>
                <a:srgbClr val="000000"/>
              </a:solidFill>
              <a:latin typeface="Times New Roman"/>
              <a:cs typeface="Times New Roman"/>
            </a:rPr>
            <a:t>SAND</a:t>
          </a:r>
        </a:p>
      </xdr:txBody>
    </xdr:sp>
    <xdr:clientData/>
  </xdr:absoluteAnchor>
  <xdr:absoluteAnchor>
    <xdr:pos x="6705600" y="1943100"/>
    <xdr:ext cx="1333500" cy="342900"/>
    <xdr:sp macro="" textlink="">
      <xdr:nvSpPr>
        <xdr:cNvPr id="15" name="S16">
          <a:extLst>
            <a:ext uri="{FF2B5EF4-FFF2-40B4-BE49-F238E27FC236}">
              <a16:creationId xmlns:a16="http://schemas.microsoft.com/office/drawing/2014/main" id="{0DF0C994-EAF4-46BD-B194-614FD0FD9C85}"/>
            </a:ext>
          </a:extLst>
        </xdr:cNvPr>
        <xdr:cNvSpPr txBox="1"/>
      </xdr:nvSpPr>
      <xdr:spPr>
        <a:xfrm>
          <a:off x="6705600" y="1943100"/>
          <a:ext cx="1333500" cy="342900"/>
        </a:xfrm>
        <a:prstGeom prst="rect">
          <a:avLst/>
        </a:prstGeom>
        <a:noFill/>
        <a:ln>
          <a:noFill/>
        </a:ln>
      </xdr:spPr>
      <xdr:txBody>
        <a:bodyPr wrap="square" lIns="36000" tIns="18000" rIns="36000" bIns="18000" anchor="ctr"/>
        <a:lstStyle/>
        <a:p>
          <a:pPr algn="ctr"/>
          <a:r>
            <a:rPr lang="en-US" sz="1100" b="1" i="0">
              <a:solidFill>
                <a:srgbClr val="000000"/>
              </a:solidFill>
              <a:latin typeface="Times New Roman"/>
              <a:cs typeface="Times New Roman"/>
            </a:rPr>
            <a:t>Ravulapenta</a:t>
          </a:r>
        </a:p>
        <a:p>
          <a:pPr algn="ctr"/>
          <a:r>
            <a:rPr lang="en-US" sz="1100" b="1" i="0">
              <a:solidFill>
                <a:srgbClr val="000000"/>
              </a:solidFill>
              <a:latin typeface="Times New Roman"/>
              <a:cs typeface="Times New Roman"/>
            </a:rPr>
            <a:t>(Sand)</a:t>
          </a:r>
        </a:p>
      </xdr:txBody>
    </xdr:sp>
    <xdr:clientData/>
  </xdr:absoluteAnchor>
  <xdr:absoluteAnchor>
    <xdr:pos x="3476625" y="6372225"/>
    <xdr:ext cx="419100" cy="400050"/>
    <xdr:sp macro="" textlink="">
      <xdr:nvSpPr>
        <xdr:cNvPr id="16" name="S19">
          <a:extLst>
            <a:ext uri="{FF2B5EF4-FFF2-40B4-BE49-F238E27FC236}">
              <a16:creationId xmlns:a16="http://schemas.microsoft.com/office/drawing/2014/main" id="{DA2BA28C-B579-4D6B-B4D9-AD8462D1D0E5}"/>
            </a:ext>
          </a:extLst>
        </xdr:cNvPr>
        <xdr:cNvSpPr/>
      </xdr:nvSpPr>
      <xdr:spPr>
        <a:xfrm>
          <a:off x="3476625" y="6372225"/>
          <a:ext cx="419100" cy="400050"/>
        </a:xfrm>
        <a:prstGeom prst="star5">
          <a:avLst/>
        </a:prstGeom>
        <a:solidFill>
          <a:srgbClr val="FF0000"/>
        </a:solidFill>
        <a:ln w="12700" cap="rnd">
          <a:solidFill>
            <a:srgbClr val="C00000"/>
          </a:solidFill>
        </a:ln>
      </xdr:spPr>
    </xdr:sp>
    <xdr:clientData/>
  </xdr:absoluteAnchor>
  <xdr:absoluteAnchor>
    <xdr:pos x="1219200" y="6324600"/>
    <xdr:ext cx="2095500" cy="800100"/>
    <xdr:sp macro="" textlink="">
      <xdr:nvSpPr>
        <xdr:cNvPr id="17" name="S20">
          <a:extLst>
            <a:ext uri="{FF2B5EF4-FFF2-40B4-BE49-F238E27FC236}">
              <a16:creationId xmlns:a16="http://schemas.microsoft.com/office/drawing/2014/main" id="{A8F38A11-27CE-4AB6-A519-79A81C4A69CC}"/>
            </a:ext>
          </a:extLst>
        </xdr:cNvPr>
        <xdr:cNvSpPr/>
      </xdr:nvSpPr>
      <xdr:spPr>
        <a:xfrm>
          <a:off x="1219200" y="6324600"/>
          <a:ext cx="2095500" cy="800100"/>
        </a:xfrm>
        <a:prstGeom prst="rect">
          <a:avLst/>
        </a:prstGeom>
        <a:solidFill>
          <a:srgbClr val="FFF2F2"/>
        </a:solidFill>
        <a:ln w="15875" cap="rnd">
          <a:solidFill>
            <a:srgbClr val="C00000"/>
          </a:solidFill>
        </a:ln>
      </xdr:spPr>
      <xdr:txBody>
        <a:bodyPr wrap="square" lIns="36000" tIns="18000" rIns="36000" bIns="18000" anchor="ctr"/>
        <a:lstStyle/>
        <a:p>
          <a:pPr algn="ctr"/>
          <a:r>
            <a:rPr lang="en-US" sz="1000" b="1" i="0">
              <a:solidFill>
                <a:srgbClr val="C00000"/>
              </a:solidFill>
              <a:latin typeface="Times New Roman"/>
              <a:cs typeface="Times New Roman"/>
            </a:rPr>
            <a:t>PROPOSED SITE</a:t>
          </a:r>
        </a:p>
        <a:p>
          <a:pPr algn="ctr"/>
          <a:r>
            <a:rPr lang="en-US" sz="1000" b="1" i="0">
              <a:solidFill>
                <a:srgbClr val="C00000"/>
              </a:solidFill>
              <a:latin typeface="Times New Roman"/>
              <a:cs typeface="Times New Roman"/>
            </a:rPr>
            <a:t>S.L.R.B. at Km 5.506 on</a:t>
          </a:r>
        </a:p>
        <a:p>
          <a:pPr algn="ctr"/>
          <a:r>
            <a:rPr lang="en-US" sz="1000" b="1" i="0">
              <a:solidFill>
                <a:srgbClr val="C00000"/>
              </a:solidFill>
              <a:latin typeface="Times New Roman"/>
              <a:cs typeface="Times New Roman"/>
            </a:rPr>
            <a:t>Mulakalkalva Major near</a:t>
          </a:r>
        </a:p>
        <a:p>
          <a:pPr algn="ctr"/>
          <a:r>
            <a:rPr lang="en-US" sz="1000" b="1" i="0">
              <a:solidFill>
                <a:srgbClr val="C00000"/>
              </a:solidFill>
              <a:latin typeface="Times New Roman"/>
              <a:cs typeface="Times New Roman"/>
            </a:rPr>
            <a:t>L-8 Minor, Yadgarpalli (V)</a:t>
          </a:r>
        </a:p>
      </xdr:txBody>
    </xdr:sp>
    <xdr:clientData/>
  </xdr:absoluteAnchor>
  <xdr:absoluteAnchor>
    <xdr:pos x="3048000" y="6515100"/>
    <xdr:ext cx="752475" cy="247650"/>
    <xdr:cxnSp macro="">
      <xdr:nvCxnSpPr>
        <xdr:cNvPr id="19" name="L21">
          <a:extLst>
            <a:ext uri="{FF2B5EF4-FFF2-40B4-BE49-F238E27FC236}">
              <a16:creationId xmlns:a16="http://schemas.microsoft.com/office/drawing/2014/main" id="{A6DA9A6C-DD84-4927-BEEC-54D1EAAB1305}"/>
            </a:ext>
          </a:extLst>
        </xdr:cNvPr>
        <xdr:cNvCxnSpPr/>
      </xdr:nvCxnSpPr>
      <xdr:spPr>
        <a:xfrm>
          <a:off x="3048000" y="6515100"/>
          <a:ext cx="752475" cy="247650"/>
        </a:xfrm>
        <a:prstGeom prst="line">
          <a:avLst/>
        </a:prstGeom>
        <a:ln w="12700" cap="rnd">
          <a:solidFill>
            <a:srgbClr val="C00000"/>
          </a:solidFill>
          <a:prstDash val="dash"/>
        </a:ln>
      </xdr:spPr>
    </xdr:cxnSp>
    <xdr:clientData/>
  </xdr:absoluteAnchor>
  <xdr:absoluteAnchor>
    <xdr:pos x="1819275" y="6705600"/>
    <xdr:ext cx="5143500" cy="1390650"/>
    <xdr:sp macro="" textlink="">
      <xdr:nvSpPr>
        <xdr:cNvPr id="20" name="P7">
          <a:extLst>
            <a:ext uri="{FF2B5EF4-FFF2-40B4-BE49-F238E27FC236}">
              <a16:creationId xmlns:a16="http://schemas.microsoft.com/office/drawing/2014/main" id="{7ABBF86C-43F1-4FD3-8F7A-66F8E65C5698}"/>
            </a:ext>
          </a:extLst>
        </xdr:cNvPr>
        <xdr:cNvSpPr/>
      </xdr:nvSpPr>
      <xdr:spPr>
        <a:xfrm>
          <a:off x="1819275" y="6705600"/>
          <a:ext cx="5143500" cy="1390650"/>
        </a:xfrm>
        <a:custGeom>
          <a:avLst/>
          <a:gdLst/>
          <a:ahLst/>
          <a:cxnLst/>
          <a:rect l="0" t="0" r="r" b="b"/>
          <a:pathLst>
            <a:path w="5143500" h="1390650" fill="none">
              <a:moveTo>
                <a:pt x="1714500" y="0"/>
              </a:moveTo>
              <a:lnTo>
                <a:pt x="0" y="1219200"/>
              </a:lnTo>
              <a:lnTo>
                <a:pt x="2952750" y="1333500"/>
              </a:lnTo>
              <a:lnTo>
                <a:pt x="5143500" y="1390650"/>
              </a:lnTo>
            </a:path>
          </a:pathLst>
        </a:custGeom>
        <a:noFill/>
        <a:ln w="76200" cap="rnd">
          <a:solidFill>
            <a:srgbClr val="808080"/>
          </a:solidFill>
          <a:round/>
        </a:ln>
      </xdr:spPr>
    </xdr:sp>
    <xdr:clientData/>
  </xdr:absoluteAnchor>
  <xdr:absoluteAnchor>
    <xdr:pos x="6934200" y="7686675"/>
    <xdr:ext cx="419100" cy="381000"/>
    <xdr:sp macro="" textlink="">
      <xdr:nvSpPr>
        <xdr:cNvPr id="21" name="S17">
          <a:extLst>
            <a:ext uri="{FF2B5EF4-FFF2-40B4-BE49-F238E27FC236}">
              <a16:creationId xmlns:a16="http://schemas.microsoft.com/office/drawing/2014/main" id="{A8598DB1-10E6-444E-B647-9A51485B2FAE}"/>
            </a:ext>
          </a:extLst>
        </xdr:cNvPr>
        <xdr:cNvSpPr/>
      </xdr:nvSpPr>
      <xdr:spPr>
        <a:xfrm>
          <a:off x="6934200" y="7686675"/>
          <a:ext cx="419100" cy="381000"/>
        </a:xfrm>
        <a:prstGeom prst="triangle">
          <a:avLst/>
        </a:prstGeom>
        <a:solidFill>
          <a:srgbClr val="C55A11"/>
        </a:solidFill>
        <a:ln w="12700" cap="rnd">
          <a:solidFill>
            <a:srgbClr val="843C0C"/>
          </a:solidFill>
        </a:ln>
      </xdr:spPr>
    </xdr:sp>
    <xdr:clientData/>
  </xdr:absoluteAnchor>
  <xdr:absoluteAnchor>
    <xdr:pos x="4924425" y="7981950"/>
    <xdr:ext cx="314324" cy="133350"/>
    <xdr:sp macro="" textlink="">
      <xdr:nvSpPr>
        <xdr:cNvPr id="23" name="S10">
          <a:extLst>
            <a:ext uri="{FF2B5EF4-FFF2-40B4-BE49-F238E27FC236}">
              <a16:creationId xmlns:a16="http://schemas.microsoft.com/office/drawing/2014/main" id="{E6FE7001-47EB-4E59-90F0-2F1F1122B294}"/>
            </a:ext>
          </a:extLst>
        </xdr:cNvPr>
        <xdr:cNvSpPr/>
      </xdr:nvSpPr>
      <xdr:spPr>
        <a:xfrm>
          <a:off x="4924425" y="7981950"/>
          <a:ext cx="314324" cy="133350"/>
        </a:xfrm>
        <a:prstGeom prst="ellipse">
          <a:avLst/>
        </a:prstGeom>
        <a:solidFill>
          <a:srgbClr val="FFFFFF"/>
        </a:solidFill>
        <a:ln w="25400" cap="rnd">
          <a:solidFill>
            <a:srgbClr val="000000"/>
          </a:solidFill>
        </a:ln>
      </xdr:spPr>
    </xdr:sp>
    <xdr:clientData/>
  </xdr:absoluteAnchor>
  <xdr:absoluteAnchor>
    <xdr:pos x="4267200" y="7467600"/>
    <xdr:ext cx="1333500" cy="228600"/>
    <xdr:sp macro="" textlink="">
      <xdr:nvSpPr>
        <xdr:cNvPr id="24" name="S14">
          <a:extLst>
            <a:ext uri="{FF2B5EF4-FFF2-40B4-BE49-F238E27FC236}">
              <a16:creationId xmlns:a16="http://schemas.microsoft.com/office/drawing/2014/main" id="{E66B6F08-52F5-4AC8-A2EE-F40F9DA389F4}"/>
            </a:ext>
          </a:extLst>
        </xdr:cNvPr>
        <xdr:cNvSpPr txBox="1"/>
      </xdr:nvSpPr>
      <xdr:spPr>
        <a:xfrm>
          <a:off x="4267200" y="7467600"/>
          <a:ext cx="1333500" cy="228600"/>
        </a:xfrm>
        <a:prstGeom prst="rect">
          <a:avLst/>
        </a:prstGeom>
        <a:noFill/>
        <a:ln>
          <a:noFill/>
        </a:ln>
      </xdr:spPr>
      <xdr:txBody>
        <a:bodyPr wrap="square" lIns="36000" tIns="18000" rIns="36000" bIns="18000" anchor="ctr"/>
        <a:lstStyle/>
        <a:p>
          <a:pPr algn="ctr"/>
          <a:r>
            <a:rPr lang="en-US" sz="1100" b="1" i="0">
              <a:solidFill>
                <a:srgbClr val="000000"/>
              </a:solidFill>
              <a:latin typeface="Times New Roman"/>
              <a:cs typeface="Times New Roman"/>
            </a:rPr>
            <a:t>Neredcherla</a:t>
          </a:r>
        </a:p>
      </xdr:txBody>
    </xdr:sp>
    <xdr:clientData/>
  </xdr:absoluteAnchor>
  <xdr:absoluteAnchor>
    <xdr:pos x="6705600" y="6858000"/>
    <xdr:ext cx="1543050" cy="685800"/>
    <xdr:sp macro="" textlink="">
      <xdr:nvSpPr>
        <xdr:cNvPr id="25" name="S18">
          <a:extLst>
            <a:ext uri="{FF2B5EF4-FFF2-40B4-BE49-F238E27FC236}">
              <a16:creationId xmlns:a16="http://schemas.microsoft.com/office/drawing/2014/main" id="{902BD4BD-2BD2-472D-B8FD-DD712694E40E}"/>
            </a:ext>
          </a:extLst>
        </xdr:cNvPr>
        <xdr:cNvSpPr txBox="1"/>
      </xdr:nvSpPr>
      <xdr:spPr>
        <a:xfrm rot="10800000" flipV="1">
          <a:off x="6705600" y="6858000"/>
          <a:ext cx="1543050" cy="685800"/>
        </a:xfrm>
        <a:prstGeom prst="rect">
          <a:avLst/>
        </a:prstGeom>
        <a:noFill/>
        <a:ln>
          <a:noFill/>
        </a:ln>
      </xdr:spPr>
      <xdr:txBody>
        <a:bodyPr wrap="square" lIns="36000" tIns="18000" rIns="36000" bIns="18000" anchor="ctr"/>
        <a:lstStyle/>
        <a:p>
          <a:pPr algn="ctr"/>
          <a:r>
            <a:rPr lang="en-US" sz="1100" b="1" i="0">
              <a:solidFill>
                <a:srgbClr val="000000"/>
              </a:solidFill>
              <a:latin typeface="Times New Roman"/>
              <a:cs typeface="Times New Roman"/>
            </a:rPr>
            <a:t>Appanapeta Metal Quarry</a:t>
          </a:r>
        </a:p>
        <a:p>
          <a:pPr algn="ctr"/>
          <a:r>
            <a:rPr lang="en-US" sz="1100" b="1" i="0">
              <a:solidFill>
                <a:srgbClr val="000000"/>
              </a:solidFill>
              <a:latin typeface="Times New Roman"/>
              <a:cs typeface="Times New Roman"/>
            </a:rPr>
            <a:t>(Metal &amp; M-Sand)</a:t>
          </a:r>
        </a:p>
      </xdr:txBody>
    </xdr:sp>
    <xdr:clientData/>
  </xdr:absoluteAnchor>
  <xdr:absoluteAnchor>
    <xdr:pos x="0" y="3467100"/>
    <xdr:ext cx="1809750" cy="1123950"/>
    <xdr:sp macro="" textlink="">
      <xdr:nvSpPr>
        <xdr:cNvPr id="26" name="S25">
          <a:extLst>
            <a:ext uri="{FF2B5EF4-FFF2-40B4-BE49-F238E27FC236}">
              <a16:creationId xmlns:a16="http://schemas.microsoft.com/office/drawing/2014/main" id="{F0EB7488-0E56-45AA-982C-55285099EABB}"/>
            </a:ext>
          </a:extLst>
        </xdr:cNvPr>
        <xdr:cNvSpPr/>
      </xdr:nvSpPr>
      <xdr:spPr>
        <a:xfrm>
          <a:off x="0" y="3467100"/>
          <a:ext cx="1809750" cy="1123950"/>
        </a:xfrm>
        <a:prstGeom prst="rect">
          <a:avLst/>
        </a:prstGeom>
        <a:solidFill>
          <a:srgbClr val="FFFFFF"/>
        </a:solidFill>
        <a:ln w="9525" cap="rnd">
          <a:solidFill>
            <a:srgbClr val="7F7F7F"/>
          </a:solidFill>
        </a:ln>
      </xdr:spPr>
    </xdr:sp>
    <xdr:clientData/>
  </xdr:absoluteAnchor>
  <xdr:absoluteAnchor>
    <xdr:pos x="0" y="3467100"/>
    <xdr:ext cx="1809750" cy="171450"/>
    <xdr:sp macro="" textlink="">
      <xdr:nvSpPr>
        <xdr:cNvPr id="27" name="S26">
          <a:extLst>
            <a:ext uri="{FF2B5EF4-FFF2-40B4-BE49-F238E27FC236}">
              <a16:creationId xmlns:a16="http://schemas.microsoft.com/office/drawing/2014/main" id="{14ADCA43-41E4-4A1F-A9E2-7D5B7D56D49D}"/>
            </a:ext>
          </a:extLst>
        </xdr:cNvPr>
        <xdr:cNvSpPr txBox="1"/>
      </xdr:nvSpPr>
      <xdr:spPr>
        <a:xfrm>
          <a:off x="0" y="3467100"/>
          <a:ext cx="1809750" cy="171450"/>
        </a:xfrm>
        <a:prstGeom prst="rect">
          <a:avLst/>
        </a:prstGeom>
        <a:noFill/>
        <a:ln>
          <a:noFill/>
        </a:ln>
      </xdr:spPr>
      <xdr:txBody>
        <a:bodyPr wrap="square" lIns="36000" tIns="18000" rIns="36000" bIns="18000" anchor="ctr"/>
        <a:lstStyle/>
        <a:p>
          <a:pPr algn="ctr"/>
          <a:r>
            <a:rPr lang="en-US" sz="1000" b="1" i="0">
              <a:solidFill>
                <a:srgbClr val="000000"/>
              </a:solidFill>
              <a:latin typeface="Times New Roman"/>
              <a:cs typeface="Times New Roman"/>
            </a:rPr>
            <a:t>LEGEND</a:t>
          </a:r>
        </a:p>
      </xdr:txBody>
    </xdr:sp>
    <xdr:clientData/>
  </xdr:absoluteAnchor>
  <xdr:absoluteAnchor>
    <xdr:pos x="180975" y="3781425"/>
    <xdr:ext cx="361950" cy="95"/>
    <xdr:cxnSp macro="">
      <xdr:nvCxnSpPr>
        <xdr:cNvPr id="28" name="L27">
          <a:extLst>
            <a:ext uri="{FF2B5EF4-FFF2-40B4-BE49-F238E27FC236}">
              <a16:creationId xmlns:a16="http://schemas.microsoft.com/office/drawing/2014/main" id="{3D2F324D-AF3D-41E8-B795-BD0D029D1ED3}"/>
            </a:ext>
          </a:extLst>
        </xdr:cNvPr>
        <xdr:cNvCxnSpPr/>
      </xdr:nvCxnSpPr>
      <xdr:spPr>
        <a:xfrm>
          <a:off x="180975" y="3781425"/>
          <a:ext cx="361950" cy="95"/>
        </a:xfrm>
        <a:prstGeom prst="line">
          <a:avLst/>
        </a:prstGeom>
        <a:ln w="63500" cap="rnd">
          <a:solidFill>
            <a:srgbClr val="808080"/>
          </a:solidFill>
        </a:ln>
      </xdr:spPr>
    </xdr:cxnSp>
    <xdr:clientData/>
  </xdr:absoluteAnchor>
  <xdr:absoluteAnchor>
    <xdr:pos x="647700" y="3724274"/>
    <xdr:ext cx="819150" cy="104775"/>
    <xdr:sp macro="" textlink="">
      <xdr:nvSpPr>
        <xdr:cNvPr id="29" name="S28">
          <a:extLst>
            <a:ext uri="{FF2B5EF4-FFF2-40B4-BE49-F238E27FC236}">
              <a16:creationId xmlns:a16="http://schemas.microsoft.com/office/drawing/2014/main" id="{53712DFD-5F8F-46AE-A6B2-73469F7BBE8E}"/>
            </a:ext>
          </a:extLst>
        </xdr:cNvPr>
        <xdr:cNvSpPr txBox="1"/>
      </xdr:nvSpPr>
      <xdr:spPr>
        <a:xfrm>
          <a:off x="647700" y="3724274"/>
          <a:ext cx="819150" cy="104775"/>
        </a:xfrm>
        <a:prstGeom prst="rect">
          <a:avLst/>
        </a:prstGeom>
        <a:noFill/>
        <a:ln>
          <a:noFill/>
        </a:ln>
      </xdr:spPr>
      <xdr:txBody>
        <a:bodyPr wrap="square" lIns="36000" tIns="18000" rIns="36000" bIns="18000" anchor="ctr"/>
        <a:lstStyle/>
        <a:p>
          <a:pPr algn="l"/>
          <a:r>
            <a:rPr lang="en-US" sz="900" b="0" i="0">
              <a:solidFill>
                <a:srgbClr val="000000"/>
              </a:solidFill>
              <a:latin typeface="Times New Roman"/>
              <a:cs typeface="Times New Roman"/>
            </a:rPr>
            <a:t>Road</a:t>
          </a:r>
        </a:p>
      </xdr:txBody>
    </xdr:sp>
    <xdr:clientData/>
  </xdr:absoluteAnchor>
  <xdr:absoluteAnchor>
    <xdr:pos x="180975" y="3971925"/>
    <xdr:ext cx="361950" cy="95"/>
    <xdr:cxnSp macro="">
      <xdr:nvCxnSpPr>
        <xdr:cNvPr id="30" name="L29">
          <a:extLst>
            <a:ext uri="{FF2B5EF4-FFF2-40B4-BE49-F238E27FC236}">
              <a16:creationId xmlns:a16="http://schemas.microsoft.com/office/drawing/2014/main" id="{4A145643-7CCC-4EE1-8417-8C685E06A654}"/>
            </a:ext>
          </a:extLst>
        </xdr:cNvPr>
        <xdr:cNvCxnSpPr/>
      </xdr:nvCxnSpPr>
      <xdr:spPr>
        <a:xfrm>
          <a:off x="180975" y="3971925"/>
          <a:ext cx="361950" cy="95"/>
        </a:xfrm>
        <a:prstGeom prst="line">
          <a:avLst/>
        </a:prstGeom>
        <a:ln w="101600" cap="rnd">
          <a:solidFill>
            <a:srgbClr val="9DC3E6"/>
          </a:solidFill>
        </a:ln>
      </xdr:spPr>
    </xdr:cxnSp>
    <xdr:clientData/>
  </xdr:absoluteAnchor>
  <xdr:absoluteAnchor>
    <xdr:pos x="200025" y="4086225"/>
    <xdr:ext cx="133350" cy="133350"/>
    <xdr:sp macro="" textlink="">
      <xdr:nvSpPr>
        <xdr:cNvPr id="31" name="S31">
          <a:extLst>
            <a:ext uri="{FF2B5EF4-FFF2-40B4-BE49-F238E27FC236}">
              <a16:creationId xmlns:a16="http://schemas.microsoft.com/office/drawing/2014/main" id="{8981786A-7F9D-4CA3-94AD-42ECBEC31C44}"/>
            </a:ext>
          </a:extLst>
        </xdr:cNvPr>
        <xdr:cNvSpPr/>
      </xdr:nvSpPr>
      <xdr:spPr>
        <a:xfrm>
          <a:off x="200025" y="4086225"/>
          <a:ext cx="133350" cy="133350"/>
        </a:xfrm>
        <a:prstGeom prst="ellipse">
          <a:avLst/>
        </a:prstGeom>
        <a:solidFill>
          <a:srgbClr val="FFFFFF"/>
        </a:solidFill>
        <a:ln w="25400" cap="rnd">
          <a:solidFill>
            <a:srgbClr val="000000"/>
          </a:solidFill>
        </a:ln>
      </xdr:spPr>
    </xdr:sp>
    <xdr:clientData/>
  </xdr:absoluteAnchor>
  <xdr:absoluteAnchor>
    <xdr:pos x="180975" y="4286250"/>
    <xdr:ext cx="152400" cy="133350"/>
    <xdr:sp macro="" textlink="">
      <xdr:nvSpPr>
        <xdr:cNvPr id="32" name="S33">
          <a:extLst>
            <a:ext uri="{FF2B5EF4-FFF2-40B4-BE49-F238E27FC236}">
              <a16:creationId xmlns:a16="http://schemas.microsoft.com/office/drawing/2014/main" id="{9EBEC34F-80BB-4B18-B85D-352D04BFDDE8}"/>
            </a:ext>
          </a:extLst>
        </xdr:cNvPr>
        <xdr:cNvSpPr/>
      </xdr:nvSpPr>
      <xdr:spPr>
        <a:xfrm>
          <a:off x="180975" y="4286250"/>
          <a:ext cx="152400" cy="133350"/>
        </a:xfrm>
        <a:prstGeom prst="triangle">
          <a:avLst/>
        </a:prstGeom>
        <a:solidFill>
          <a:srgbClr val="C55A11"/>
        </a:solidFill>
        <a:ln w="12700" cap="rnd">
          <a:solidFill>
            <a:srgbClr val="843C0C"/>
          </a:solidFill>
        </a:ln>
      </xdr:spPr>
    </xdr:sp>
    <xdr:clientData/>
  </xdr:absoluteAnchor>
  <xdr:absoluteAnchor>
    <xdr:pos x="180975" y="4419600"/>
    <xdr:ext cx="152400" cy="142875"/>
    <xdr:sp macro="" textlink="">
      <xdr:nvSpPr>
        <xdr:cNvPr id="33" name="S35">
          <a:extLst>
            <a:ext uri="{FF2B5EF4-FFF2-40B4-BE49-F238E27FC236}">
              <a16:creationId xmlns:a16="http://schemas.microsoft.com/office/drawing/2014/main" id="{7AC2D854-6AEB-4B5E-B59A-29D43C64113B}"/>
            </a:ext>
          </a:extLst>
        </xdr:cNvPr>
        <xdr:cNvSpPr/>
      </xdr:nvSpPr>
      <xdr:spPr>
        <a:xfrm>
          <a:off x="180975" y="4419600"/>
          <a:ext cx="152400" cy="142875"/>
        </a:xfrm>
        <a:prstGeom prst="star5">
          <a:avLst/>
        </a:prstGeom>
        <a:solidFill>
          <a:srgbClr val="FF0000"/>
        </a:solidFill>
        <a:ln w="12700" cap="rnd">
          <a:solidFill>
            <a:srgbClr val="C00000"/>
          </a:solidFill>
        </a:ln>
      </xdr:spPr>
    </xdr:sp>
    <xdr:clientData/>
  </xdr:absoluteAnchor>
  <xdr:absoluteAnchor>
    <xdr:pos x="685800" y="3924301"/>
    <xdr:ext cx="1181099" cy="152400"/>
    <xdr:sp macro="" textlink="">
      <xdr:nvSpPr>
        <xdr:cNvPr id="34" name="S30">
          <a:extLst>
            <a:ext uri="{FF2B5EF4-FFF2-40B4-BE49-F238E27FC236}">
              <a16:creationId xmlns:a16="http://schemas.microsoft.com/office/drawing/2014/main" id="{161AA5D9-69AA-4014-8D14-F7ABD0F9E731}"/>
            </a:ext>
          </a:extLst>
        </xdr:cNvPr>
        <xdr:cNvSpPr txBox="1"/>
      </xdr:nvSpPr>
      <xdr:spPr>
        <a:xfrm>
          <a:off x="685800" y="3924301"/>
          <a:ext cx="1181099" cy="152400"/>
        </a:xfrm>
        <a:prstGeom prst="rect">
          <a:avLst/>
        </a:prstGeom>
        <a:noFill/>
        <a:ln>
          <a:noFill/>
        </a:ln>
      </xdr:spPr>
      <xdr:txBody>
        <a:bodyPr wrap="square" lIns="36000" tIns="18000" rIns="36000" bIns="18000" anchor="ctr"/>
        <a:lstStyle/>
        <a:p>
          <a:pPr algn="l"/>
          <a:r>
            <a:rPr lang="en-US" sz="900" b="0" i="0">
              <a:solidFill>
                <a:srgbClr val="000000"/>
              </a:solidFill>
              <a:latin typeface="Times New Roman"/>
              <a:cs typeface="Times New Roman"/>
            </a:rPr>
            <a:t>Canal</a:t>
          </a:r>
        </a:p>
      </xdr:txBody>
    </xdr:sp>
    <xdr:clientData/>
  </xdr:absoluteAnchor>
  <xdr:absoluteAnchor>
    <xdr:pos x="628650" y="4133850"/>
    <xdr:ext cx="600075" cy="95250"/>
    <xdr:sp macro="" textlink="">
      <xdr:nvSpPr>
        <xdr:cNvPr id="35" name="S32">
          <a:extLst>
            <a:ext uri="{FF2B5EF4-FFF2-40B4-BE49-F238E27FC236}">
              <a16:creationId xmlns:a16="http://schemas.microsoft.com/office/drawing/2014/main" id="{66D2F8BA-58BA-4F6F-9190-4AD57928B36E}"/>
            </a:ext>
          </a:extLst>
        </xdr:cNvPr>
        <xdr:cNvSpPr txBox="1"/>
      </xdr:nvSpPr>
      <xdr:spPr>
        <a:xfrm>
          <a:off x="628650" y="4133850"/>
          <a:ext cx="600075" cy="95250"/>
        </a:xfrm>
        <a:prstGeom prst="rect">
          <a:avLst/>
        </a:prstGeom>
        <a:noFill/>
        <a:ln>
          <a:noFill/>
        </a:ln>
      </xdr:spPr>
      <xdr:txBody>
        <a:bodyPr wrap="square" lIns="36000" tIns="18000" rIns="36000" bIns="18000" anchor="ctr"/>
        <a:lstStyle/>
        <a:p>
          <a:pPr algn="l"/>
          <a:r>
            <a:rPr lang="en-US" sz="900" b="0" i="0">
              <a:solidFill>
                <a:srgbClr val="000000"/>
              </a:solidFill>
              <a:latin typeface="Times New Roman"/>
              <a:cs typeface="Times New Roman"/>
            </a:rPr>
            <a:t>Village</a:t>
          </a:r>
        </a:p>
      </xdr:txBody>
    </xdr:sp>
    <xdr:clientData/>
  </xdr:absoluteAnchor>
  <xdr:absoluteAnchor>
    <xdr:pos x="561974" y="4286251"/>
    <xdr:ext cx="676275" cy="161924"/>
    <xdr:sp macro="" textlink="">
      <xdr:nvSpPr>
        <xdr:cNvPr id="36" name="S34">
          <a:extLst>
            <a:ext uri="{FF2B5EF4-FFF2-40B4-BE49-F238E27FC236}">
              <a16:creationId xmlns:a16="http://schemas.microsoft.com/office/drawing/2014/main" id="{979476CB-1A65-457D-BB28-D554B38A93DD}"/>
            </a:ext>
          </a:extLst>
        </xdr:cNvPr>
        <xdr:cNvSpPr txBox="1"/>
      </xdr:nvSpPr>
      <xdr:spPr>
        <a:xfrm>
          <a:off x="561974" y="4286251"/>
          <a:ext cx="676275" cy="161924"/>
        </a:xfrm>
        <a:prstGeom prst="rect">
          <a:avLst/>
        </a:prstGeom>
        <a:noFill/>
        <a:ln>
          <a:noFill/>
        </a:ln>
      </xdr:spPr>
      <xdr:txBody>
        <a:bodyPr wrap="square" lIns="36000" tIns="18000" rIns="36000" bIns="18000" anchor="ctr"/>
        <a:lstStyle/>
        <a:p>
          <a:pPr algn="l"/>
          <a:r>
            <a:rPr lang="en-US" sz="900" b="0" i="0">
              <a:solidFill>
                <a:srgbClr val="000000"/>
              </a:solidFill>
              <a:latin typeface="Times New Roman"/>
              <a:cs typeface="Times New Roman"/>
            </a:rPr>
            <a:t>Metal quarry</a:t>
          </a:r>
        </a:p>
      </xdr:txBody>
    </xdr:sp>
    <xdr:clientData/>
  </xdr:absoluteAnchor>
  <xdr:absoluteAnchor>
    <xdr:pos x="533400" y="4429126"/>
    <xdr:ext cx="1314450" cy="180974"/>
    <xdr:sp macro="" textlink="">
      <xdr:nvSpPr>
        <xdr:cNvPr id="37" name="S36">
          <a:extLst>
            <a:ext uri="{FF2B5EF4-FFF2-40B4-BE49-F238E27FC236}">
              <a16:creationId xmlns:a16="http://schemas.microsoft.com/office/drawing/2014/main" id="{750060F0-7AA9-4FB9-A853-F2CBD66F788F}"/>
            </a:ext>
          </a:extLst>
        </xdr:cNvPr>
        <xdr:cNvSpPr txBox="1"/>
      </xdr:nvSpPr>
      <xdr:spPr>
        <a:xfrm>
          <a:off x="533400" y="4429126"/>
          <a:ext cx="1314450" cy="180974"/>
        </a:xfrm>
        <a:prstGeom prst="rect">
          <a:avLst/>
        </a:prstGeom>
        <a:noFill/>
        <a:ln>
          <a:noFill/>
        </a:ln>
      </xdr:spPr>
      <xdr:txBody>
        <a:bodyPr wrap="square" lIns="36000" tIns="18000" rIns="36000" bIns="18000" anchor="ctr"/>
        <a:lstStyle/>
        <a:p>
          <a:pPr algn="l"/>
          <a:r>
            <a:rPr lang="en-US" sz="900" b="0" i="0">
              <a:solidFill>
                <a:srgbClr val="000000"/>
              </a:solidFill>
              <a:latin typeface="Times New Roman"/>
              <a:cs typeface="Times New Roman"/>
            </a:rPr>
            <a:t>Proposed site</a:t>
          </a:r>
        </a:p>
      </xdr:txBody>
    </xdr:sp>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omp_1\c\My%20Documents\A3\Perfomance\Dandupally\NABARD\mbnr-est&amp;she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WORK\PEN%20DRIVE%20BACKUP\WORKS\2015-16\AEE%20RAJSHEKHAR-hm%20road\DWE\HM%20PUSHKAR%20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pl-mg-11\slab_cul\supriya\Telugu%20Ganga\Road%20Bridge\slb_42.493\supriya\S\Katni\Earthwork\Km%20141%20to%20146\Abstract_Katni_Km_15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f\My%20Documents\ESTIMATES\Estimate%20copy.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0MPUTER%20CARE\Desktop\Ravi\Final%20DC%20S\WUAS%20OF%20DC-8\DC-8%20estimates%2012.12.2014\Sonsal%20LBC%20Struc\Slab%20Drain%200.920\UT%20SLAB%20DRAIN%200.9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eprsystem1\system1c\WINDOWS\Desktop\singh\db1\BIJNEPALLY\VATTEM_PALEM_BT_ROAD_15KM'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A:\Design%20&amp;%20Estimate\EWE%20STAETMEN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Kurnool\Kurnool\2012-13\5.%20Chagalamarry-Mahadevapuram(SRP)\Corrected%20DATA%202.9.20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Irrigation\Minor%20Irrigation\HP%20PENDRIVE\ADMIN%20SANCTION%20ESTIMATES2\PIN%20CHERU\Comp1%20Feb%2005\PMGSY%20Ph.V\ARRR%20JANNEPALLY.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Irrigation\Minor%20Irrigation\HP%20PENDRIVE\ADMIN%20SANCTION%20ESTIMATES2\PIN%20CHERU\OFFICE%20%20FILES\PMGSY\ARRR-ver-11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Dept_NGKL_SubDvn\CHECK_DATA2006_07F.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C0MPUTER%20CARE\Desktop\Ravi\Final%20DC%20S\WUAS%20OF%20DC-8\DC-8%20estimates%2012.12.2014\Ramesh\Palemvagu\UTs\UT%20@%207.857\UT%20Combined%20@%20KM%207.85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Kurnool\Kurnool\2012-13\20.%20NH7%20to%20Gondiparla%204.8%20to%206.6(SRP)\Corrected%20DATA%20Km%2026-2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A:\Dandupally\NABARD\mbnr-est&amp;shed.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C0MPUTER%20CARE\Desktop\Ravi\Final%20DC%20S\WUAS%20OF%20DC-8\DC-8%20estimates%2012.12.2014\YerraCalva\Off-take%20Design%20&amp;%20Estimat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E:\O&amp;M%20ESTIMATES\Nalgonda%20Sub-Division%20Estimates\Narayanpur%20Mandal\As%20per%20SSR%202009-10%20Rates\8001%20-%20Siddankoni%20Cheru,%20Gudi%20Malkapur\Datas%20-%208001%20-%20Siddankoni%20Cheru,%20Gudi%20Malkapur%20Villag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DRUVAN\Downloads\Users\venu\Downloads\Users\BuchiBABU\Desktop\NAG\Kodad%20%20Data%202010-1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WORK\HY%202.6-7.0%20WE\WORK%20SLIP%205.00%20CRORE\HUYA%20ESTIMATE%20%20W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Gts\Desktop\HUZUR_NAGAR_PUSHKARALU\WE\Mattapally%20Parking%20DWE1.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Kurnool2013-14\Kurnool%202013-14\2013-14%20estimate%20files\Internal%20roads%20in%20kurnool\Internal%20roads%20in%20kurnoo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G:\Users\venu\Downloads\Users\BuchiBABU\Desktop\NAG\Kodad%20%20Data%202010-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
      <sheetName val="m1"/>
      <sheetName val="est"/>
      <sheetName val="she"/>
      <sheetName val="m4"/>
      <sheetName val="maya"/>
      <sheetName val="abs road"/>
      <sheetName val="RMR"/>
      <sheetName val="R_Det"/>
      <sheetName val="Road data"/>
      <sheetName val="LEAD"/>
      <sheetName val="r"/>
      <sheetName val="MRATES"/>
      <sheetName val="scour depth"/>
      <sheetName val="Bitumen trunk"/>
      <sheetName val="Feeder"/>
      <sheetName val="R99 etc"/>
      <sheetName val="Trunk unpaved"/>
      <sheetName val="Lead statement ss5"/>
      <sheetName val="GF SB Ok "/>
      <sheetName val="Habcodes"/>
      <sheetName val="mlead"/>
      <sheetName val="Plant &amp;  Machinery"/>
      <sheetName val="coverpage"/>
      <sheetName val="GEN_abstrct"/>
      <sheetName val="data existing_do not delete"/>
    </sheetNames>
    <sheetDataSet>
      <sheetData sheetId="0">
        <row r="2">
          <cell r="A2" t="str">
            <v>Name of work: BT to road from Chennavaram to Mallavaram (via) Vutukuru.</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DATA_ENTRY"/>
      <sheetName val="Letter"/>
      <sheetName val="Cover"/>
      <sheetName val="Report"/>
      <sheetName val="GenAbs"/>
      <sheetName val="DWE"/>
      <sheetName val="Compar"/>
      <sheetName val="DetEst"/>
      <sheetName val="Seignarages"/>
      <sheetName val="Lead"/>
      <sheetName val="RMR"/>
      <sheetName val="BT"/>
      <sheetName val="MasterData"/>
      <sheetName val="WorkSlip"/>
      <sheetName val="Certificates"/>
      <sheetName val="MRATES"/>
      <sheetName val="select items_PMW"/>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 Earthwork New"/>
      <sheetName val="Mea - Earthwork"/>
      <sheetName val="Abs - Lining"/>
      <sheetName val="Mea - Lining New"/>
      <sheetName val="Lead"/>
      <sheetName val="DATA"/>
      <sheetName val="Data.R"/>
      <sheetName val="structures"/>
      <sheetName val="civ data"/>
      <sheetName val="ewst"/>
      <sheetName val="select items_PMW"/>
      <sheetName val="MRATES"/>
      <sheetName val="scour depth"/>
      <sheetName val="GEN_abstrct"/>
      <sheetName val="leads"/>
      <sheetName val="r"/>
      <sheetName val="UT Without Drop"/>
    </sheetNames>
    <sheetDataSet>
      <sheetData sheetId="0"/>
      <sheetData sheetId="1"/>
      <sheetData sheetId="2"/>
      <sheetData sheetId="3"/>
      <sheetData sheetId="4">
        <row r="4">
          <cell r="F4">
            <v>151</v>
          </cell>
        </row>
      </sheetData>
      <sheetData sheetId="5">
        <row r="4">
          <cell r="F4">
            <v>151</v>
          </cell>
        </row>
      </sheetData>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ORMAS"/>
      <sheetName val="CHECK-SLIP"/>
      <sheetName val="DESIGN NORMS"/>
      <sheetName val="DESIGN CALUCULATIONS"/>
      <sheetName val="ABSTRACT-DESIGN CALUCULATIONS"/>
      <sheetName val="GRAVITY MAIN"/>
      <sheetName val="PUMPING MAIN"/>
      <sheetName val="PUMP SETS DESIGN"/>
      <sheetName val="GENERAL-ABSTRACT"/>
      <sheetName val="COMPONENTS"/>
      <sheetName val="DATA-ABSTRACT"/>
      <sheetName val="SSR(Buildings)"/>
      <sheetName val="SSR(PH)"/>
      <sheetName val="SSR(I&amp;CAD)"/>
      <sheetName val="PVC-Rates"/>
      <sheetName val="Labour charges"/>
      <sheetName val="Labour charges(detl)"/>
      <sheetName val="LEAD STATEMENT"/>
      <sheetName val="OHSR(Detail)"/>
      <sheetName val="DUMMY_EST"/>
      <sheetName val="DATA-LIST"/>
      <sheetName val="DATA SHEET"/>
      <sheetName val="DATA OHSR"/>
      <sheetName val="DATA AC PIPES"/>
      <sheetName val="DATA PVC PIPES"/>
      <sheetName val="BORE WELL"/>
      <sheetName val="SS TANK(HOMO)"/>
      <sheetName val="SS FILTERS"/>
      <sheetName val="SS TANK(HET)"/>
      <sheetName val="SS FILTERS(SQM)"/>
      <sheetName val="OHSR"/>
      <sheetName val="TRANSMISSION MAINS"/>
      <sheetName val="PUMP SETS"/>
      <sheetName val="WEIR CHAMBER"/>
      <sheetName val="PUMP HOUSE"/>
      <sheetName val="PUMP HOUSE(SQM)"/>
      <sheetName val="CW SUMP"/>
      <sheetName val="RWW_PH"/>
      <sheetName val="RAW WATER WELL"/>
      <sheetName val="VALVE PIT"/>
      <sheetName val="FLOW-DIAGRAM"/>
      <sheetName val="DATA-BASE"/>
      <sheetName val="TRANS.MAINS.LEVELS"/>
      <sheetName val="SSF(INT.CONS)"/>
      <sheetName val="DATA_ABSTRACT"/>
      <sheetName val="DATA_BASE"/>
      <sheetName val="m"/>
      <sheetName val="Labour"/>
      <sheetName val="Material"/>
      <sheetName val="Plant &amp;  Machinery"/>
      <sheetName val="Data.F8.BTR"/>
      <sheetName val="DESIGN_NORMS"/>
      <sheetName val="DESIGN_CALUCULATIONS"/>
      <sheetName val="ABSTRACT-DESIGN_CALUCULATIONS"/>
      <sheetName val="GRAVITY_MAIN"/>
      <sheetName val="PUMPING_MAIN"/>
      <sheetName val="PUMP_SETS_DESIGN"/>
      <sheetName val="Labour_charges"/>
      <sheetName val="Labour_charges(detl)"/>
      <sheetName val="LEAD_STATEMENT"/>
      <sheetName val="DATA_SHEET"/>
      <sheetName val="DATA_OHSR"/>
      <sheetName val="DATA_AC_PIPES"/>
      <sheetName val="DATA_PVC_PIPES"/>
      <sheetName val="BORE_WELL"/>
      <sheetName val="SS_TANK(HOMO)"/>
      <sheetName val="SS_FILTERS"/>
      <sheetName val="SS_TANK(HET)"/>
      <sheetName val="SS_FILTERS(SQM)"/>
      <sheetName val="TRANSMISSION_MAINS"/>
      <sheetName val="PUMP_SETS"/>
      <sheetName val="WEIR_CHAMBER"/>
      <sheetName val="PUMP_HOUSE"/>
      <sheetName val="PUMP_HOUSE(SQM)"/>
      <sheetName val="CW_SUMP"/>
      <sheetName val="RAW_WATER_WELL"/>
      <sheetName val="VALVE_PIT"/>
      <sheetName val="TRANS_MAINS_LEVELS"/>
      <sheetName val="SSF(INT_CONS)"/>
      <sheetName val="DESIGN_NORMS1"/>
      <sheetName val="DESIGN_CALUCULATIONS1"/>
      <sheetName val="ABSTRACT-DESIGN_CALUCULATIONS1"/>
      <sheetName val="GRAVITY_MAIN1"/>
      <sheetName val="PUMPING_MAIN1"/>
      <sheetName val="PUMP_SETS_DESIGN1"/>
      <sheetName val="Labour_charges1"/>
      <sheetName val="Labour_charges(detl)1"/>
      <sheetName val="LEAD_STATEMENT1"/>
      <sheetName val="DATA_SHEET1"/>
      <sheetName val="DATA_OHSR1"/>
      <sheetName val="DATA_AC_PIPES1"/>
      <sheetName val="DATA_PVC_PIPES1"/>
      <sheetName val="BORE_WELL1"/>
      <sheetName val="SS_TANK(HOMO)1"/>
      <sheetName val="SS_FILTERS1"/>
      <sheetName val="SS_TANK(HET)1"/>
      <sheetName val="SS_FILTERS(SQM)1"/>
      <sheetName val="TRANSMISSION_MAINS1"/>
      <sheetName val="PUMP_SETS1"/>
      <sheetName val="WEIR_CHAMBER1"/>
      <sheetName val="PUMP_HOUSE1"/>
      <sheetName val="PUMP_HOUSE(SQM)1"/>
      <sheetName val="CW_SUMP1"/>
      <sheetName val="RAW_WATER_WELL1"/>
      <sheetName val="VALVE_PIT1"/>
      <sheetName val="TRANS_MAINS_LEVELS1"/>
      <sheetName val="SSF(INT_CONS)1"/>
      <sheetName val="Common "/>
      <sheetName val="Sheet3"/>
      <sheetName val="DESIGN_NORMS2"/>
      <sheetName val="DESIGN_CALUCULATIONS2"/>
      <sheetName val="ABSTRACT-DESIGN_CALUCULATIONS2"/>
      <sheetName val="GRAVITY_MAIN2"/>
      <sheetName val="PUMPING_MAIN2"/>
      <sheetName val="PUMP_SETS_DESIGN2"/>
      <sheetName val="Labour_charges2"/>
      <sheetName val="Labour_charges(detl)2"/>
      <sheetName val="LEAD_STATEMENT2"/>
      <sheetName val="DATA_SHEET2"/>
      <sheetName val="DATA_OHSR2"/>
      <sheetName val="DATA_AC_PIPES2"/>
      <sheetName val="DATA_PVC_PIPES2"/>
      <sheetName val="BORE_WELL2"/>
      <sheetName val="SS_TANK(HOMO)2"/>
      <sheetName val="SS_FILTERS2"/>
      <sheetName val="SS_TANK(HET)2"/>
      <sheetName val="SS_FILTERS(SQM)2"/>
      <sheetName val="TRANSMISSION_MAINS2"/>
      <sheetName val="PUMP_SETS2"/>
      <sheetName val="WEIR_CHAMBER2"/>
      <sheetName val="PUMP_HOUSE2"/>
      <sheetName val="PUMP_HOUSE(SQM)2"/>
      <sheetName val="CW_SUMP2"/>
      <sheetName val="RAW_WATER_WELL2"/>
      <sheetName val="VALVE_PIT2"/>
      <sheetName val="TRANS_MAINS_LEVELS2"/>
      <sheetName val="SSF(INT_CONS)2"/>
      <sheetName val="Plant_&amp;__Machinery"/>
      <sheetName val="Common_"/>
      <sheetName val="Data_F8_BTR"/>
      <sheetName val="AV-HDPE"/>
      <sheetName val="Di_gate-HDPE"/>
      <sheetName val="BWSCPlt"/>
      <sheetName val="CI"/>
      <sheetName val="DI"/>
      <sheetName val="G.R.P"/>
      <sheetName val="HDPE"/>
      <sheetName val="PSC REVISED"/>
      <sheetName val="pvc"/>
      <sheetName val="DATA_PRG"/>
      <sheetName val="Sheet1"/>
      <sheetName val="Bitumen trunk"/>
      <sheetName val="Feeder"/>
      <sheetName val="R99 etc"/>
      <sheetName val="Trunk unpaved"/>
      <sheetName val="Class IV Qtr. Ele"/>
      <sheetName val="data"/>
      <sheetName val="Bridge Data 2005-06"/>
      <sheetName val="GF SB Ok "/>
      <sheetName val="lead-st"/>
      <sheetName val="rdamdata"/>
      <sheetName val="sup dat"/>
      <sheetName val="Sheet2"/>
      <sheetName val="MRATES"/>
      <sheetName val="pvc_basic"/>
      <sheetName val="segments-details"/>
      <sheetName val="int-Dia-hdpe"/>
      <sheetName val="habs-list"/>
      <sheetName val="Lead"/>
      <sheetName val="r"/>
      <sheetName val="PUMP_DATA"/>
      <sheetName val="nodes"/>
      <sheetName val="v"/>
      <sheetName val="pop"/>
      <sheetName val="ssr-rates"/>
      <sheetName val="Work_sheet"/>
      <sheetName val="Rate"/>
      <sheetName val="int-Dia"/>
      <sheetName val="JAWAHAR-hyd-original"/>
      <sheetName val="_5wgdhabfinal00_01"/>
      <sheetName val="Lead statement ss5"/>
      <sheetName val="hdpe_basic"/>
      <sheetName val="Plant_&amp;__Machi.ery"/>
      <sheetName val="1V800"/>
      <sheetName val="Road data"/>
      <sheetName val="zone-8"/>
      <sheetName val="MHNO_LEV"/>
      <sheetName val="BM-HOOP"/>
      <sheetName val="stone"/>
      <sheetName val="bom"/>
      <sheetName val="Usage"/>
      <sheetName val="General"/>
      <sheetName val="leads"/>
      <sheetName val="RAFT"/>
      <sheetName val="scour depth"/>
      <sheetName val="maya"/>
      <sheetName val="0000000000000"/>
      <sheetName val="cert"/>
      <sheetName val="SSR(I㫨CAD)"/>
      <sheetName val="Plant 㫨  Machinery"/>
      <sheetName val="Plant_㫨__Machinery"/>
      <sheetName val="Plant_㫨__Machi.ery"/>
      <sheetName val="Civil Boq"/>
      <sheetName val="THK"/>
      <sheetName val="data existing_do not delete"/>
      <sheetName val="CS "/>
      <sheetName val="Abs"/>
      <sheetName val="Hyd_Stmt"/>
      <sheetName val="co_5"/>
      <sheetName val="Relig-place"/>
      <sheetName val="coverpage"/>
      <sheetName val="Specification"/>
      <sheetName val="t_prsr"/>
      <sheetName val="id"/>
      <sheetName val="wh"/>
      <sheetName val="l"/>
      <sheetName val="八幡"/>
      <sheetName val="int-Dia-pvc"/>
      <sheetName val="sg-clay(d)"/>
      <sheetName val="Main sheet"/>
      <sheetName val="Data-ELSR"/>
      <sheetName val="RATES"/>
      <sheetName val="Analy_7-10"/>
      <sheetName val="DATA_ENTRY"/>
      <sheetName val="SUMP1420KL@HW"/>
      <sheetName val="DISCOUNT"/>
      <sheetName val="box-12"/>
      <sheetName val="DATAS"/>
      <sheetName val="SR"/>
      <sheetName val="Estimate copy"/>
      <sheetName val="Delivery mains"/>
      <sheetName val="Road Detail Est."/>
      <sheetName val="GEN_abstrct"/>
      <sheetName val="VALVE_PITU"/>
      <sheetName val="CPI"/>
      <sheetName val="WPI C"/>
      <sheetName val="WPI all"/>
      <sheetName val="WPI CM"/>
      <sheetName val="WPI S"/>
      <sheetName val="SSR 2015-16"/>
      <sheetName val="DATA SHEET FOR 2012 - 13"/>
      <sheetName val="p&amp;m"/>
      <sheetName val="COVER"/>
      <sheetName val="Convey"/>
      <sheetName val="bundqty"/>
      <sheetName val="index"/>
      <sheetName val="wh_data"/>
      <sheetName val="CPHEEO"/>
      <sheetName val="wh_data_R"/>
      <sheetName val="input"/>
      <sheetName val="PVC weights"/>
      <sheetName val="hdpe weights"/>
      <sheetName val=" data sheet "/>
      <sheetName val="Data Main sheet"/>
      <sheetName val="RMR"/>
      <sheetName val="Convey -16-17"/>
      <sheetName val="Data rough"/>
      <sheetName val="ESTIMATE"/>
      <sheetName val="Z1_DATA"/>
      <sheetName val="dBase"/>
      <sheetName val="Data o"/>
      <sheetName val="ewst"/>
      <sheetName val="Levels"/>
      <sheetName val="Lead Distance"/>
      <sheetName val="sand"/>
      <sheetName val="WATER-HAMMER"/>
      <sheetName val="abs road"/>
      <sheetName val="CPIPE"/>
      <sheetName val="inWords"/>
      <sheetName val="DESIGN_NORMS3"/>
      <sheetName val="DESIGN_CALUCULATIONS3"/>
      <sheetName val="ABSTRACT-DESIGN_CALUCULATIONS3"/>
      <sheetName val="GRAVITY_MAIN3"/>
      <sheetName val="PUMPING_MAIN3"/>
      <sheetName val="PUMP_SETS_DESIGN3"/>
      <sheetName val="Labour_charges3"/>
      <sheetName val="Labour_charges(detl)3"/>
      <sheetName val="LEAD_STATEMENT3"/>
      <sheetName val="DATA_SHEET3"/>
      <sheetName val="DATA_OHSR3"/>
      <sheetName val="DATA_AC_PIPES3"/>
      <sheetName val="DATA_PVC_PIPES3"/>
      <sheetName val="BORE_WELL3"/>
      <sheetName val="SS_TANK(HOMO)3"/>
      <sheetName val="SS_FILTERS3"/>
      <sheetName val="SS_TANK(HET)3"/>
      <sheetName val="SS_FILTERS(SQM)3"/>
      <sheetName val="TRANSMISSION_MAINS3"/>
      <sheetName val="PUMP_SETS3"/>
      <sheetName val="WEIR_CHAMBER3"/>
      <sheetName val="PUMP_HOUSE3"/>
      <sheetName val="PUMP_HOUSE(SQM)3"/>
      <sheetName val="CW_SUMP3"/>
      <sheetName val="RAW_WATER_WELL3"/>
      <sheetName val="VALVE_PIT3"/>
      <sheetName val="TRANS_MAINS_LEVELS3"/>
      <sheetName val="SSF(INT_CONS)3"/>
      <sheetName val="Plant_&amp;__Machinery1"/>
      <sheetName val="Data_F8_BTR1"/>
      <sheetName val="Common_1"/>
      <sheetName val="Class_IV_Qtr__Ele"/>
      <sheetName val="G_R_P"/>
      <sheetName val="PSC_REVISED"/>
      <sheetName val="DESIGN_NORMS4"/>
      <sheetName val="DESIGN_CALUCULATIONS4"/>
      <sheetName val="ABSTRACT-DESIGN_CALUCULATIONS4"/>
      <sheetName val="GRAVITY_MAIN4"/>
      <sheetName val="PUMPING_MAIN4"/>
      <sheetName val="PUMP_SETS_DESIGN4"/>
      <sheetName val="Labour_charges4"/>
      <sheetName val="Labour_charges(detl)4"/>
      <sheetName val="LEAD_STATEMENT4"/>
      <sheetName val="DATA_SHEET4"/>
      <sheetName val="DATA_OHSR4"/>
      <sheetName val="DATA_AC_PIPES4"/>
      <sheetName val="DATA_PVC_PIPES4"/>
      <sheetName val="BORE_WELL4"/>
      <sheetName val="SS_TANK(HOMO)4"/>
      <sheetName val="SS_FILTERS4"/>
      <sheetName val="SS_TANK(HET)4"/>
      <sheetName val="SS_FILTERS(SQM)4"/>
      <sheetName val="TRANSMISSION_MAINS4"/>
      <sheetName val="PUMP_SETS4"/>
      <sheetName val="WEIR_CHAMBER4"/>
      <sheetName val="PUMP_HOUSE4"/>
      <sheetName val="PUMP_HOUSE(SQM)4"/>
      <sheetName val="CW_SUMP4"/>
      <sheetName val="RAW_WATER_WELL4"/>
      <sheetName val="VALVE_PIT4"/>
      <sheetName val="TRANS_MAINS_LEVELS4"/>
      <sheetName val="SSF(INT_CONS)4"/>
      <sheetName val="Plant_&amp;__Machinery2"/>
      <sheetName val="Data_F8_BTR2"/>
      <sheetName val="Common_2"/>
      <sheetName val="Class_IV_Qtr__Ele1"/>
      <sheetName val="G_R_P1"/>
      <sheetName val="PSC_REVISED1"/>
      <sheetName val="Meas.-Hotel Part"/>
      <sheetName val="GM&amp;PM WE1 EST"/>
      <sheetName val="BWSCP"/>
      <sheetName val="Sheet9"/>
      <sheetName val="Iocount"/>
      <sheetName val="water-hammar-strenght"/>
      <sheetName val="mlead"/>
      <sheetName val="Nspt-smp-final-ORIGINAL"/>
      <sheetName val="habs-details"/>
      <sheetName val="LOCAL RATES"/>
      <sheetName val="hdpe-rates"/>
      <sheetName val="HDPE-pipe-rates"/>
      <sheetName val="pvc-pipe-rates"/>
      <sheetName val="Staff Acco."/>
      <sheetName val="LABOUR RATE"/>
      <sheetName val="Material Rate"/>
      <sheetName val="Bed Class"/>
      <sheetName val="Cd"/>
      <sheetName val="C-data"/>
      <sheetName val="DI gate-DI"/>
      <sheetName val="PM&amp;GM"/>
      <sheetName val="DIgate_PVC "/>
      <sheetName val="2014"/>
      <sheetName val="3405-2014"/>
      <sheetName val="Qty"/>
      <sheetName val="FT-05-02IsoBOM"/>
      <sheetName val="BS8007"/>
      <sheetName val="Table12"/>
      <sheetName val="Table9"/>
      <sheetName val="MRoad data"/>
      <sheetName val="Macro1"/>
      <sheetName val="sheet5"/>
      <sheetName val="PH-Data"/>
      <sheetName val="Master data"/>
      <sheetName val="analysis"/>
      <sheetName val="factors"/>
      <sheetName val="TBAL9697 -group wise  sdpl"/>
      <sheetName val="GA-Paderu"/>
      <sheetName val="conc-foot-gradeslab"/>
      <sheetName val="AV_AC"/>
      <sheetName val="di_Gate_AC"/>
      <sheetName val="Digate-BWSCP-MS"/>
      <sheetName val="DI_gate_di"/>
      <sheetName val="C.D.Abs.Est."/>
      <sheetName val="VALV"/>
      <sheetName val="detls"/>
      <sheetName val="MRMECADAMoad data"/>
      <sheetName val="Road data-TDR"/>
      <sheetName val="Line"/>
      <sheetName val="bar bending"/>
    </sheetNames>
    <sheetDataSet>
      <sheetData sheetId="0"/>
      <sheetData sheetId="1"/>
      <sheetData sheetId="2"/>
      <sheetData sheetId="3"/>
      <sheetData sheetId="4"/>
      <sheetData sheetId="5"/>
      <sheetData sheetId="6"/>
      <sheetData sheetId="7"/>
      <sheetData sheetId="8"/>
      <sheetData sheetId="9"/>
      <sheetData sheetId="10">
        <row r="11">
          <cell r="A11" t="str">
            <v>Thickness</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6">
          <cell r="I6" t="str">
            <v>DIA</v>
          </cell>
        </row>
      </sheetData>
      <sheetData sheetId="42"/>
      <sheetData sheetId="43"/>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rthpressure"/>
      <sheetName val="UT Without Drop"/>
      <sheetName val="UT with Drop"/>
      <sheetName val="Coloumb EP"/>
      <sheetName val="Ref"/>
      <sheetName val="stability"/>
      <sheetName val="SP DESIGN"/>
      <sheetName val="TEL_1V"/>
      <sheetName val="Abs"/>
      <sheetName val="m"/>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_SHEET"/>
      <sheetName val="ANNEX"/>
      <sheetName val="P_REPORT"/>
      <sheetName val="SPECIFICATION"/>
      <sheetName val="ABS"/>
      <sheetName val="ESTT_MOST"/>
      <sheetName val="m"/>
      <sheetName val="M2"/>
      <sheetName val="M3"/>
      <sheetName val="m1"/>
      <sheetName val="DATA"/>
      <sheetName val="LE"/>
      <sheetName val="Sheet1"/>
      <sheetName val="UT Without Drop"/>
      <sheetName val="C.S  F,C Kamt"/>
      <sheetName val="Aug,02"/>
    </sheetNames>
    <sheetDataSet>
      <sheetData sheetId="0"/>
      <sheetData sheetId="1"/>
      <sheetData sheetId="2"/>
      <sheetData sheetId="3"/>
      <sheetData sheetId="4"/>
      <sheetData sheetId="5"/>
      <sheetData sheetId="6">
        <row r="3">
          <cell r="M3">
            <v>117</v>
          </cell>
        </row>
      </sheetData>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joduck_SK_1"/>
      <sheetName val="ewst"/>
      <sheetName val="bund"/>
      <sheetName val="Sheet3"/>
      <sheetName val="Sheet1"/>
      <sheetName val="Aug,02"/>
      <sheetName val="Rates"/>
      <sheetName val="abs"/>
    </sheetNames>
    <sheetDataSet>
      <sheetData sheetId="0"/>
      <sheetData sheetId="1"/>
      <sheetData sheetId="2"/>
      <sheetData sheetId="3"/>
      <sheetData sheetId="4"/>
      <sheetData sheetId="5"/>
      <sheetData sheetId="6"/>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BTR"/>
      <sheetName val="RMR"/>
      <sheetName val="Road data"/>
      <sheetName val="Line"/>
      <sheetName val="GenAbst"/>
      <sheetName val="AS_SR"/>
      <sheetName val="TS_MDR"/>
      <sheetName val="AS_SR (3)"/>
      <sheetName val="Name"/>
      <sheetName val="Detailed"/>
      <sheetName val="Sheet1"/>
      <sheetName val="Rates"/>
      <sheetName val="UT Without Drop"/>
      <sheetName val="Abs"/>
      <sheetName val="DATA-BASE"/>
      <sheetName val="DATA-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EW D.EST"/>
      <sheetName val="MRATES"/>
      <sheetName val="MRoad data"/>
      <sheetName val="UT Without Dro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EW D.EST"/>
      <sheetName val="ewst"/>
      <sheetName val="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Query"/>
      <sheetName val="DATA_ENTRY"/>
      <sheetName val="MRoad data"/>
      <sheetName val="MRATES"/>
      <sheetName val="MBTLead"/>
      <sheetName val="MRMR"/>
      <sheetName val="MRoadMap"/>
      <sheetName val="EW D.EST"/>
      <sheetName val="Labour"/>
      <sheetName val="m"/>
    </sheetNames>
    <sheetDataSet>
      <sheetData sheetId="0"/>
      <sheetData sheetId="1"/>
      <sheetData sheetId="2"/>
      <sheetData sheetId="3"/>
      <sheetData sheetId="4"/>
      <sheetData sheetId="5" refreshError="1"/>
      <sheetData sheetId="6"/>
      <sheetData sheetId="7"/>
      <sheetData sheetId="8"/>
      <sheetData sheetId="9" refreshError="1"/>
      <sheetData sheetId="10" refreshError="1"/>
      <sheetData sheetId="1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Bed Fall"/>
      <sheetName val="Input"/>
      <sheetName val="M F L Calculations"/>
      <sheetName val="Ventway Calculations"/>
      <sheetName val="Note"/>
      <sheetName val="Tail Channel"/>
      <sheetName val="TELs"/>
      <sheetName val="TEL Free Barrel"/>
      <sheetName val="Drop"/>
      <sheetName val="C"/>
      <sheetName val="Approach Channel"/>
      <sheetName val="Slab Under Earth Bank"/>
      <sheetName val="Abutmnet EB"/>
      <sheetName val="Pier EB"/>
      <sheetName val="Slab Under Water Trough"/>
      <sheetName val="Abutment Canal"/>
      <sheetName val="Pier Canal"/>
      <sheetName val="HeadWall TBL"/>
      <sheetName val="US Head Wall"/>
      <sheetName val="DS Head Wall"/>
      <sheetName val="US &amp; DS Wing HeadWall"/>
      <sheetName val="US Wing Return"/>
      <sheetName val="DS Wing Return"/>
      <sheetName val="Title Structure"/>
      <sheetName val="Uplift Barrel"/>
      <sheetName val="UT Data"/>
      <sheetName val="Structures"/>
      <sheetName val="EW D.EST"/>
      <sheetName val="mrates"/>
      <sheetName val="mroad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BTR"/>
      <sheetName val="RMR"/>
      <sheetName val="Road data"/>
      <sheetName val="Line"/>
      <sheetName val="GenAbst"/>
      <sheetName val="AS_SR"/>
      <sheetName val="TS_MDR"/>
      <sheetName val="Name"/>
      <sheetName val="Detailed"/>
      <sheetName val="Sheet1"/>
      <sheetName val="Rates"/>
      <sheetName val="Data"/>
      <sheetName val="Structures"/>
      <sheetName val="ew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
      <sheetName val="m1"/>
      <sheetName val="est"/>
      <sheetName val="she"/>
      <sheetName val="m4"/>
      <sheetName val="ew d.est"/>
    </sheetNames>
    <sheetDataSet>
      <sheetData sheetId="0"/>
      <sheetData sheetId="1"/>
      <sheetData sheetId="2"/>
      <sheetData sheetId="3"/>
      <sheetData sheetId="4"/>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Input"/>
      <sheetName val="REPORT"/>
      <sheetName val="COVER"/>
      <sheetName val="Detailed Estimate"/>
      <sheetName val="Hydraulic Design (Pipe)"/>
      <sheetName val="Upstream Wing"/>
      <sheetName val="Downstream Wing "/>
      <sheetName val="Upstream Return"/>
      <sheetName val="Downstream Return "/>
      <sheetName val="Hydraulic Design (Barrel)"/>
      <sheetName val="Hydraulic Design _Pipe_"/>
      <sheetName val="MRATES"/>
      <sheetName val="Labour"/>
      <sheetName val="Material"/>
      <sheetName val="Plant &amp;  Machinery"/>
      <sheetName val="structur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charges"/>
      <sheetName val="User_guidelines"/>
      <sheetName val="select items_PMW"/>
      <sheetName val="select items_DAW"/>
      <sheetName val="select items_TAW"/>
      <sheetName val="select items_CAW"/>
      <sheetName val="select items_CCDW"/>
      <sheetName val="select items_GAW"/>
      <sheetName val="abstract_of_items"/>
      <sheetName val="Homepage"/>
      <sheetName val="estimate"/>
      <sheetName val="General Abstract"/>
      <sheetName val="Breach Filling"/>
      <sheetName val="final"/>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tatement"/>
      <sheetName val="SSR 2010-11 Rates"/>
      <sheetName val="Hire charges"/>
      <sheetName val="centering"/>
      <sheetName val="Data (2)"/>
      <sheetName val="Data (4)"/>
      <sheetName val="Data"/>
      <sheetName val="Sheet1"/>
      <sheetName val="40KL-250KL Estimate &amp; data"/>
      <sheetName val="CI specials for OHSR"/>
      <sheetName val="G.House"/>
      <sheetName val="C.Data"/>
      <sheetName val="T.Data"/>
      <sheetName val="Labour"/>
      <sheetName val="Material"/>
      <sheetName val="Plant &amp;  Machin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Sheet1"/>
      <sheetName val="Cover"/>
      <sheetName val="DATA_ENTRY"/>
      <sheetName val="Letter"/>
      <sheetName val="Report"/>
      <sheetName val="GenAbs"/>
      <sheetName val="Seigniorages"/>
      <sheetName val="DetEst"/>
      <sheetName val="WorkSlip"/>
      <sheetName val="BTLeads"/>
      <sheetName val="RMR"/>
      <sheetName val="MRoad data"/>
      <sheetName val="Certificates"/>
      <sheetName val="TO BE UPDATE"/>
      <sheetName val="DETAILED ESTIMATE "/>
      <sheetName val="data input "/>
      <sheetName val="site clearance "/>
      <sheetName val="traffic "/>
      <sheetName val="MRATES"/>
      <sheetName val="Sheet3"/>
      <sheetName val="SC Abs"/>
      <sheetName val="INV "/>
      <sheetName val="BC ABS M-G"/>
      <sheetName val="Tank Details"/>
      <sheetName val="scour depth"/>
      <sheetName val="Labour"/>
      <sheetName val="Material"/>
      <sheetName val="Plant &amp;  Machin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 (2)"/>
      <sheetName val="DATA_ENTRY"/>
      <sheetName val="Letter"/>
      <sheetName val="Report"/>
      <sheetName val="Cover"/>
      <sheetName val="GenAbs"/>
      <sheetName val="DetAbsAbs"/>
      <sheetName val="DWE"/>
      <sheetName val="Compar"/>
      <sheetName val="Seignarages"/>
      <sheetName val="DetEst"/>
      <sheetName val="Lead"/>
      <sheetName val="WorkSlip"/>
      <sheetName val="BTLeads"/>
      <sheetName val="RMR"/>
      <sheetName val="MRoad data"/>
      <sheetName val="Certificates"/>
      <sheetName val="MRATES"/>
      <sheetName val="Sheet1"/>
      <sheetName val="scour dep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DATA_ENTRY"/>
      <sheetName val="DetEst"/>
      <sheetName val="GenAbs"/>
      <sheetName val="WorkSlip"/>
      <sheetName val="BTLeads"/>
      <sheetName val="RMR"/>
      <sheetName val="MRoad data"/>
      <sheetName val="MRATES"/>
      <sheetName val="seignorage"/>
      <sheetName val="necessary information"/>
      <sheetName val="DetAbsAbs"/>
      <sheetName val="Sheet1 (2)"/>
      <sheetName val="AS_SR"/>
      <sheetName val="TS_MDR"/>
      <sheetName val="Sheet1"/>
      <sheetName val="scour depth"/>
      <sheetName val="No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tatement"/>
      <sheetName val="SSR 2010-11 Rates"/>
      <sheetName val="Hire charges"/>
      <sheetName val="centering"/>
      <sheetName val="Data (2)"/>
      <sheetName val="Data (4)"/>
      <sheetName val="Data"/>
      <sheetName val="Sheet1"/>
      <sheetName val="40KL-250KL Estimate &amp; data"/>
      <sheetName val="CI specials for OHSR"/>
      <sheetName val="G.House"/>
      <sheetName val="C.Data"/>
      <sheetName val="T.Data"/>
      <sheetName val="RMR"/>
      <sheetName val="BTR"/>
      <sheetName val="Road data"/>
      <sheetName val="Li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3A178-B805-46F8-9597-6D37C3666D48}">
  <dimension ref="A1:P30"/>
  <sheetViews>
    <sheetView topLeftCell="A7" workbookViewId="0">
      <selection activeCell="Q15" sqref="Q15"/>
    </sheetView>
  </sheetViews>
  <sheetFormatPr defaultRowHeight="12.75"/>
  <cols>
    <col min="1" max="1" width="5.7109375" style="318" customWidth="1"/>
    <col min="2" max="6" width="11.140625" style="318" customWidth="1"/>
    <col min="7" max="7" width="13.7109375" style="318" customWidth="1"/>
    <col min="8" max="8" width="12.5703125" style="318" customWidth="1"/>
    <col min="9" max="13" width="11.140625" style="318" customWidth="1"/>
    <col min="14" max="15" width="8.42578125" style="318" customWidth="1"/>
    <col min="16" max="254" width="9.140625" style="318"/>
    <col min="255" max="255" width="5.7109375" style="318" customWidth="1"/>
    <col min="256" max="256" width="3.85546875" style="318" customWidth="1"/>
    <col min="257" max="257" width="6" style="318" customWidth="1"/>
    <col min="258" max="258" width="5.28515625" style="318" customWidth="1"/>
    <col min="259" max="259" width="5.7109375" style="318" customWidth="1"/>
    <col min="260" max="260" width="5.42578125" style="318" customWidth="1"/>
    <col min="261" max="261" width="6.28515625" style="318" customWidth="1"/>
    <col min="262" max="263" width="6.140625" style="318" customWidth="1"/>
    <col min="264" max="264" width="6.85546875" style="318" customWidth="1"/>
    <col min="265" max="265" width="6.5703125" style="318" customWidth="1"/>
    <col min="266" max="267" width="6.42578125" style="318" customWidth="1"/>
    <col min="268" max="268" width="4.140625" style="318" customWidth="1"/>
    <col min="269" max="269" width="4.28515625" style="318" customWidth="1"/>
    <col min="270" max="270" width="4.42578125" style="318" customWidth="1"/>
    <col min="271" max="271" width="5.28515625" style="318" customWidth="1"/>
    <col min="272" max="510" width="9.140625" style="318"/>
    <col min="511" max="511" width="5.7109375" style="318" customWidth="1"/>
    <col min="512" max="512" width="3.85546875" style="318" customWidth="1"/>
    <col min="513" max="513" width="6" style="318" customWidth="1"/>
    <col min="514" max="514" width="5.28515625" style="318" customWidth="1"/>
    <col min="515" max="515" width="5.7109375" style="318" customWidth="1"/>
    <col min="516" max="516" width="5.42578125" style="318" customWidth="1"/>
    <col min="517" max="517" width="6.28515625" style="318" customWidth="1"/>
    <col min="518" max="519" width="6.140625" style="318" customWidth="1"/>
    <col min="520" max="520" width="6.85546875" style="318" customWidth="1"/>
    <col min="521" max="521" width="6.5703125" style="318" customWidth="1"/>
    <col min="522" max="523" width="6.42578125" style="318" customWidth="1"/>
    <col min="524" max="524" width="4.140625" style="318" customWidth="1"/>
    <col min="525" max="525" width="4.28515625" style="318" customWidth="1"/>
    <col min="526" max="526" width="4.42578125" style="318" customWidth="1"/>
    <col min="527" max="527" width="5.28515625" style="318" customWidth="1"/>
    <col min="528" max="766" width="9.140625" style="318"/>
    <col min="767" max="767" width="5.7109375" style="318" customWidth="1"/>
    <col min="768" max="768" width="3.85546875" style="318" customWidth="1"/>
    <col min="769" max="769" width="6" style="318" customWidth="1"/>
    <col min="770" max="770" width="5.28515625" style="318" customWidth="1"/>
    <col min="771" max="771" width="5.7109375" style="318" customWidth="1"/>
    <col min="772" max="772" width="5.42578125" style="318" customWidth="1"/>
    <col min="773" max="773" width="6.28515625" style="318" customWidth="1"/>
    <col min="774" max="775" width="6.140625" style="318" customWidth="1"/>
    <col min="776" max="776" width="6.85546875" style="318" customWidth="1"/>
    <col min="777" max="777" width="6.5703125" style="318" customWidth="1"/>
    <col min="778" max="779" width="6.42578125" style="318" customWidth="1"/>
    <col min="780" max="780" width="4.140625" style="318" customWidth="1"/>
    <col min="781" max="781" width="4.28515625" style="318" customWidth="1"/>
    <col min="782" max="782" width="4.42578125" style="318" customWidth="1"/>
    <col min="783" max="783" width="5.28515625" style="318" customWidth="1"/>
    <col min="784" max="1022" width="9.140625" style="318"/>
    <col min="1023" max="1023" width="5.7109375" style="318" customWidth="1"/>
    <col min="1024" max="1024" width="3.85546875" style="318" customWidth="1"/>
    <col min="1025" max="1025" width="6" style="318" customWidth="1"/>
    <col min="1026" max="1026" width="5.28515625" style="318" customWidth="1"/>
    <col min="1027" max="1027" width="5.7109375" style="318" customWidth="1"/>
    <col min="1028" max="1028" width="5.42578125" style="318" customWidth="1"/>
    <col min="1029" max="1029" width="6.28515625" style="318" customWidth="1"/>
    <col min="1030" max="1031" width="6.140625" style="318" customWidth="1"/>
    <col min="1032" max="1032" width="6.85546875" style="318" customWidth="1"/>
    <col min="1033" max="1033" width="6.5703125" style="318" customWidth="1"/>
    <col min="1034" max="1035" width="6.42578125" style="318" customWidth="1"/>
    <col min="1036" max="1036" width="4.140625" style="318" customWidth="1"/>
    <col min="1037" max="1037" width="4.28515625" style="318" customWidth="1"/>
    <col min="1038" max="1038" width="4.42578125" style="318" customWidth="1"/>
    <col min="1039" max="1039" width="5.28515625" style="318" customWidth="1"/>
    <col min="1040" max="1278" width="9.140625" style="318"/>
    <col min="1279" max="1279" width="5.7109375" style="318" customWidth="1"/>
    <col min="1280" max="1280" width="3.85546875" style="318" customWidth="1"/>
    <col min="1281" max="1281" width="6" style="318" customWidth="1"/>
    <col min="1282" max="1282" width="5.28515625" style="318" customWidth="1"/>
    <col min="1283" max="1283" width="5.7109375" style="318" customWidth="1"/>
    <col min="1284" max="1284" width="5.42578125" style="318" customWidth="1"/>
    <col min="1285" max="1285" width="6.28515625" style="318" customWidth="1"/>
    <col min="1286" max="1287" width="6.140625" style="318" customWidth="1"/>
    <col min="1288" max="1288" width="6.85546875" style="318" customWidth="1"/>
    <col min="1289" max="1289" width="6.5703125" style="318" customWidth="1"/>
    <col min="1290" max="1291" width="6.42578125" style="318" customWidth="1"/>
    <col min="1292" max="1292" width="4.140625" style="318" customWidth="1"/>
    <col min="1293" max="1293" width="4.28515625" style="318" customWidth="1"/>
    <col min="1294" max="1294" width="4.42578125" style="318" customWidth="1"/>
    <col min="1295" max="1295" width="5.28515625" style="318" customWidth="1"/>
    <col min="1296" max="1534" width="9.140625" style="318"/>
    <col min="1535" max="1535" width="5.7109375" style="318" customWidth="1"/>
    <col min="1536" max="1536" width="3.85546875" style="318" customWidth="1"/>
    <col min="1537" max="1537" width="6" style="318" customWidth="1"/>
    <col min="1538" max="1538" width="5.28515625" style="318" customWidth="1"/>
    <col min="1539" max="1539" width="5.7109375" style="318" customWidth="1"/>
    <col min="1540" max="1540" width="5.42578125" style="318" customWidth="1"/>
    <col min="1541" max="1541" width="6.28515625" style="318" customWidth="1"/>
    <col min="1542" max="1543" width="6.140625" style="318" customWidth="1"/>
    <col min="1544" max="1544" width="6.85546875" style="318" customWidth="1"/>
    <col min="1545" max="1545" width="6.5703125" style="318" customWidth="1"/>
    <col min="1546" max="1547" width="6.42578125" style="318" customWidth="1"/>
    <col min="1548" max="1548" width="4.140625" style="318" customWidth="1"/>
    <col min="1549" max="1549" width="4.28515625" style="318" customWidth="1"/>
    <col min="1550" max="1550" width="4.42578125" style="318" customWidth="1"/>
    <col min="1551" max="1551" width="5.28515625" style="318" customWidth="1"/>
    <col min="1552" max="1790" width="9.140625" style="318"/>
    <col min="1791" max="1791" width="5.7109375" style="318" customWidth="1"/>
    <col min="1792" max="1792" width="3.85546875" style="318" customWidth="1"/>
    <col min="1793" max="1793" width="6" style="318" customWidth="1"/>
    <col min="1794" max="1794" width="5.28515625" style="318" customWidth="1"/>
    <col min="1795" max="1795" width="5.7109375" style="318" customWidth="1"/>
    <col min="1796" max="1796" width="5.42578125" style="318" customWidth="1"/>
    <col min="1797" max="1797" width="6.28515625" style="318" customWidth="1"/>
    <col min="1798" max="1799" width="6.140625" style="318" customWidth="1"/>
    <col min="1800" max="1800" width="6.85546875" style="318" customWidth="1"/>
    <col min="1801" max="1801" width="6.5703125" style="318" customWidth="1"/>
    <col min="1802" max="1803" width="6.42578125" style="318" customWidth="1"/>
    <col min="1804" max="1804" width="4.140625" style="318" customWidth="1"/>
    <col min="1805" max="1805" width="4.28515625" style="318" customWidth="1"/>
    <col min="1806" max="1806" width="4.42578125" style="318" customWidth="1"/>
    <col min="1807" max="1807" width="5.28515625" style="318" customWidth="1"/>
    <col min="1808" max="2046" width="9.140625" style="318"/>
    <col min="2047" max="2047" width="5.7109375" style="318" customWidth="1"/>
    <col min="2048" max="2048" width="3.85546875" style="318" customWidth="1"/>
    <col min="2049" max="2049" width="6" style="318" customWidth="1"/>
    <col min="2050" max="2050" width="5.28515625" style="318" customWidth="1"/>
    <col min="2051" max="2051" width="5.7109375" style="318" customWidth="1"/>
    <col min="2052" max="2052" width="5.42578125" style="318" customWidth="1"/>
    <col min="2053" max="2053" width="6.28515625" style="318" customWidth="1"/>
    <col min="2054" max="2055" width="6.140625" style="318" customWidth="1"/>
    <col min="2056" max="2056" width="6.85546875" style="318" customWidth="1"/>
    <col min="2057" max="2057" width="6.5703125" style="318" customWidth="1"/>
    <col min="2058" max="2059" width="6.42578125" style="318" customWidth="1"/>
    <col min="2060" max="2060" width="4.140625" style="318" customWidth="1"/>
    <col min="2061" max="2061" width="4.28515625" style="318" customWidth="1"/>
    <col min="2062" max="2062" width="4.42578125" style="318" customWidth="1"/>
    <col min="2063" max="2063" width="5.28515625" style="318" customWidth="1"/>
    <col min="2064" max="2302" width="9.140625" style="318"/>
    <col min="2303" max="2303" width="5.7109375" style="318" customWidth="1"/>
    <col min="2304" max="2304" width="3.85546875" style="318" customWidth="1"/>
    <col min="2305" max="2305" width="6" style="318" customWidth="1"/>
    <col min="2306" max="2306" width="5.28515625" style="318" customWidth="1"/>
    <col min="2307" max="2307" width="5.7109375" style="318" customWidth="1"/>
    <col min="2308" max="2308" width="5.42578125" style="318" customWidth="1"/>
    <col min="2309" max="2309" width="6.28515625" style="318" customWidth="1"/>
    <col min="2310" max="2311" width="6.140625" style="318" customWidth="1"/>
    <col min="2312" max="2312" width="6.85546875" style="318" customWidth="1"/>
    <col min="2313" max="2313" width="6.5703125" style="318" customWidth="1"/>
    <col min="2314" max="2315" width="6.42578125" style="318" customWidth="1"/>
    <col min="2316" max="2316" width="4.140625" style="318" customWidth="1"/>
    <col min="2317" max="2317" width="4.28515625" style="318" customWidth="1"/>
    <col min="2318" max="2318" width="4.42578125" style="318" customWidth="1"/>
    <col min="2319" max="2319" width="5.28515625" style="318" customWidth="1"/>
    <col min="2320" max="2558" width="9.140625" style="318"/>
    <col min="2559" max="2559" width="5.7109375" style="318" customWidth="1"/>
    <col min="2560" max="2560" width="3.85546875" style="318" customWidth="1"/>
    <col min="2561" max="2561" width="6" style="318" customWidth="1"/>
    <col min="2562" max="2562" width="5.28515625" style="318" customWidth="1"/>
    <col min="2563" max="2563" width="5.7109375" style="318" customWidth="1"/>
    <col min="2564" max="2564" width="5.42578125" style="318" customWidth="1"/>
    <col min="2565" max="2565" width="6.28515625" style="318" customWidth="1"/>
    <col min="2566" max="2567" width="6.140625" style="318" customWidth="1"/>
    <col min="2568" max="2568" width="6.85546875" style="318" customWidth="1"/>
    <col min="2569" max="2569" width="6.5703125" style="318" customWidth="1"/>
    <col min="2570" max="2571" width="6.42578125" style="318" customWidth="1"/>
    <col min="2572" max="2572" width="4.140625" style="318" customWidth="1"/>
    <col min="2573" max="2573" width="4.28515625" style="318" customWidth="1"/>
    <col min="2574" max="2574" width="4.42578125" style="318" customWidth="1"/>
    <col min="2575" max="2575" width="5.28515625" style="318" customWidth="1"/>
    <col min="2576" max="2814" width="9.140625" style="318"/>
    <col min="2815" max="2815" width="5.7109375" style="318" customWidth="1"/>
    <col min="2816" max="2816" width="3.85546875" style="318" customWidth="1"/>
    <col min="2817" max="2817" width="6" style="318" customWidth="1"/>
    <col min="2818" max="2818" width="5.28515625" style="318" customWidth="1"/>
    <col min="2819" max="2819" width="5.7109375" style="318" customWidth="1"/>
    <col min="2820" max="2820" width="5.42578125" style="318" customWidth="1"/>
    <col min="2821" max="2821" width="6.28515625" style="318" customWidth="1"/>
    <col min="2822" max="2823" width="6.140625" style="318" customWidth="1"/>
    <col min="2824" max="2824" width="6.85546875" style="318" customWidth="1"/>
    <col min="2825" max="2825" width="6.5703125" style="318" customWidth="1"/>
    <col min="2826" max="2827" width="6.42578125" style="318" customWidth="1"/>
    <col min="2828" max="2828" width="4.140625" style="318" customWidth="1"/>
    <col min="2829" max="2829" width="4.28515625" style="318" customWidth="1"/>
    <col min="2830" max="2830" width="4.42578125" style="318" customWidth="1"/>
    <col min="2831" max="2831" width="5.28515625" style="318" customWidth="1"/>
    <col min="2832" max="3070" width="9.140625" style="318"/>
    <col min="3071" max="3071" width="5.7109375" style="318" customWidth="1"/>
    <col min="3072" max="3072" width="3.85546875" style="318" customWidth="1"/>
    <col min="3073" max="3073" width="6" style="318" customWidth="1"/>
    <col min="3074" max="3074" width="5.28515625" style="318" customWidth="1"/>
    <col min="3075" max="3075" width="5.7109375" style="318" customWidth="1"/>
    <col min="3076" max="3076" width="5.42578125" style="318" customWidth="1"/>
    <col min="3077" max="3077" width="6.28515625" style="318" customWidth="1"/>
    <col min="3078" max="3079" width="6.140625" style="318" customWidth="1"/>
    <col min="3080" max="3080" width="6.85546875" style="318" customWidth="1"/>
    <col min="3081" max="3081" width="6.5703125" style="318" customWidth="1"/>
    <col min="3082" max="3083" width="6.42578125" style="318" customWidth="1"/>
    <col min="3084" max="3084" width="4.140625" style="318" customWidth="1"/>
    <col min="3085" max="3085" width="4.28515625" style="318" customWidth="1"/>
    <col min="3086" max="3086" width="4.42578125" style="318" customWidth="1"/>
    <col min="3087" max="3087" width="5.28515625" style="318" customWidth="1"/>
    <col min="3088" max="3326" width="9.140625" style="318"/>
    <col min="3327" max="3327" width="5.7109375" style="318" customWidth="1"/>
    <col min="3328" max="3328" width="3.85546875" style="318" customWidth="1"/>
    <col min="3329" max="3329" width="6" style="318" customWidth="1"/>
    <col min="3330" max="3330" width="5.28515625" style="318" customWidth="1"/>
    <col min="3331" max="3331" width="5.7109375" style="318" customWidth="1"/>
    <col min="3332" max="3332" width="5.42578125" style="318" customWidth="1"/>
    <col min="3333" max="3333" width="6.28515625" style="318" customWidth="1"/>
    <col min="3334" max="3335" width="6.140625" style="318" customWidth="1"/>
    <col min="3336" max="3336" width="6.85546875" style="318" customWidth="1"/>
    <col min="3337" max="3337" width="6.5703125" style="318" customWidth="1"/>
    <col min="3338" max="3339" width="6.42578125" style="318" customWidth="1"/>
    <col min="3340" max="3340" width="4.140625" style="318" customWidth="1"/>
    <col min="3341" max="3341" width="4.28515625" style="318" customWidth="1"/>
    <col min="3342" max="3342" width="4.42578125" style="318" customWidth="1"/>
    <col min="3343" max="3343" width="5.28515625" style="318" customWidth="1"/>
    <col min="3344" max="3582" width="9.140625" style="318"/>
    <col min="3583" max="3583" width="5.7109375" style="318" customWidth="1"/>
    <col min="3584" max="3584" width="3.85546875" style="318" customWidth="1"/>
    <col min="3585" max="3585" width="6" style="318" customWidth="1"/>
    <col min="3586" max="3586" width="5.28515625" style="318" customWidth="1"/>
    <col min="3587" max="3587" width="5.7109375" style="318" customWidth="1"/>
    <col min="3588" max="3588" width="5.42578125" style="318" customWidth="1"/>
    <col min="3589" max="3589" width="6.28515625" style="318" customWidth="1"/>
    <col min="3590" max="3591" width="6.140625" style="318" customWidth="1"/>
    <col min="3592" max="3592" width="6.85546875" style="318" customWidth="1"/>
    <col min="3593" max="3593" width="6.5703125" style="318" customWidth="1"/>
    <col min="3594" max="3595" width="6.42578125" style="318" customWidth="1"/>
    <col min="3596" max="3596" width="4.140625" style="318" customWidth="1"/>
    <col min="3597" max="3597" width="4.28515625" style="318" customWidth="1"/>
    <col min="3598" max="3598" width="4.42578125" style="318" customWidth="1"/>
    <col min="3599" max="3599" width="5.28515625" style="318" customWidth="1"/>
    <col min="3600" max="3838" width="9.140625" style="318"/>
    <col min="3839" max="3839" width="5.7109375" style="318" customWidth="1"/>
    <col min="3840" max="3840" width="3.85546875" style="318" customWidth="1"/>
    <col min="3841" max="3841" width="6" style="318" customWidth="1"/>
    <col min="3842" max="3842" width="5.28515625" style="318" customWidth="1"/>
    <col min="3843" max="3843" width="5.7109375" style="318" customWidth="1"/>
    <col min="3844" max="3844" width="5.42578125" style="318" customWidth="1"/>
    <col min="3845" max="3845" width="6.28515625" style="318" customWidth="1"/>
    <col min="3846" max="3847" width="6.140625" style="318" customWidth="1"/>
    <col min="3848" max="3848" width="6.85546875" style="318" customWidth="1"/>
    <col min="3849" max="3849" width="6.5703125" style="318" customWidth="1"/>
    <col min="3850" max="3851" width="6.42578125" style="318" customWidth="1"/>
    <col min="3852" max="3852" width="4.140625" style="318" customWidth="1"/>
    <col min="3853" max="3853" width="4.28515625" style="318" customWidth="1"/>
    <col min="3854" max="3854" width="4.42578125" style="318" customWidth="1"/>
    <col min="3855" max="3855" width="5.28515625" style="318" customWidth="1"/>
    <col min="3856" max="4094" width="9.140625" style="318"/>
    <col min="4095" max="4095" width="5.7109375" style="318" customWidth="1"/>
    <col min="4096" max="4096" width="3.85546875" style="318" customWidth="1"/>
    <col min="4097" max="4097" width="6" style="318" customWidth="1"/>
    <col min="4098" max="4098" width="5.28515625" style="318" customWidth="1"/>
    <col min="4099" max="4099" width="5.7109375" style="318" customWidth="1"/>
    <col min="4100" max="4100" width="5.42578125" style="318" customWidth="1"/>
    <col min="4101" max="4101" width="6.28515625" style="318" customWidth="1"/>
    <col min="4102" max="4103" width="6.140625" style="318" customWidth="1"/>
    <col min="4104" max="4104" width="6.85546875" style="318" customWidth="1"/>
    <col min="4105" max="4105" width="6.5703125" style="318" customWidth="1"/>
    <col min="4106" max="4107" width="6.42578125" style="318" customWidth="1"/>
    <col min="4108" max="4108" width="4.140625" style="318" customWidth="1"/>
    <col min="4109" max="4109" width="4.28515625" style="318" customWidth="1"/>
    <col min="4110" max="4110" width="4.42578125" style="318" customWidth="1"/>
    <col min="4111" max="4111" width="5.28515625" style="318" customWidth="1"/>
    <col min="4112" max="4350" width="9.140625" style="318"/>
    <col min="4351" max="4351" width="5.7109375" style="318" customWidth="1"/>
    <col min="4352" max="4352" width="3.85546875" style="318" customWidth="1"/>
    <col min="4353" max="4353" width="6" style="318" customWidth="1"/>
    <col min="4354" max="4354" width="5.28515625" style="318" customWidth="1"/>
    <col min="4355" max="4355" width="5.7109375" style="318" customWidth="1"/>
    <col min="4356" max="4356" width="5.42578125" style="318" customWidth="1"/>
    <col min="4357" max="4357" width="6.28515625" style="318" customWidth="1"/>
    <col min="4358" max="4359" width="6.140625" style="318" customWidth="1"/>
    <col min="4360" max="4360" width="6.85546875" style="318" customWidth="1"/>
    <col min="4361" max="4361" width="6.5703125" style="318" customWidth="1"/>
    <col min="4362" max="4363" width="6.42578125" style="318" customWidth="1"/>
    <col min="4364" max="4364" width="4.140625" style="318" customWidth="1"/>
    <col min="4365" max="4365" width="4.28515625" style="318" customWidth="1"/>
    <col min="4366" max="4366" width="4.42578125" style="318" customWidth="1"/>
    <col min="4367" max="4367" width="5.28515625" style="318" customWidth="1"/>
    <col min="4368" max="4606" width="9.140625" style="318"/>
    <col min="4607" max="4607" width="5.7109375" style="318" customWidth="1"/>
    <col min="4608" max="4608" width="3.85546875" style="318" customWidth="1"/>
    <col min="4609" max="4609" width="6" style="318" customWidth="1"/>
    <col min="4610" max="4610" width="5.28515625" style="318" customWidth="1"/>
    <col min="4611" max="4611" width="5.7109375" style="318" customWidth="1"/>
    <col min="4612" max="4612" width="5.42578125" style="318" customWidth="1"/>
    <col min="4613" max="4613" width="6.28515625" style="318" customWidth="1"/>
    <col min="4614" max="4615" width="6.140625" style="318" customWidth="1"/>
    <col min="4616" max="4616" width="6.85546875" style="318" customWidth="1"/>
    <col min="4617" max="4617" width="6.5703125" style="318" customWidth="1"/>
    <col min="4618" max="4619" width="6.42578125" style="318" customWidth="1"/>
    <col min="4620" max="4620" width="4.140625" style="318" customWidth="1"/>
    <col min="4621" max="4621" width="4.28515625" style="318" customWidth="1"/>
    <col min="4622" max="4622" width="4.42578125" style="318" customWidth="1"/>
    <col min="4623" max="4623" width="5.28515625" style="318" customWidth="1"/>
    <col min="4624" max="4862" width="9.140625" style="318"/>
    <col min="4863" max="4863" width="5.7109375" style="318" customWidth="1"/>
    <col min="4864" max="4864" width="3.85546875" style="318" customWidth="1"/>
    <col min="4865" max="4865" width="6" style="318" customWidth="1"/>
    <col min="4866" max="4866" width="5.28515625" style="318" customWidth="1"/>
    <col min="4867" max="4867" width="5.7109375" style="318" customWidth="1"/>
    <col min="4868" max="4868" width="5.42578125" style="318" customWidth="1"/>
    <col min="4869" max="4869" width="6.28515625" style="318" customWidth="1"/>
    <col min="4870" max="4871" width="6.140625" style="318" customWidth="1"/>
    <col min="4872" max="4872" width="6.85546875" style="318" customWidth="1"/>
    <col min="4873" max="4873" width="6.5703125" style="318" customWidth="1"/>
    <col min="4874" max="4875" width="6.42578125" style="318" customWidth="1"/>
    <col min="4876" max="4876" width="4.140625" style="318" customWidth="1"/>
    <col min="4877" max="4877" width="4.28515625" style="318" customWidth="1"/>
    <col min="4878" max="4878" width="4.42578125" style="318" customWidth="1"/>
    <col min="4879" max="4879" width="5.28515625" style="318" customWidth="1"/>
    <col min="4880" max="5118" width="9.140625" style="318"/>
    <col min="5119" max="5119" width="5.7109375" style="318" customWidth="1"/>
    <col min="5120" max="5120" width="3.85546875" style="318" customWidth="1"/>
    <col min="5121" max="5121" width="6" style="318" customWidth="1"/>
    <col min="5122" max="5122" width="5.28515625" style="318" customWidth="1"/>
    <col min="5123" max="5123" width="5.7109375" style="318" customWidth="1"/>
    <col min="5124" max="5124" width="5.42578125" style="318" customWidth="1"/>
    <col min="5125" max="5125" width="6.28515625" style="318" customWidth="1"/>
    <col min="5126" max="5127" width="6.140625" style="318" customWidth="1"/>
    <col min="5128" max="5128" width="6.85546875" style="318" customWidth="1"/>
    <col min="5129" max="5129" width="6.5703125" style="318" customWidth="1"/>
    <col min="5130" max="5131" width="6.42578125" style="318" customWidth="1"/>
    <col min="5132" max="5132" width="4.140625" style="318" customWidth="1"/>
    <col min="5133" max="5133" width="4.28515625" style="318" customWidth="1"/>
    <col min="5134" max="5134" width="4.42578125" style="318" customWidth="1"/>
    <col min="5135" max="5135" width="5.28515625" style="318" customWidth="1"/>
    <col min="5136" max="5374" width="9.140625" style="318"/>
    <col min="5375" max="5375" width="5.7109375" style="318" customWidth="1"/>
    <col min="5376" max="5376" width="3.85546875" style="318" customWidth="1"/>
    <col min="5377" max="5377" width="6" style="318" customWidth="1"/>
    <col min="5378" max="5378" width="5.28515625" style="318" customWidth="1"/>
    <col min="5379" max="5379" width="5.7109375" style="318" customWidth="1"/>
    <col min="5380" max="5380" width="5.42578125" style="318" customWidth="1"/>
    <col min="5381" max="5381" width="6.28515625" style="318" customWidth="1"/>
    <col min="5382" max="5383" width="6.140625" style="318" customWidth="1"/>
    <col min="5384" max="5384" width="6.85546875" style="318" customWidth="1"/>
    <col min="5385" max="5385" width="6.5703125" style="318" customWidth="1"/>
    <col min="5386" max="5387" width="6.42578125" style="318" customWidth="1"/>
    <col min="5388" max="5388" width="4.140625" style="318" customWidth="1"/>
    <col min="5389" max="5389" width="4.28515625" style="318" customWidth="1"/>
    <col min="5390" max="5390" width="4.42578125" style="318" customWidth="1"/>
    <col min="5391" max="5391" width="5.28515625" style="318" customWidth="1"/>
    <col min="5392" max="5630" width="9.140625" style="318"/>
    <col min="5631" max="5631" width="5.7109375" style="318" customWidth="1"/>
    <col min="5632" max="5632" width="3.85546875" style="318" customWidth="1"/>
    <col min="5633" max="5633" width="6" style="318" customWidth="1"/>
    <col min="5634" max="5634" width="5.28515625" style="318" customWidth="1"/>
    <col min="5635" max="5635" width="5.7109375" style="318" customWidth="1"/>
    <col min="5636" max="5636" width="5.42578125" style="318" customWidth="1"/>
    <col min="5637" max="5637" width="6.28515625" style="318" customWidth="1"/>
    <col min="5638" max="5639" width="6.140625" style="318" customWidth="1"/>
    <col min="5640" max="5640" width="6.85546875" style="318" customWidth="1"/>
    <col min="5641" max="5641" width="6.5703125" style="318" customWidth="1"/>
    <col min="5642" max="5643" width="6.42578125" style="318" customWidth="1"/>
    <col min="5644" max="5644" width="4.140625" style="318" customWidth="1"/>
    <col min="5645" max="5645" width="4.28515625" style="318" customWidth="1"/>
    <col min="5646" max="5646" width="4.42578125" style="318" customWidth="1"/>
    <col min="5647" max="5647" width="5.28515625" style="318" customWidth="1"/>
    <col min="5648" max="5886" width="9.140625" style="318"/>
    <col min="5887" max="5887" width="5.7109375" style="318" customWidth="1"/>
    <col min="5888" max="5888" width="3.85546875" style="318" customWidth="1"/>
    <col min="5889" max="5889" width="6" style="318" customWidth="1"/>
    <col min="5890" max="5890" width="5.28515625" style="318" customWidth="1"/>
    <col min="5891" max="5891" width="5.7109375" style="318" customWidth="1"/>
    <col min="5892" max="5892" width="5.42578125" style="318" customWidth="1"/>
    <col min="5893" max="5893" width="6.28515625" style="318" customWidth="1"/>
    <col min="5894" max="5895" width="6.140625" style="318" customWidth="1"/>
    <col min="5896" max="5896" width="6.85546875" style="318" customWidth="1"/>
    <col min="5897" max="5897" width="6.5703125" style="318" customWidth="1"/>
    <col min="5898" max="5899" width="6.42578125" style="318" customWidth="1"/>
    <col min="5900" max="5900" width="4.140625" style="318" customWidth="1"/>
    <col min="5901" max="5901" width="4.28515625" style="318" customWidth="1"/>
    <col min="5902" max="5902" width="4.42578125" style="318" customWidth="1"/>
    <col min="5903" max="5903" width="5.28515625" style="318" customWidth="1"/>
    <col min="5904" max="6142" width="9.140625" style="318"/>
    <col min="6143" max="6143" width="5.7109375" style="318" customWidth="1"/>
    <col min="6144" max="6144" width="3.85546875" style="318" customWidth="1"/>
    <col min="6145" max="6145" width="6" style="318" customWidth="1"/>
    <col min="6146" max="6146" width="5.28515625" style="318" customWidth="1"/>
    <col min="6147" max="6147" width="5.7109375" style="318" customWidth="1"/>
    <col min="6148" max="6148" width="5.42578125" style="318" customWidth="1"/>
    <col min="6149" max="6149" width="6.28515625" style="318" customWidth="1"/>
    <col min="6150" max="6151" width="6.140625" style="318" customWidth="1"/>
    <col min="6152" max="6152" width="6.85546875" style="318" customWidth="1"/>
    <col min="6153" max="6153" width="6.5703125" style="318" customWidth="1"/>
    <col min="6154" max="6155" width="6.42578125" style="318" customWidth="1"/>
    <col min="6156" max="6156" width="4.140625" style="318" customWidth="1"/>
    <col min="6157" max="6157" width="4.28515625" style="318" customWidth="1"/>
    <col min="6158" max="6158" width="4.42578125" style="318" customWidth="1"/>
    <col min="6159" max="6159" width="5.28515625" style="318" customWidth="1"/>
    <col min="6160" max="6398" width="9.140625" style="318"/>
    <col min="6399" max="6399" width="5.7109375" style="318" customWidth="1"/>
    <col min="6400" max="6400" width="3.85546875" style="318" customWidth="1"/>
    <col min="6401" max="6401" width="6" style="318" customWidth="1"/>
    <col min="6402" max="6402" width="5.28515625" style="318" customWidth="1"/>
    <col min="6403" max="6403" width="5.7109375" style="318" customWidth="1"/>
    <col min="6404" max="6404" width="5.42578125" style="318" customWidth="1"/>
    <col min="6405" max="6405" width="6.28515625" style="318" customWidth="1"/>
    <col min="6406" max="6407" width="6.140625" style="318" customWidth="1"/>
    <col min="6408" max="6408" width="6.85546875" style="318" customWidth="1"/>
    <col min="6409" max="6409" width="6.5703125" style="318" customWidth="1"/>
    <col min="6410" max="6411" width="6.42578125" style="318" customWidth="1"/>
    <col min="6412" max="6412" width="4.140625" style="318" customWidth="1"/>
    <col min="6413" max="6413" width="4.28515625" style="318" customWidth="1"/>
    <col min="6414" max="6414" width="4.42578125" style="318" customWidth="1"/>
    <col min="6415" max="6415" width="5.28515625" style="318" customWidth="1"/>
    <col min="6416" max="6654" width="9.140625" style="318"/>
    <col min="6655" max="6655" width="5.7109375" style="318" customWidth="1"/>
    <col min="6656" max="6656" width="3.85546875" style="318" customWidth="1"/>
    <col min="6657" max="6657" width="6" style="318" customWidth="1"/>
    <col min="6658" max="6658" width="5.28515625" style="318" customWidth="1"/>
    <col min="6659" max="6659" width="5.7109375" style="318" customWidth="1"/>
    <col min="6660" max="6660" width="5.42578125" style="318" customWidth="1"/>
    <col min="6661" max="6661" width="6.28515625" style="318" customWidth="1"/>
    <col min="6662" max="6663" width="6.140625" style="318" customWidth="1"/>
    <col min="6664" max="6664" width="6.85546875" style="318" customWidth="1"/>
    <col min="6665" max="6665" width="6.5703125" style="318" customWidth="1"/>
    <col min="6666" max="6667" width="6.42578125" style="318" customWidth="1"/>
    <col min="6668" max="6668" width="4.140625" style="318" customWidth="1"/>
    <col min="6669" max="6669" width="4.28515625" style="318" customWidth="1"/>
    <col min="6670" max="6670" width="4.42578125" style="318" customWidth="1"/>
    <col min="6671" max="6671" width="5.28515625" style="318" customWidth="1"/>
    <col min="6672" max="6910" width="9.140625" style="318"/>
    <col min="6911" max="6911" width="5.7109375" style="318" customWidth="1"/>
    <col min="6912" max="6912" width="3.85546875" style="318" customWidth="1"/>
    <col min="6913" max="6913" width="6" style="318" customWidth="1"/>
    <col min="6914" max="6914" width="5.28515625" style="318" customWidth="1"/>
    <col min="6915" max="6915" width="5.7109375" style="318" customWidth="1"/>
    <col min="6916" max="6916" width="5.42578125" style="318" customWidth="1"/>
    <col min="6917" max="6917" width="6.28515625" style="318" customWidth="1"/>
    <col min="6918" max="6919" width="6.140625" style="318" customWidth="1"/>
    <col min="6920" max="6920" width="6.85546875" style="318" customWidth="1"/>
    <col min="6921" max="6921" width="6.5703125" style="318" customWidth="1"/>
    <col min="6922" max="6923" width="6.42578125" style="318" customWidth="1"/>
    <col min="6924" max="6924" width="4.140625" style="318" customWidth="1"/>
    <col min="6925" max="6925" width="4.28515625" style="318" customWidth="1"/>
    <col min="6926" max="6926" width="4.42578125" style="318" customWidth="1"/>
    <col min="6927" max="6927" width="5.28515625" style="318" customWidth="1"/>
    <col min="6928" max="7166" width="9.140625" style="318"/>
    <col min="7167" max="7167" width="5.7109375" style="318" customWidth="1"/>
    <col min="7168" max="7168" width="3.85546875" style="318" customWidth="1"/>
    <col min="7169" max="7169" width="6" style="318" customWidth="1"/>
    <col min="7170" max="7170" width="5.28515625" style="318" customWidth="1"/>
    <col min="7171" max="7171" width="5.7109375" style="318" customWidth="1"/>
    <col min="7172" max="7172" width="5.42578125" style="318" customWidth="1"/>
    <col min="7173" max="7173" width="6.28515625" style="318" customWidth="1"/>
    <col min="7174" max="7175" width="6.140625" style="318" customWidth="1"/>
    <col min="7176" max="7176" width="6.85546875" style="318" customWidth="1"/>
    <col min="7177" max="7177" width="6.5703125" style="318" customWidth="1"/>
    <col min="7178" max="7179" width="6.42578125" style="318" customWidth="1"/>
    <col min="7180" max="7180" width="4.140625" style="318" customWidth="1"/>
    <col min="7181" max="7181" width="4.28515625" style="318" customWidth="1"/>
    <col min="7182" max="7182" width="4.42578125" style="318" customWidth="1"/>
    <col min="7183" max="7183" width="5.28515625" style="318" customWidth="1"/>
    <col min="7184" max="7422" width="9.140625" style="318"/>
    <col min="7423" max="7423" width="5.7109375" style="318" customWidth="1"/>
    <col min="7424" max="7424" width="3.85546875" style="318" customWidth="1"/>
    <col min="7425" max="7425" width="6" style="318" customWidth="1"/>
    <col min="7426" max="7426" width="5.28515625" style="318" customWidth="1"/>
    <col min="7427" max="7427" width="5.7109375" style="318" customWidth="1"/>
    <col min="7428" max="7428" width="5.42578125" style="318" customWidth="1"/>
    <col min="7429" max="7429" width="6.28515625" style="318" customWidth="1"/>
    <col min="7430" max="7431" width="6.140625" style="318" customWidth="1"/>
    <col min="7432" max="7432" width="6.85546875" style="318" customWidth="1"/>
    <col min="7433" max="7433" width="6.5703125" style="318" customWidth="1"/>
    <col min="7434" max="7435" width="6.42578125" style="318" customWidth="1"/>
    <col min="7436" max="7436" width="4.140625" style="318" customWidth="1"/>
    <col min="7437" max="7437" width="4.28515625" style="318" customWidth="1"/>
    <col min="7438" max="7438" width="4.42578125" style="318" customWidth="1"/>
    <col min="7439" max="7439" width="5.28515625" style="318" customWidth="1"/>
    <col min="7440" max="7678" width="9.140625" style="318"/>
    <col min="7679" max="7679" width="5.7109375" style="318" customWidth="1"/>
    <col min="7680" max="7680" width="3.85546875" style="318" customWidth="1"/>
    <col min="7681" max="7681" width="6" style="318" customWidth="1"/>
    <col min="7682" max="7682" width="5.28515625" style="318" customWidth="1"/>
    <col min="7683" max="7683" width="5.7109375" style="318" customWidth="1"/>
    <col min="7684" max="7684" width="5.42578125" style="318" customWidth="1"/>
    <col min="7685" max="7685" width="6.28515625" style="318" customWidth="1"/>
    <col min="7686" max="7687" width="6.140625" style="318" customWidth="1"/>
    <col min="7688" max="7688" width="6.85546875" style="318" customWidth="1"/>
    <col min="7689" max="7689" width="6.5703125" style="318" customWidth="1"/>
    <col min="7690" max="7691" width="6.42578125" style="318" customWidth="1"/>
    <col min="7692" max="7692" width="4.140625" style="318" customWidth="1"/>
    <col min="7693" max="7693" width="4.28515625" style="318" customWidth="1"/>
    <col min="7694" max="7694" width="4.42578125" style="318" customWidth="1"/>
    <col min="7695" max="7695" width="5.28515625" style="318" customWidth="1"/>
    <col min="7696" max="7934" width="9.140625" style="318"/>
    <col min="7935" max="7935" width="5.7109375" style="318" customWidth="1"/>
    <col min="7936" max="7936" width="3.85546875" style="318" customWidth="1"/>
    <col min="7937" max="7937" width="6" style="318" customWidth="1"/>
    <col min="7938" max="7938" width="5.28515625" style="318" customWidth="1"/>
    <col min="7939" max="7939" width="5.7109375" style="318" customWidth="1"/>
    <col min="7940" max="7940" width="5.42578125" style="318" customWidth="1"/>
    <col min="7941" max="7941" width="6.28515625" style="318" customWidth="1"/>
    <col min="7942" max="7943" width="6.140625" style="318" customWidth="1"/>
    <col min="7944" max="7944" width="6.85546875" style="318" customWidth="1"/>
    <col min="7945" max="7945" width="6.5703125" style="318" customWidth="1"/>
    <col min="7946" max="7947" width="6.42578125" style="318" customWidth="1"/>
    <col min="7948" max="7948" width="4.140625" style="318" customWidth="1"/>
    <col min="7949" max="7949" width="4.28515625" style="318" customWidth="1"/>
    <col min="7950" max="7950" width="4.42578125" style="318" customWidth="1"/>
    <col min="7951" max="7951" width="5.28515625" style="318" customWidth="1"/>
    <col min="7952" max="8190" width="9.140625" style="318"/>
    <col min="8191" max="8191" width="5.7109375" style="318" customWidth="1"/>
    <col min="8192" max="8192" width="3.85546875" style="318" customWidth="1"/>
    <col min="8193" max="8193" width="6" style="318" customWidth="1"/>
    <col min="8194" max="8194" width="5.28515625" style="318" customWidth="1"/>
    <col min="8195" max="8195" width="5.7109375" style="318" customWidth="1"/>
    <col min="8196" max="8196" width="5.42578125" style="318" customWidth="1"/>
    <col min="8197" max="8197" width="6.28515625" style="318" customWidth="1"/>
    <col min="8198" max="8199" width="6.140625" style="318" customWidth="1"/>
    <col min="8200" max="8200" width="6.85546875" style="318" customWidth="1"/>
    <col min="8201" max="8201" width="6.5703125" style="318" customWidth="1"/>
    <col min="8202" max="8203" width="6.42578125" style="318" customWidth="1"/>
    <col min="8204" max="8204" width="4.140625" style="318" customWidth="1"/>
    <col min="8205" max="8205" width="4.28515625" style="318" customWidth="1"/>
    <col min="8206" max="8206" width="4.42578125" style="318" customWidth="1"/>
    <col min="8207" max="8207" width="5.28515625" style="318" customWidth="1"/>
    <col min="8208" max="8446" width="9.140625" style="318"/>
    <col min="8447" max="8447" width="5.7109375" style="318" customWidth="1"/>
    <col min="8448" max="8448" width="3.85546875" style="318" customWidth="1"/>
    <col min="8449" max="8449" width="6" style="318" customWidth="1"/>
    <col min="8450" max="8450" width="5.28515625" style="318" customWidth="1"/>
    <col min="8451" max="8451" width="5.7109375" style="318" customWidth="1"/>
    <col min="8452" max="8452" width="5.42578125" style="318" customWidth="1"/>
    <col min="8453" max="8453" width="6.28515625" style="318" customWidth="1"/>
    <col min="8454" max="8455" width="6.140625" style="318" customWidth="1"/>
    <col min="8456" max="8456" width="6.85546875" style="318" customWidth="1"/>
    <col min="8457" max="8457" width="6.5703125" style="318" customWidth="1"/>
    <col min="8458" max="8459" width="6.42578125" style="318" customWidth="1"/>
    <col min="8460" max="8460" width="4.140625" style="318" customWidth="1"/>
    <col min="8461" max="8461" width="4.28515625" style="318" customWidth="1"/>
    <col min="8462" max="8462" width="4.42578125" style="318" customWidth="1"/>
    <col min="8463" max="8463" width="5.28515625" style="318" customWidth="1"/>
    <col min="8464" max="8702" width="9.140625" style="318"/>
    <col min="8703" max="8703" width="5.7109375" style="318" customWidth="1"/>
    <col min="8704" max="8704" width="3.85546875" style="318" customWidth="1"/>
    <col min="8705" max="8705" width="6" style="318" customWidth="1"/>
    <col min="8706" max="8706" width="5.28515625" style="318" customWidth="1"/>
    <col min="8707" max="8707" width="5.7109375" style="318" customWidth="1"/>
    <col min="8708" max="8708" width="5.42578125" style="318" customWidth="1"/>
    <col min="8709" max="8709" width="6.28515625" style="318" customWidth="1"/>
    <col min="8710" max="8711" width="6.140625" style="318" customWidth="1"/>
    <col min="8712" max="8712" width="6.85546875" style="318" customWidth="1"/>
    <col min="8713" max="8713" width="6.5703125" style="318" customWidth="1"/>
    <col min="8714" max="8715" width="6.42578125" style="318" customWidth="1"/>
    <col min="8716" max="8716" width="4.140625" style="318" customWidth="1"/>
    <col min="8717" max="8717" width="4.28515625" style="318" customWidth="1"/>
    <col min="8718" max="8718" width="4.42578125" style="318" customWidth="1"/>
    <col min="8719" max="8719" width="5.28515625" style="318" customWidth="1"/>
    <col min="8720" max="8958" width="9.140625" style="318"/>
    <col min="8959" max="8959" width="5.7109375" style="318" customWidth="1"/>
    <col min="8960" max="8960" width="3.85546875" style="318" customWidth="1"/>
    <col min="8961" max="8961" width="6" style="318" customWidth="1"/>
    <col min="8962" max="8962" width="5.28515625" style="318" customWidth="1"/>
    <col min="8963" max="8963" width="5.7109375" style="318" customWidth="1"/>
    <col min="8964" max="8964" width="5.42578125" style="318" customWidth="1"/>
    <col min="8965" max="8965" width="6.28515625" style="318" customWidth="1"/>
    <col min="8966" max="8967" width="6.140625" style="318" customWidth="1"/>
    <col min="8968" max="8968" width="6.85546875" style="318" customWidth="1"/>
    <col min="8969" max="8969" width="6.5703125" style="318" customWidth="1"/>
    <col min="8970" max="8971" width="6.42578125" style="318" customWidth="1"/>
    <col min="8972" max="8972" width="4.140625" style="318" customWidth="1"/>
    <col min="8973" max="8973" width="4.28515625" style="318" customWidth="1"/>
    <col min="8974" max="8974" width="4.42578125" style="318" customWidth="1"/>
    <col min="8975" max="8975" width="5.28515625" style="318" customWidth="1"/>
    <col min="8976" max="9214" width="9.140625" style="318"/>
    <col min="9215" max="9215" width="5.7109375" style="318" customWidth="1"/>
    <col min="9216" max="9216" width="3.85546875" style="318" customWidth="1"/>
    <col min="9217" max="9217" width="6" style="318" customWidth="1"/>
    <col min="9218" max="9218" width="5.28515625" style="318" customWidth="1"/>
    <col min="9219" max="9219" width="5.7109375" style="318" customWidth="1"/>
    <col min="9220" max="9220" width="5.42578125" style="318" customWidth="1"/>
    <col min="9221" max="9221" width="6.28515625" style="318" customWidth="1"/>
    <col min="9222" max="9223" width="6.140625" style="318" customWidth="1"/>
    <col min="9224" max="9224" width="6.85546875" style="318" customWidth="1"/>
    <col min="9225" max="9225" width="6.5703125" style="318" customWidth="1"/>
    <col min="9226" max="9227" width="6.42578125" style="318" customWidth="1"/>
    <col min="9228" max="9228" width="4.140625" style="318" customWidth="1"/>
    <col min="9229" max="9229" width="4.28515625" style="318" customWidth="1"/>
    <col min="9230" max="9230" width="4.42578125" style="318" customWidth="1"/>
    <col min="9231" max="9231" width="5.28515625" style="318" customWidth="1"/>
    <col min="9232" max="9470" width="9.140625" style="318"/>
    <col min="9471" max="9471" width="5.7109375" style="318" customWidth="1"/>
    <col min="9472" max="9472" width="3.85546875" style="318" customWidth="1"/>
    <col min="9473" max="9473" width="6" style="318" customWidth="1"/>
    <col min="9474" max="9474" width="5.28515625" style="318" customWidth="1"/>
    <col min="9475" max="9475" width="5.7109375" style="318" customWidth="1"/>
    <col min="9476" max="9476" width="5.42578125" style="318" customWidth="1"/>
    <col min="9477" max="9477" width="6.28515625" style="318" customWidth="1"/>
    <col min="9478" max="9479" width="6.140625" style="318" customWidth="1"/>
    <col min="9480" max="9480" width="6.85546875" style="318" customWidth="1"/>
    <col min="9481" max="9481" width="6.5703125" style="318" customWidth="1"/>
    <col min="9482" max="9483" width="6.42578125" style="318" customWidth="1"/>
    <col min="9484" max="9484" width="4.140625" style="318" customWidth="1"/>
    <col min="9485" max="9485" width="4.28515625" style="318" customWidth="1"/>
    <col min="9486" max="9486" width="4.42578125" style="318" customWidth="1"/>
    <col min="9487" max="9487" width="5.28515625" style="318" customWidth="1"/>
    <col min="9488" max="9726" width="9.140625" style="318"/>
    <col min="9727" max="9727" width="5.7109375" style="318" customWidth="1"/>
    <col min="9728" max="9728" width="3.85546875" style="318" customWidth="1"/>
    <col min="9729" max="9729" width="6" style="318" customWidth="1"/>
    <col min="9730" max="9730" width="5.28515625" style="318" customWidth="1"/>
    <col min="9731" max="9731" width="5.7109375" style="318" customWidth="1"/>
    <col min="9732" max="9732" width="5.42578125" style="318" customWidth="1"/>
    <col min="9733" max="9733" width="6.28515625" style="318" customWidth="1"/>
    <col min="9734" max="9735" width="6.140625" style="318" customWidth="1"/>
    <col min="9736" max="9736" width="6.85546875" style="318" customWidth="1"/>
    <col min="9737" max="9737" width="6.5703125" style="318" customWidth="1"/>
    <col min="9738" max="9739" width="6.42578125" style="318" customWidth="1"/>
    <col min="9740" max="9740" width="4.140625" style="318" customWidth="1"/>
    <col min="9741" max="9741" width="4.28515625" style="318" customWidth="1"/>
    <col min="9742" max="9742" width="4.42578125" style="318" customWidth="1"/>
    <col min="9743" max="9743" width="5.28515625" style="318" customWidth="1"/>
    <col min="9744" max="9982" width="9.140625" style="318"/>
    <col min="9983" max="9983" width="5.7109375" style="318" customWidth="1"/>
    <col min="9984" max="9984" width="3.85546875" style="318" customWidth="1"/>
    <col min="9985" max="9985" width="6" style="318" customWidth="1"/>
    <col min="9986" max="9986" width="5.28515625" style="318" customWidth="1"/>
    <col min="9987" max="9987" width="5.7109375" style="318" customWidth="1"/>
    <col min="9988" max="9988" width="5.42578125" style="318" customWidth="1"/>
    <col min="9989" max="9989" width="6.28515625" style="318" customWidth="1"/>
    <col min="9990" max="9991" width="6.140625" style="318" customWidth="1"/>
    <col min="9992" max="9992" width="6.85546875" style="318" customWidth="1"/>
    <col min="9993" max="9993" width="6.5703125" style="318" customWidth="1"/>
    <col min="9994" max="9995" width="6.42578125" style="318" customWidth="1"/>
    <col min="9996" max="9996" width="4.140625" style="318" customWidth="1"/>
    <col min="9997" max="9997" width="4.28515625" style="318" customWidth="1"/>
    <col min="9998" max="9998" width="4.42578125" style="318" customWidth="1"/>
    <col min="9999" max="9999" width="5.28515625" style="318" customWidth="1"/>
    <col min="10000" max="10238" width="9.140625" style="318"/>
    <col min="10239" max="10239" width="5.7109375" style="318" customWidth="1"/>
    <col min="10240" max="10240" width="3.85546875" style="318" customWidth="1"/>
    <col min="10241" max="10241" width="6" style="318" customWidth="1"/>
    <col min="10242" max="10242" width="5.28515625" style="318" customWidth="1"/>
    <col min="10243" max="10243" width="5.7109375" style="318" customWidth="1"/>
    <col min="10244" max="10244" width="5.42578125" style="318" customWidth="1"/>
    <col min="10245" max="10245" width="6.28515625" style="318" customWidth="1"/>
    <col min="10246" max="10247" width="6.140625" style="318" customWidth="1"/>
    <col min="10248" max="10248" width="6.85546875" style="318" customWidth="1"/>
    <col min="10249" max="10249" width="6.5703125" style="318" customWidth="1"/>
    <col min="10250" max="10251" width="6.42578125" style="318" customWidth="1"/>
    <col min="10252" max="10252" width="4.140625" style="318" customWidth="1"/>
    <col min="10253" max="10253" width="4.28515625" style="318" customWidth="1"/>
    <col min="10254" max="10254" width="4.42578125" style="318" customWidth="1"/>
    <col min="10255" max="10255" width="5.28515625" style="318" customWidth="1"/>
    <col min="10256" max="10494" width="9.140625" style="318"/>
    <col min="10495" max="10495" width="5.7109375" style="318" customWidth="1"/>
    <col min="10496" max="10496" width="3.85546875" style="318" customWidth="1"/>
    <col min="10497" max="10497" width="6" style="318" customWidth="1"/>
    <col min="10498" max="10498" width="5.28515625" style="318" customWidth="1"/>
    <col min="10499" max="10499" width="5.7109375" style="318" customWidth="1"/>
    <col min="10500" max="10500" width="5.42578125" style="318" customWidth="1"/>
    <col min="10501" max="10501" width="6.28515625" style="318" customWidth="1"/>
    <col min="10502" max="10503" width="6.140625" style="318" customWidth="1"/>
    <col min="10504" max="10504" width="6.85546875" style="318" customWidth="1"/>
    <col min="10505" max="10505" width="6.5703125" style="318" customWidth="1"/>
    <col min="10506" max="10507" width="6.42578125" style="318" customWidth="1"/>
    <col min="10508" max="10508" width="4.140625" style="318" customWidth="1"/>
    <col min="10509" max="10509" width="4.28515625" style="318" customWidth="1"/>
    <col min="10510" max="10510" width="4.42578125" style="318" customWidth="1"/>
    <col min="10511" max="10511" width="5.28515625" style="318" customWidth="1"/>
    <col min="10512" max="10750" width="9.140625" style="318"/>
    <col min="10751" max="10751" width="5.7109375" style="318" customWidth="1"/>
    <col min="10752" max="10752" width="3.85546875" style="318" customWidth="1"/>
    <col min="10753" max="10753" width="6" style="318" customWidth="1"/>
    <col min="10754" max="10754" width="5.28515625" style="318" customWidth="1"/>
    <col min="10755" max="10755" width="5.7109375" style="318" customWidth="1"/>
    <col min="10756" max="10756" width="5.42578125" style="318" customWidth="1"/>
    <col min="10757" max="10757" width="6.28515625" style="318" customWidth="1"/>
    <col min="10758" max="10759" width="6.140625" style="318" customWidth="1"/>
    <col min="10760" max="10760" width="6.85546875" style="318" customWidth="1"/>
    <col min="10761" max="10761" width="6.5703125" style="318" customWidth="1"/>
    <col min="10762" max="10763" width="6.42578125" style="318" customWidth="1"/>
    <col min="10764" max="10764" width="4.140625" style="318" customWidth="1"/>
    <col min="10765" max="10765" width="4.28515625" style="318" customWidth="1"/>
    <col min="10766" max="10766" width="4.42578125" style="318" customWidth="1"/>
    <col min="10767" max="10767" width="5.28515625" style="318" customWidth="1"/>
    <col min="10768" max="11006" width="9.140625" style="318"/>
    <col min="11007" max="11007" width="5.7109375" style="318" customWidth="1"/>
    <col min="11008" max="11008" width="3.85546875" style="318" customWidth="1"/>
    <col min="11009" max="11009" width="6" style="318" customWidth="1"/>
    <col min="11010" max="11010" width="5.28515625" style="318" customWidth="1"/>
    <col min="11011" max="11011" width="5.7109375" style="318" customWidth="1"/>
    <col min="11012" max="11012" width="5.42578125" style="318" customWidth="1"/>
    <col min="11013" max="11013" width="6.28515625" style="318" customWidth="1"/>
    <col min="11014" max="11015" width="6.140625" style="318" customWidth="1"/>
    <col min="11016" max="11016" width="6.85546875" style="318" customWidth="1"/>
    <col min="11017" max="11017" width="6.5703125" style="318" customWidth="1"/>
    <col min="11018" max="11019" width="6.42578125" style="318" customWidth="1"/>
    <col min="11020" max="11020" width="4.140625" style="318" customWidth="1"/>
    <col min="11021" max="11021" width="4.28515625" style="318" customWidth="1"/>
    <col min="11022" max="11022" width="4.42578125" style="318" customWidth="1"/>
    <col min="11023" max="11023" width="5.28515625" style="318" customWidth="1"/>
    <col min="11024" max="11262" width="9.140625" style="318"/>
    <col min="11263" max="11263" width="5.7109375" style="318" customWidth="1"/>
    <col min="11264" max="11264" width="3.85546875" style="318" customWidth="1"/>
    <col min="11265" max="11265" width="6" style="318" customWidth="1"/>
    <col min="11266" max="11266" width="5.28515625" style="318" customWidth="1"/>
    <col min="11267" max="11267" width="5.7109375" style="318" customWidth="1"/>
    <col min="11268" max="11268" width="5.42578125" style="318" customWidth="1"/>
    <col min="11269" max="11269" width="6.28515625" style="318" customWidth="1"/>
    <col min="11270" max="11271" width="6.140625" style="318" customWidth="1"/>
    <col min="11272" max="11272" width="6.85546875" style="318" customWidth="1"/>
    <col min="11273" max="11273" width="6.5703125" style="318" customWidth="1"/>
    <col min="11274" max="11275" width="6.42578125" style="318" customWidth="1"/>
    <col min="11276" max="11276" width="4.140625" style="318" customWidth="1"/>
    <col min="11277" max="11277" width="4.28515625" style="318" customWidth="1"/>
    <col min="11278" max="11278" width="4.42578125" style="318" customWidth="1"/>
    <col min="11279" max="11279" width="5.28515625" style="318" customWidth="1"/>
    <col min="11280" max="11518" width="9.140625" style="318"/>
    <col min="11519" max="11519" width="5.7109375" style="318" customWidth="1"/>
    <col min="11520" max="11520" width="3.85546875" style="318" customWidth="1"/>
    <col min="11521" max="11521" width="6" style="318" customWidth="1"/>
    <col min="11522" max="11522" width="5.28515625" style="318" customWidth="1"/>
    <col min="11523" max="11523" width="5.7109375" style="318" customWidth="1"/>
    <col min="11524" max="11524" width="5.42578125" style="318" customWidth="1"/>
    <col min="11525" max="11525" width="6.28515625" style="318" customWidth="1"/>
    <col min="11526" max="11527" width="6.140625" style="318" customWidth="1"/>
    <col min="11528" max="11528" width="6.85546875" style="318" customWidth="1"/>
    <col min="11529" max="11529" width="6.5703125" style="318" customWidth="1"/>
    <col min="11530" max="11531" width="6.42578125" style="318" customWidth="1"/>
    <col min="11532" max="11532" width="4.140625" style="318" customWidth="1"/>
    <col min="11533" max="11533" width="4.28515625" style="318" customWidth="1"/>
    <col min="11534" max="11534" width="4.42578125" style="318" customWidth="1"/>
    <col min="11535" max="11535" width="5.28515625" style="318" customWidth="1"/>
    <col min="11536" max="11774" width="9.140625" style="318"/>
    <col min="11775" max="11775" width="5.7109375" style="318" customWidth="1"/>
    <col min="11776" max="11776" width="3.85546875" style="318" customWidth="1"/>
    <col min="11777" max="11777" width="6" style="318" customWidth="1"/>
    <col min="11778" max="11778" width="5.28515625" style="318" customWidth="1"/>
    <col min="11779" max="11779" width="5.7109375" style="318" customWidth="1"/>
    <col min="11780" max="11780" width="5.42578125" style="318" customWidth="1"/>
    <col min="11781" max="11781" width="6.28515625" style="318" customWidth="1"/>
    <col min="11782" max="11783" width="6.140625" style="318" customWidth="1"/>
    <col min="11784" max="11784" width="6.85546875" style="318" customWidth="1"/>
    <col min="11785" max="11785" width="6.5703125" style="318" customWidth="1"/>
    <col min="11786" max="11787" width="6.42578125" style="318" customWidth="1"/>
    <col min="11788" max="11788" width="4.140625" style="318" customWidth="1"/>
    <col min="11789" max="11789" width="4.28515625" style="318" customWidth="1"/>
    <col min="11790" max="11790" width="4.42578125" style="318" customWidth="1"/>
    <col min="11791" max="11791" width="5.28515625" style="318" customWidth="1"/>
    <col min="11792" max="12030" width="9.140625" style="318"/>
    <col min="12031" max="12031" width="5.7109375" style="318" customWidth="1"/>
    <col min="12032" max="12032" width="3.85546875" style="318" customWidth="1"/>
    <col min="12033" max="12033" width="6" style="318" customWidth="1"/>
    <col min="12034" max="12034" width="5.28515625" style="318" customWidth="1"/>
    <col min="12035" max="12035" width="5.7109375" style="318" customWidth="1"/>
    <col min="12036" max="12036" width="5.42578125" style="318" customWidth="1"/>
    <col min="12037" max="12037" width="6.28515625" style="318" customWidth="1"/>
    <col min="12038" max="12039" width="6.140625" style="318" customWidth="1"/>
    <col min="12040" max="12040" width="6.85546875" style="318" customWidth="1"/>
    <col min="12041" max="12041" width="6.5703125" style="318" customWidth="1"/>
    <col min="12042" max="12043" width="6.42578125" style="318" customWidth="1"/>
    <col min="12044" max="12044" width="4.140625" style="318" customWidth="1"/>
    <col min="12045" max="12045" width="4.28515625" style="318" customWidth="1"/>
    <col min="12046" max="12046" width="4.42578125" style="318" customWidth="1"/>
    <col min="12047" max="12047" width="5.28515625" style="318" customWidth="1"/>
    <col min="12048" max="12286" width="9.140625" style="318"/>
    <col min="12287" max="12287" width="5.7109375" style="318" customWidth="1"/>
    <col min="12288" max="12288" width="3.85546875" style="318" customWidth="1"/>
    <col min="12289" max="12289" width="6" style="318" customWidth="1"/>
    <col min="12290" max="12290" width="5.28515625" style="318" customWidth="1"/>
    <col min="12291" max="12291" width="5.7109375" style="318" customWidth="1"/>
    <col min="12292" max="12292" width="5.42578125" style="318" customWidth="1"/>
    <col min="12293" max="12293" width="6.28515625" style="318" customWidth="1"/>
    <col min="12294" max="12295" width="6.140625" style="318" customWidth="1"/>
    <col min="12296" max="12296" width="6.85546875" style="318" customWidth="1"/>
    <col min="12297" max="12297" width="6.5703125" style="318" customWidth="1"/>
    <col min="12298" max="12299" width="6.42578125" style="318" customWidth="1"/>
    <col min="12300" max="12300" width="4.140625" style="318" customWidth="1"/>
    <col min="12301" max="12301" width="4.28515625" style="318" customWidth="1"/>
    <col min="12302" max="12302" width="4.42578125" style="318" customWidth="1"/>
    <col min="12303" max="12303" width="5.28515625" style="318" customWidth="1"/>
    <col min="12304" max="12542" width="9.140625" style="318"/>
    <col min="12543" max="12543" width="5.7109375" style="318" customWidth="1"/>
    <col min="12544" max="12544" width="3.85546875" style="318" customWidth="1"/>
    <col min="12545" max="12545" width="6" style="318" customWidth="1"/>
    <col min="12546" max="12546" width="5.28515625" style="318" customWidth="1"/>
    <col min="12547" max="12547" width="5.7109375" style="318" customWidth="1"/>
    <col min="12548" max="12548" width="5.42578125" style="318" customWidth="1"/>
    <col min="12549" max="12549" width="6.28515625" style="318" customWidth="1"/>
    <col min="12550" max="12551" width="6.140625" style="318" customWidth="1"/>
    <col min="12552" max="12552" width="6.85546875" style="318" customWidth="1"/>
    <col min="12553" max="12553" width="6.5703125" style="318" customWidth="1"/>
    <col min="12554" max="12555" width="6.42578125" style="318" customWidth="1"/>
    <col min="12556" max="12556" width="4.140625" style="318" customWidth="1"/>
    <col min="12557" max="12557" width="4.28515625" style="318" customWidth="1"/>
    <col min="12558" max="12558" width="4.42578125" style="318" customWidth="1"/>
    <col min="12559" max="12559" width="5.28515625" style="318" customWidth="1"/>
    <col min="12560" max="12798" width="9.140625" style="318"/>
    <col min="12799" max="12799" width="5.7109375" style="318" customWidth="1"/>
    <col min="12800" max="12800" width="3.85546875" style="318" customWidth="1"/>
    <col min="12801" max="12801" width="6" style="318" customWidth="1"/>
    <col min="12802" max="12802" width="5.28515625" style="318" customWidth="1"/>
    <col min="12803" max="12803" width="5.7109375" style="318" customWidth="1"/>
    <col min="12804" max="12804" width="5.42578125" style="318" customWidth="1"/>
    <col min="12805" max="12805" width="6.28515625" style="318" customWidth="1"/>
    <col min="12806" max="12807" width="6.140625" style="318" customWidth="1"/>
    <col min="12808" max="12808" width="6.85546875" style="318" customWidth="1"/>
    <col min="12809" max="12809" width="6.5703125" style="318" customWidth="1"/>
    <col min="12810" max="12811" width="6.42578125" style="318" customWidth="1"/>
    <col min="12812" max="12812" width="4.140625" style="318" customWidth="1"/>
    <col min="12813" max="12813" width="4.28515625" style="318" customWidth="1"/>
    <col min="12814" max="12814" width="4.42578125" style="318" customWidth="1"/>
    <col min="12815" max="12815" width="5.28515625" style="318" customWidth="1"/>
    <col min="12816" max="13054" width="9.140625" style="318"/>
    <col min="13055" max="13055" width="5.7109375" style="318" customWidth="1"/>
    <col min="13056" max="13056" width="3.85546875" style="318" customWidth="1"/>
    <col min="13057" max="13057" width="6" style="318" customWidth="1"/>
    <col min="13058" max="13058" width="5.28515625" style="318" customWidth="1"/>
    <col min="13059" max="13059" width="5.7109375" style="318" customWidth="1"/>
    <col min="13060" max="13060" width="5.42578125" style="318" customWidth="1"/>
    <col min="13061" max="13061" width="6.28515625" style="318" customWidth="1"/>
    <col min="13062" max="13063" width="6.140625" style="318" customWidth="1"/>
    <col min="13064" max="13064" width="6.85546875" style="318" customWidth="1"/>
    <col min="13065" max="13065" width="6.5703125" style="318" customWidth="1"/>
    <col min="13066" max="13067" width="6.42578125" style="318" customWidth="1"/>
    <col min="13068" max="13068" width="4.140625" style="318" customWidth="1"/>
    <col min="13069" max="13069" width="4.28515625" style="318" customWidth="1"/>
    <col min="13070" max="13070" width="4.42578125" style="318" customWidth="1"/>
    <col min="13071" max="13071" width="5.28515625" style="318" customWidth="1"/>
    <col min="13072" max="13310" width="9.140625" style="318"/>
    <col min="13311" max="13311" width="5.7109375" style="318" customWidth="1"/>
    <col min="13312" max="13312" width="3.85546875" style="318" customWidth="1"/>
    <col min="13313" max="13313" width="6" style="318" customWidth="1"/>
    <col min="13314" max="13314" width="5.28515625" style="318" customWidth="1"/>
    <col min="13315" max="13315" width="5.7109375" style="318" customWidth="1"/>
    <col min="13316" max="13316" width="5.42578125" style="318" customWidth="1"/>
    <col min="13317" max="13317" width="6.28515625" style="318" customWidth="1"/>
    <col min="13318" max="13319" width="6.140625" style="318" customWidth="1"/>
    <col min="13320" max="13320" width="6.85546875" style="318" customWidth="1"/>
    <col min="13321" max="13321" width="6.5703125" style="318" customWidth="1"/>
    <col min="13322" max="13323" width="6.42578125" style="318" customWidth="1"/>
    <col min="13324" max="13324" width="4.140625" style="318" customWidth="1"/>
    <col min="13325" max="13325" width="4.28515625" style="318" customWidth="1"/>
    <col min="13326" max="13326" width="4.42578125" style="318" customWidth="1"/>
    <col min="13327" max="13327" width="5.28515625" style="318" customWidth="1"/>
    <col min="13328" max="13566" width="9.140625" style="318"/>
    <col min="13567" max="13567" width="5.7109375" style="318" customWidth="1"/>
    <col min="13568" max="13568" width="3.85546875" style="318" customWidth="1"/>
    <col min="13569" max="13569" width="6" style="318" customWidth="1"/>
    <col min="13570" max="13570" width="5.28515625" style="318" customWidth="1"/>
    <col min="13571" max="13571" width="5.7109375" style="318" customWidth="1"/>
    <col min="13572" max="13572" width="5.42578125" style="318" customWidth="1"/>
    <col min="13573" max="13573" width="6.28515625" style="318" customWidth="1"/>
    <col min="13574" max="13575" width="6.140625" style="318" customWidth="1"/>
    <col min="13576" max="13576" width="6.85546875" style="318" customWidth="1"/>
    <col min="13577" max="13577" width="6.5703125" style="318" customWidth="1"/>
    <col min="13578" max="13579" width="6.42578125" style="318" customWidth="1"/>
    <col min="13580" max="13580" width="4.140625" style="318" customWidth="1"/>
    <col min="13581" max="13581" width="4.28515625" style="318" customWidth="1"/>
    <col min="13582" max="13582" width="4.42578125" style="318" customWidth="1"/>
    <col min="13583" max="13583" width="5.28515625" style="318" customWidth="1"/>
    <col min="13584" max="13822" width="9.140625" style="318"/>
    <col min="13823" max="13823" width="5.7109375" style="318" customWidth="1"/>
    <col min="13824" max="13824" width="3.85546875" style="318" customWidth="1"/>
    <col min="13825" max="13825" width="6" style="318" customWidth="1"/>
    <col min="13826" max="13826" width="5.28515625" style="318" customWidth="1"/>
    <col min="13827" max="13827" width="5.7109375" style="318" customWidth="1"/>
    <col min="13828" max="13828" width="5.42578125" style="318" customWidth="1"/>
    <col min="13829" max="13829" width="6.28515625" style="318" customWidth="1"/>
    <col min="13830" max="13831" width="6.140625" style="318" customWidth="1"/>
    <col min="13832" max="13832" width="6.85546875" style="318" customWidth="1"/>
    <col min="13833" max="13833" width="6.5703125" style="318" customWidth="1"/>
    <col min="13834" max="13835" width="6.42578125" style="318" customWidth="1"/>
    <col min="13836" max="13836" width="4.140625" style="318" customWidth="1"/>
    <col min="13837" max="13837" width="4.28515625" style="318" customWidth="1"/>
    <col min="13838" max="13838" width="4.42578125" style="318" customWidth="1"/>
    <col min="13839" max="13839" width="5.28515625" style="318" customWidth="1"/>
    <col min="13840" max="14078" width="9.140625" style="318"/>
    <col min="14079" max="14079" width="5.7109375" style="318" customWidth="1"/>
    <col min="14080" max="14080" width="3.85546875" style="318" customWidth="1"/>
    <col min="14081" max="14081" width="6" style="318" customWidth="1"/>
    <col min="14082" max="14082" width="5.28515625" style="318" customWidth="1"/>
    <col min="14083" max="14083" width="5.7109375" style="318" customWidth="1"/>
    <col min="14084" max="14084" width="5.42578125" style="318" customWidth="1"/>
    <col min="14085" max="14085" width="6.28515625" style="318" customWidth="1"/>
    <col min="14086" max="14087" width="6.140625" style="318" customWidth="1"/>
    <col min="14088" max="14088" width="6.85546875" style="318" customWidth="1"/>
    <col min="14089" max="14089" width="6.5703125" style="318" customWidth="1"/>
    <col min="14090" max="14091" width="6.42578125" style="318" customWidth="1"/>
    <col min="14092" max="14092" width="4.140625" style="318" customWidth="1"/>
    <col min="14093" max="14093" width="4.28515625" style="318" customWidth="1"/>
    <col min="14094" max="14094" width="4.42578125" style="318" customWidth="1"/>
    <col min="14095" max="14095" width="5.28515625" style="318" customWidth="1"/>
    <col min="14096" max="14334" width="9.140625" style="318"/>
    <col min="14335" max="14335" width="5.7109375" style="318" customWidth="1"/>
    <col min="14336" max="14336" width="3.85546875" style="318" customWidth="1"/>
    <col min="14337" max="14337" width="6" style="318" customWidth="1"/>
    <col min="14338" max="14338" width="5.28515625" style="318" customWidth="1"/>
    <col min="14339" max="14339" width="5.7109375" style="318" customWidth="1"/>
    <col min="14340" max="14340" width="5.42578125" style="318" customWidth="1"/>
    <col min="14341" max="14341" width="6.28515625" style="318" customWidth="1"/>
    <col min="14342" max="14343" width="6.140625" style="318" customWidth="1"/>
    <col min="14344" max="14344" width="6.85546875" style="318" customWidth="1"/>
    <col min="14345" max="14345" width="6.5703125" style="318" customWidth="1"/>
    <col min="14346" max="14347" width="6.42578125" style="318" customWidth="1"/>
    <col min="14348" max="14348" width="4.140625" style="318" customWidth="1"/>
    <col min="14349" max="14349" width="4.28515625" style="318" customWidth="1"/>
    <col min="14350" max="14350" width="4.42578125" style="318" customWidth="1"/>
    <col min="14351" max="14351" width="5.28515625" style="318" customWidth="1"/>
    <col min="14352" max="14590" width="9.140625" style="318"/>
    <col min="14591" max="14591" width="5.7109375" style="318" customWidth="1"/>
    <col min="14592" max="14592" width="3.85546875" style="318" customWidth="1"/>
    <col min="14593" max="14593" width="6" style="318" customWidth="1"/>
    <col min="14594" max="14594" width="5.28515625" style="318" customWidth="1"/>
    <col min="14595" max="14595" width="5.7109375" style="318" customWidth="1"/>
    <col min="14596" max="14596" width="5.42578125" style="318" customWidth="1"/>
    <col min="14597" max="14597" width="6.28515625" style="318" customWidth="1"/>
    <col min="14598" max="14599" width="6.140625" style="318" customWidth="1"/>
    <col min="14600" max="14600" width="6.85546875" style="318" customWidth="1"/>
    <col min="14601" max="14601" width="6.5703125" style="318" customWidth="1"/>
    <col min="14602" max="14603" width="6.42578125" style="318" customWidth="1"/>
    <col min="14604" max="14604" width="4.140625" style="318" customWidth="1"/>
    <col min="14605" max="14605" width="4.28515625" style="318" customWidth="1"/>
    <col min="14606" max="14606" width="4.42578125" style="318" customWidth="1"/>
    <col min="14607" max="14607" width="5.28515625" style="318" customWidth="1"/>
    <col min="14608" max="14846" width="9.140625" style="318"/>
    <col min="14847" max="14847" width="5.7109375" style="318" customWidth="1"/>
    <col min="14848" max="14848" width="3.85546875" style="318" customWidth="1"/>
    <col min="14849" max="14849" width="6" style="318" customWidth="1"/>
    <col min="14850" max="14850" width="5.28515625" style="318" customWidth="1"/>
    <col min="14851" max="14851" width="5.7109375" style="318" customWidth="1"/>
    <col min="14852" max="14852" width="5.42578125" style="318" customWidth="1"/>
    <col min="14853" max="14853" width="6.28515625" style="318" customWidth="1"/>
    <col min="14854" max="14855" width="6.140625" style="318" customWidth="1"/>
    <col min="14856" max="14856" width="6.85546875" style="318" customWidth="1"/>
    <col min="14857" max="14857" width="6.5703125" style="318" customWidth="1"/>
    <col min="14858" max="14859" width="6.42578125" style="318" customWidth="1"/>
    <col min="14860" max="14860" width="4.140625" style="318" customWidth="1"/>
    <col min="14861" max="14861" width="4.28515625" style="318" customWidth="1"/>
    <col min="14862" max="14862" width="4.42578125" style="318" customWidth="1"/>
    <col min="14863" max="14863" width="5.28515625" style="318" customWidth="1"/>
    <col min="14864" max="15102" width="9.140625" style="318"/>
    <col min="15103" max="15103" width="5.7109375" style="318" customWidth="1"/>
    <col min="15104" max="15104" width="3.85546875" style="318" customWidth="1"/>
    <col min="15105" max="15105" width="6" style="318" customWidth="1"/>
    <col min="15106" max="15106" width="5.28515625" style="318" customWidth="1"/>
    <col min="15107" max="15107" width="5.7109375" style="318" customWidth="1"/>
    <col min="15108" max="15108" width="5.42578125" style="318" customWidth="1"/>
    <col min="15109" max="15109" width="6.28515625" style="318" customWidth="1"/>
    <col min="15110" max="15111" width="6.140625" style="318" customWidth="1"/>
    <col min="15112" max="15112" width="6.85546875" style="318" customWidth="1"/>
    <col min="15113" max="15113" width="6.5703125" style="318" customWidth="1"/>
    <col min="15114" max="15115" width="6.42578125" style="318" customWidth="1"/>
    <col min="15116" max="15116" width="4.140625" style="318" customWidth="1"/>
    <col min="15117" max="15117" width="4.28515625" style="318" customWidth="1"/>
    <col min="15118" max="15118" width="4.42578125" style="318" customWidth="1"/>
    <col min="15119" max="15119" width="5.28515625" style="318" customWidth="1"/>
    <col min="15120" max="15358" width="9.140625" style="318"/>
    <col min="15359" max="15359" width="5.7109375" style="318" customWidth="1"/>
    <col min="15360" max="15360" width="3.85546875" style="318" customWidth="1"/>
    <col min="15361" max="15361" width="6" style="318" customWidth="1"/>
    <col min="15362" max="15362" width="5.28515625" style="318" customWidth="1"/>
    <col min="15363" max="15363" width="5.7109375" style="318" customWidth="1"/>
    <col min="15364" max="15364" width="5.42578125" style="318" customWidth="1"/>
    <col min="15365" max="15365" width="6.28515625" style="318" customWidth="1"/>
    <col min="15366" max="15367" width="6.140625" style="318" customWidth="1"/>
    <col min="15368" max="15368" width="6.85546875" style="318" customWidth="1"/>
    <col min="15369" max="15369" width="6.5703125" style="318" customWidth="1"/>
    <col min="15370" max="15371" width="6.42578125" style="318" customWidth="1"/>
    <col min="15372" max="15372" width="4.140625" style="318" customWidth="1"/>
    <col min="15373" max="15373" width="4.28515625" style="318" customWidth="1"/>
    <col min="15374" max="15374" width="4.42578125" style="318" customWidth="1"/>
    <col min="15375" max="15375" width="5.28515625" style="318" customWidth="1"/>
    <col min="15376" max="15614" width="9.140625" style="318"/>
    <col min="15615" max="15615" width="5.7109375" style="318" customWidth="1"/>
    <col min="15616" max="15616" width="3.85546875" style="318" customWidth="1"/>
    <col min="15617" max="15617" width="6" style="318" customWidth="1"/>
    <col min="15618" max="15618" width="5.28515625" style="318" customWidth="1"/>
    <col min="15619" max="15619" width="5.7109375" style="318" customWidth="1"/>
    <col min="15620" max="15620" width="5.42578125" style="318" customWidth="1"/>
    <col min="15621" max="15621" width="6.28515625" style="318" customWidth="1"/>
    <col min="15622" max="15623" width="6.140625" style="318" customWidth="1"/>
    <col min="15624" max="15624" width="6.85546875" style="318" customWidth="1"/>
    <col min="15625" max="15625" width="6.5703125" style="318" customWidth="1"/>
    <col min="15626" max="15627" width="6.42578125" style="318" customWidth="1"/>
    <col min="15628" max="15628" width="4.140625" style="318" customWidth="1"/>
    <col min="15629" max="15629" width="4.28515625" style="318" customWidth="1"/>
    <col min="15630" max="15630" width="4.42578125" style="318" customWidth="1"/>
    <col min="15631" max="15631" width="5.28515625" style="318" customWidth="1"/>
    <col min="15632" max="15870" width="9.140625" style="318"/>
    <col min="15871" max="15871" width="5.7109375" style="318" customWidth="1"/>
    <col min="15872" max="15872" width="3.85546875" style="318" customWidth="1"/>
    <col min="15873" max="15873" width="6" style="318" customWidth="1"/>
    <col min="15874" max="15874" width="5.28515625" style="318" customWidth="1"/>
    <col min="15875" max="15875" width="5.7109375" style="318" customWidth="1"/>
    <col min="15876" max="15876" width="5.42578125" style="318" customWidth="1"/>
    <col min="15877" max="15877" width="6.28515625" style="318" customWidth="1"/>
    <col min="15878" max="15879" width="6.140625" style="318" customWidth="1"/>
    <col min="15880" max="15880" width="6.85546875" style="318" customWidth="1"/>
    <col min="15881" max="15881" width="6.5703125" style="318" customWidth="1"/>
    <col min="15882" max="15883" width="6.42578125" style="318" customWidth="1"/>
    <col min="15884" max="15884" width="4.140625" style="318" customWidth="1"/>
    <col min="15885" max="15885" width="4.28515625" style="318" customWidth="1"/>
    <col min="15886" max="15886" width="4.42578125" style="318" customWidth="1"/>
    <col min="15887" max="15887" width="5.28515625" style="318" customWidth="1"/>
    <col min="15888" max="16126" width="9.140625" style="318"/>
    <col min="16127" max="16127" width="5.7109375" style="318" customWidth="1"/>
    <col min="16128" max="16128" width="3.85546875" style="318" customWidth="1"/>
    <col min="16129" max="16129" width="6" style="318" customWidth="1"/>
    <col min="16130" max="16130" width="5.28515625" style="318" customWidth="1"/>
    <col min="16131" max="16131" width="5.7109375" style="318" customWidth="1"/>
    <col min="16132" max="16132" width="5.42578125" style="318" customWidth="1"/>
    <col min="16133" max="16133" width="6.28515625" style="318" customWidth="1"/>
    <col min="16134" max="16135" width="6.140625" style="318" customWidth="1"/>
    <col min="16136" max="16136" width="6.85546875" style="318" customWidth="1"/>
    <col min="16137" max="16137" width="6.5703125" style="318" customWidth="1"/>
    <col min="16138" max="16139" width="6.42578125" style="318" customWidth="1"/>
    <col min="16140" max="16140" width="4.140625" style="318" customWidth="1"/>
    <col min="16141" max="16141" width="4.28515625" style="318" customWidth="1"/>
    <col min="16142" max="16142" width="4.42578125" style="318" customWidth="1"/>
    <col min="16143" max="16143" width="5.28515625" style="318" customWidth="1"/>
    <col min="16144" max="16384" width="9.140625" style="318"/>
  </cols>
  <sheetData>
    <row r="1" spans="1:16">
      <c r="A1" s="317"/>
      <c r="B1" s="317"/>
      <c r="C1" s="317"/>
      <c r="D1" s="317"/>
      <c r="E1" s="317"/>
      <c r="F1" s="317"/>
      <c r="G1" s="317"/>
      <c r="H1" s="317"/>
      <c r="I1" s="317"/>
      <c r="J1" s="317"/>
      <c r="K1" s="317"/>
      <c r="L1" s="317"/>
      <c r="M1" s="317"/>
      <c r="N1" s="317"/>
      <c r="O1" s="317"/>
      <c r="P1" s="317"/>
    </row>
    <row r="2" spans="1:16">
      <c r="A2" s="317"/>
      <c r="B2" s="317"/>
      <c r="C2" s="317"/>
      <c r="D2" s="317"/>
      <c r="E2" s="317"/>
      <c r="F2" s="317"/>
      <c r="G2" s="317"/>
      <c r="H2" s="317"/>
      <c r="I2" s="317"/>
      <c r="J2" s="317"/>
      <c r="K2" s="317"/>
      <c r="L2" s="317"/>
      <c r="M2" s="317"/>
      <c r="N2" s="317"/>
      <c r="O2" s="317"/>
      <c r="P2" s="317"/>
    </row>
    <row r="3" spans="1:16" ht="33">
      <c r="A3" s="317"/>
      <c r="B3" s="319"/>
      <c r="D3" s="320"/>
      <c r="E3" s="320"/>
      <c r="F3" s="320"/>
      <c r="G3" s="320"/>
      <c r="H3" s="320"/>
      <c r="I3" s="320"/>
      <c r="J3" s="320"/>
      <c r="K3" s="320"/>
      <c r="L3" s="320"/>
      <c r="M3" s="320"/>
      <c r="N3" s="319"/>
      <c r="O3" s="319"/>
      <c r="P3" s="317"/>
    </row>
    <row r="4" spans="1:16" ht="45">
      <c r="A4" s="317"/>
      <c r="B4" s="329"/>
      <c r="C4" s="534" t="s">
        <v>372</v>
      </c>
      <c r="D4" s="534"/>
      <c r="E4" s="534"/>
      <c r="F4" s="534"/>
      <c r="G4" s="534"/>
      <c r="H4" s="534"/>
      <c r="I4" s="534"/>
      <c r="J4" s="534"/>
      <c r="K4" s="534"/>
      <c r="L4" s="534"/>
      <c r="M4" s="534"/>
      <c r="N4" s="319"/>
      <c r="O4" s="319"/>
      <c r="P4" s="317"/>
    </row>
    <row r="5" spans="1:16" ht="35.25">
      <c r="A5" s="317"/>
      <c r="B5" s="330"/>
      <c r="C5" s="320"/>
      <c r="D5" s="320"/>
      <c r="E5" s="320"/>
      <c r="F5" s="320"/>
      <c r="G5" s="320"/>
      <c r="H5" s="320"/>
      <c r="I5" s="320"/>
      <c r="J5" s="320"/>
      <c r="K5" s="320"/>
      <c r="L5" s="320"/>
      <c r="M5" s="320"/>
      <c r="N5" s="321"/>
      <c r="O5" s="321"/>
      <c r="P5" s="317"/>
    </row>
    <row r="6" spans="1:16" ht="35.25">
      <c r="A6" s="317"/>
      <c r="B6" s="330"/>
      <c r="C6" s="330"/>
      <c r="D6" s="330"/>
      <c r="E6" s="330"/>
      <c r="F6" s="330"/>
      <c r="G6" s="330"/>
      <c r="H6" s="330"/>
      <c r="I6" s="330"/>
      <c r="J6" s="330"/>
      <c r="K6" s="330"/>
      <c r="L6" s="330"/>
      <c r="M6" s="330"/>
      <c r="N6" s="321"/>
      <c r="O6" s="321"/>
      <c r="P6" s="317"/>
    </row>
    <row r="7" spans="1:16" ht="35.25">
      <c r="A7" s="317"/>
      <c r="B7" s="330"/>
      <c r="C7" s="331"/>
      <c r="D7" s="332"/>
      <c r="E7" s="332"/>
      <c r="F7" s="332"/>
      <c r="G7" s="332"/>
      <c r="H7" s="332"/>
      <c r="I7" s="332"/>
      <c r="J7" s="332"/>
      <c r="K7" s="332"/>
      <c r="L7" s="332"/>
      <c r="M7" s="332"/>
      <c r="N7" s="321"/>
      <c r="O7" s="321"/>
      <c r="P7" s="317"/>
    </row>
    <row r="8" spans="1:16" ht="35.25">
      <c r="A8" s="317"/>
      <c r="B8" s="330"/>
      <c r="C8" s="332"/>
      <c r="D8" s="332"/>
      <c r="E8" s="332"/>
      <c r="F8" s="332"/>
      <c r="G8" s="332"/>
      <c r="H8" s="332"/>
      <c r="I8" s="332"/>
      <c r="J8" s="332"/>
      <c r="K8" s="332"/>
      <c r="L8" s="332"/>
      <c r="M8" s="332"/>
      <c r="N8" s="321"/>
      <c r="O8" s="321"/>
      <c r="P8" s="317"/>
    </row>
    <row r="9" spans="1:16" ht="35.25">
      <c r="A9" s="317"/>
      <c r="B9" s="330"/>
      <c r="C9" s="332"/>
      <c r="D9" s="332"/>
      <c r="E9" s="332"/>
      <c r="F9" s="332"/>
      <c r="G9" s="332"/>
      <c r="H9" s="332"/>
      <c r="I9" s="332"/>
      <c r="J9" s="332"/>
      <c r="K9" s="332"/>
      <c r="L9" s="332"/>
      <c r="M9" s="332"/>
      <c r="N9" s="321"/>
      <c r="O9" s="321"/>
      <c r="P9" s="317"/>
    </row>
    <row r="10" spans="1:16" ht="35.25">
      <c r="A10" s="317"/>
      <c r="B10" s="330"/>
      <c r="C10" s="331"/>
      <c r="D10" s="320"/>
      <c r="E10" s="320"/>
      <c r="F10" s="320"/>
      <c r="G10" s="320"/>
      <c r="H10" s="320"/>
      <c r="I10" s="320"/>
      <c r="J10" s="320"/>
      <c r="K10" s="320"/>
      <c r="L10" s="320"/>
      <c r="M10" s="333"/>
      <c r="N10" s="321"/>
      <c r="O10" s="321"/>
      <c r="P10" s="317"/>
    </row>
    <row r="11" spans="1:16" ht="35.25" customHeight="1">
      <c r="A11" s="317"/>
      <c r="B11" s="331"/>
      <c r="C11" s="539" t="s">
        <v>366</v>
      </c>
      <c r="D11" s="539"/>
      <c r="E11" s="539"/>
      <c r="F11" s="539"/>
      <c r="G11" s="539"/>
      <c r="H11" s="539"/>
      <c r="I11" s="539"/>
      <c r="J11" s="539"/>
      <c r="K11" s="539"/>
      <c r="L11" s="539"/>
      <c r="M11" s="539"/>
      <c r="N11" s="321"/>
      <c r="O11" s="321"/>
      <c r="P11" s="317"/>
    </row>
    <row r="12" spans="1:16" ht="22.5">
      <c r="A12" s="317"/>
      <c r="B12" s="335"/>
      <c r="C12" s="334"/>
      <c r="D12" s="334"/>
      <c r="E12" s="334"/>
      <c r="F12" s="334"/>
      <c r="G12" s="334"/>
      <c r="H12" s="334"/>
      <c r="I12" s="334"/>
      <c r="J12" s="334"/>
      <c r="K12" s="334"/>
      <c r="L12" s="334"/>
      <c r="M12" s="334"/>
      <c r="N12" s="317"/>
      <c r="O12" s="317"/>
      <c r="P12" s="317"/>
    </row>
    <row r="13" spans="1:16" ht="22.5">
      <c r="A13" s="317"/>
      <c r="B13" s="335"/>
      <c r="C13" s="334"/>
      <c r="D13" s="334"/>
      <c r="E13" s="334"/>
      <c r="F13" s="334"/>
      <c r="G13" s="334"/>
      <c r="H13" s="334"/>
      <c r="I13" s="334"/>
      <c r="J13" s="334"/>
      <c r="K13" s="334"/>
      <c r="L13" s="334"/>
      <c r="M13" s="334"/>
      <c r="N13" s="322"/>
      <c r="O13" s="322"/>
      <c r="P13" s="317"/>
    </row>
    <row r="14" spans="1:16" ht="25.5">
      <c r="A14" s="317"/>
      <c r="B14" s="350"/>
      <c r="C14" s="351"/>
      <c r="D14" s="351"/>
      <c r="E14" s="535"/>
      <c r="F14" s="535"/>
      <c r="G14" s="535"/>
      <c r="H14" s="535"/>
      <c r="I14" s="535"/>
      <c r="J14" s="535"/>
      <c r="K14" s="535"/>
      <c r="L14" s="351"/>
      <c r="M14" s="351"/>
      <c r="N14" s="323"/>
      <c r="O14" s="323"/>
      <c r="P14" s="317"/>
    </row>
    <row r="15" spans="1:16" ht="108" customHeight="1">
      <c r="A15" s="317"/>
      <c r="B15" s="536" t="s">
        <v>480</v>
      </c>
      <c r="C15" s="536"/>
      <c r="D15" s="536"/>
      <c r="E15" s="536"/>
      <c r="F15" s="536"/>
      <c r="G15" s="536"/>
      <c r="H15" s="536"/>
      <c r="I15" s="536"/>
      <c r="J15" s="536"/>
      <c r="K15" s="536"/>
      <c r="L15" s="536"/>
      <c r="M15" s="536"/>
      <c r="N15" s="323"/>
      <c r="O15" s="323"/>
      <c r="P15" s="317"/>
    </row>
    <row r="16" spans="1:16" ht="24.75">
      <c r="A16" s="317"/>
      <c r="B16" s="335"/>
      <c r="C16" s="334"/>
      <c r="D16" s="334"/>
      <c r="E16" s="334"/>
      <c r="F16" s="334"/>
      <c r="G16" s="334"/>
      <c r="H16" s="334"/>
      <c r="I16" s="334"/>
      <c r="J16" s="334"/>
      <c r="K16" s="334"/>
      <c r="L16" s="334"/>
      <c r="M16" s="334"/>
      <c r="N16" s="323"/>
      <c r="O16" s="323"/>
      <c r="P16" s="317"/>
    </row>
    <row r="17" spans="1:16" ht="34.5">
      <c r="A17" s="317"/>
      <c r="B17" s="337"/>
      <c r="C17" s="537" t="s">
        <v>367</v>
      </c>
      <c r="D17" s="537"/>
      <c r="E17" s="537"/>
      <c r="F17" s="537"/>
      <c r="G17" s="537"/>
      <c r="H17" s="537"/>
      <c r="I17" s="537"/>
      <c r="J17" s="537"/>
      <c r="K17" s="537"/>
      <c r="L17" s="537"/>
      <c r="M17" s="334"/>
      <c r="N17" s="323"/>
      <c r="O17" s="323"/>
      <c r="P17" s="317"/>
    </row>
    <row r="18" spans="1:16" ht="35.25">
      <c r="A18" s="317"/>
      <c r="B18" s="336" t="s">
        <v>368</v>
      </c>
      <c r="C18" s="338"/>
      <c r="D18" s="338"/>
      <c r="E18" s="339"/>
      <c r="F18" s="340" t="s">
        <v>369</v>
      </c>
      <c r="G18" s="538">
        <f>'Gen Abst'!C18</f>
        <v>37.700000000000003</v>
      </c>
      <c r="H18" s="538"/>
      <c r="I18" s="341" t="s">
        <v>370</v>
      </c>
      <c r="J18" s="331"/>
      <c r="K18" s="341"/>
      <c r="L18" s="338"/>
      <c r="M18" s="342"/>
      <c r="N18" s="323"/>
      <c r="O18" s="323"/>
      <c r="P18" s="323"/>
    </row>
    <row r="19" spans="1:16" ht="33">
      <c r="A19" s="317"/>
      <c r="B19" s="336"/>
      <c r="C19" s="331"/>
      <c r="D19" s="342"/>
      <c r="E19" s="342"/>
      <c r="F19" s="342"/>
      <c r="G19" s="342"/>
      <c r="H19" s="342"/>
      <c r="I19" s="342"/>
      <c r="J19" s="342"/>
      <c r="K19" s="342"/>
      <c r="L19" s="342"/>
      <c r="M19" s="342"/>
      <c r="N19" s="323"/>
      <c r="O19" s="323"/>
      <c r="P19" s="323"/>
    </row>
    <row r="20" spans="1:16" ht="33">
      <c r="A20" s="317"/>
      <c r="B20" s="336"/>
      <c r="C20" s="342"/>
      <c r="D20" s="342"/>
      <c r="E20" s="342"/>
      <c r="F20" s="342"/>
      <c r="G20" s="342"/>
      <c r="H20" s="342"/>
      <c r="I20" s="342"/>
      <c r="J20" s="342"/>
      <c r="K20" s="342"/>
      <c r="L20" s="342"/>
      <c r="M20" s="342"/>
      <c r="N20" s="323"/>
      <c r="O20" s="323"/>
      <c r="P20" s="323"/>
    </row>
    <row r="21" spans="1:16" ht="20.25">
      <c r="A21" s="317"/>
      <c r="B21" s="343"/>
      <c r="C21" s="343"/>
      <c r="D21" s="343"/>
      <c r="E21" s="343"/>
      <c r="F21" s="343"/>
      <c r="G21" s="343"/>
      <c r="H21" s="343"/>
      <c r="I21" s="343"/>
      <c r="J21" s="343"/>
      <c r="K21" s="343"/>
      <c r="L21" s="343"/>
      <c r="M21" s="343"/>
      <c r="N21" s="324"/>
      <c r="O21" s="324"/>
      <c r="P21" s="317"/>
    </row>
    <row r="22" spans="1:16" ht="15.75">
      <c r="A22" s="325"/>
      <c r="B22" s="344"/>
      <c r="C22" s="331"/>
      <c r="D22" s="331"/>
      <c r="E22" s="331"/>
      <c r="F22" s="331"/>
      <c r="G22" s="331"/>
      <c r="H22" s="331"/>
      <c r="I22" s="331"/>
      <c r="J22" s="331"/>
      <c r="K22" s="331"/>
      <c r="L22" s="331"/>
      <c r="M22" s="344"/>
      <c r="N22" s="326"/>
      <c r="O22" s="326"/>
      <c r="P22" s="325"/>
    </row>
    <row r="23" spans="1:16" ht="27.75">
      <c r="A23" s="325"/>
      <c r="B23" s="345"/>
      <c r="C23" s="346"/>
      <c r="D23" s="331"/>
      <c r="E23" s="331"/>
      <c r="F23" s="331"/>
      <c r="G23" s="331"/>
      <c r="H23" s="331"/>
      <c r="I23" s="331"/>
      <c r="J23" s="331"/>
      <c r="K23" s="336"/>
      <c r="L23" s="336"/>
      <c r="M23" s="347"/>
      <c r="N23" s="327"/>
      <c r="O23" s="327"/>
      <c r="P23" s="325"/>
    </row>
    <row r="24" spans="1:16" ht="22.5">
      <c r="A24" s="325"/>
      <c r="B24" s="348"/>
      <c r="C24" s="348"/>
      <c r="D24" s="348"/>
      <c r="E24" s="336"/>
      <c r="F24" s="336"/>
      <c r="G24" s="336"/>
      <c r="H24" s="336"/>
      <c r="I24" s="336"/>
      <c r="J24" s="336"/>
      <c r="K24" s="336"/>
      <c r="L24" s="348"/>
      <c r="M24" s="348"/>
      <c r="N24" s="328"/>
      <c r="O24" s="328"/>
      <c r="P24" s="325"/>
    </row>
    <row r="25" spans="1:16" ht="22.5">
      <c r="A25" s="325"/>
      <c r="B25" s="348"/>
      <c r="C25" s="331"/>
      <c r="D25" s="331"/>
      <c r="E25" s="331"/>
      <c r="F25" s="331"/>
      <c r="G25" s="331"/>
      <c r="H25" s="331"/>
      <c r="I25" s="331"/>
      <c r="J25" s="331"/>
      <c r="K25" s="331"/>
      <c r="L25" s="331"/>
      <c r="M25" s="348"/>
      <c r="N25" s="328"/>
      <c r="O25" s="328"/>
      <c r="P25" s="325"/>
    </row>
    <row r="26" spans="1:16" ht="22.5">
      <c r="A26" s="325"/>
      <c r="B26" s="348"/>
      <c r="C26" s="331"/>
      <c r="D26" s="331"/>
      <c r="E26" s="331"/>
      <c r="F26" s="331"/>
      <c r="G26" s="331"/>
      <c r="H26" s="331"/>
      <c r="I26" s="331"/>
      <c r="J26" s="331"/>
      <c r="K26" s="331"/>
      <c r="L26" s="331"/>
      <c r="M26" s="336"/>
      <c r="N26" s="328"/>
      <c r="O26" s="328"/>
      <c r="P26" s="325"/>
    </row>
    <row r="27" spans="1:16" ht="22.5">
      <c r="A27" s="325"/>
      <c r="B27" s="531"/>
      <c r="C27" s="531"/>
      <c r="D27" s="531"/>
      <c r="E27" s="531"/>
      <c r="F27" s="531"/>
      <c r="G27" s="349"/>
      <c r="H27" s="532"/>
      <c r="I27" s="532"/>
      <c r="J27" s="532"/>
      <c r="K27" s="532"/>
      <c r="L27" s="532"/>
      <c r="M27" s="532"/>
      <c r="N27" s="328"/>
      <c r="O27" s="328"/>
      <c r="P27" s="325"/>
    </row>
    <row r="28" spans="1:16" ht="22.5">
      <c r="A28" s="325"/>
      <c r="B28" s="533"/>
      <c r="C28" s="533"/>
      <c r="D28" s="533"/>
      <c r="E28" s="533"/>
      <c r="F28" s="533"/>
      <c r="G28" s="349"/>
      <c r="H28" s="532"/>
      <c r="I28" s="532"/>
      <c r="J28" s="532"/>
      <c r="K28" s="532"/>
      <c r="L28" s="532"/>
      <c r="M28" s="532"/>
      <c r="N28" s="328"/>
      <c r="O28" s="328"/>
      <c r="P28" s="325"/>
    </row>
    <row r="29" spans="1:16" ht="22.5">
      <c r="A29" s="325"/>
      <c r="B29" s="348"/>
      <c r="C29" s="348"/>
      <c r="D29" s="348"/>
      <c r="E29" s="348"/>
      <c r="F29" s="348"/>
      <c r="G29" s="348"/>
      <c r="H29" s="348"/>
      <c r="I29" s="348"/>
      <c r="J29" s="348"/>
      <c r="K29" s="348"/>
      <c r="L29" s="348"/>
      <c r="M29" s="348"/>
      <c r="N29" s="328"/>
      <c r="O29" s="328"/>
      <c r="P29" s="325"/>
    </row>
    <row r="30" spans="1:16" ht="22.5">
      <c r="A30" s="325"/>
      <c r="B30" s="328"/>
      <c r="C30" s="328"/>
      <c r="D30" s="328"/>
      <c r="E30" s="328"/>
      <c r="F30" s="328"/>
      <c r="G30" s="328"/>
      <c r="H30" s="328"/>
      <c r="I30" s="328"/>
      <c r="J30" s="328"/>
      <c r="K30" s="328"/>
      <c r="L30" s="328"/>
      <c r="M30" s="328"/>
      <c r="N30" s="328"/>
      <c r="O30" s="328"/>
      <c r="P30" s="325"/>
    </row>
  </sheetData>
  <mergeCells count="10">
    <mergeCell ref="B27:F27"/>
    <mergeCell ref="H27:M27"/>
    <mergeCell ref="B28:F28"/>
    <mergeCell ref="H28:M28"/>
    <mergeCell ref="C4:M4"/>
    <mergeCell ref="E14:K14"/>
    <mergeCell ref="B15:M15"/>
    <mergeCell ref="C17:L17"/>
    <mergeCell ref="G18:H18"/>
    <mergeCell ref="C11:M11"/>
  </mergeCells>
  <pageMargins left="1.1023622047244095" right="0.70866141732283472" top="2.1259842519685042" bottom="1.3385826771653544" header="0.31496062992125984" footer="0.31496062992125984"/>
  <pageSetup paperSize="9" scale="50"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D48"/>
  <sheetViews>
    <sheetView view="pageBreakPreview" zoomScaleNormal="100" workbookViewId="0">
      <selection activeCell="D52" sqref="D52"/>
    </sheetView>
  </sheetViews>
  <sheetFormatPr defaultColWidth="9.140625" defaultRowHeight="15.75"/>
  <cols>
    <col min="1" max="1" width="5.42578125" style="1" customWidth="1"/>
    <col min="2" max="2" width="46" style="2" customWidth="1"/>
    <col min="3" max="3" width="5.28515625" style="1" customWidth="1"/>
    <col min="4" max="4" width="46.7109375" style="2" customWidth="1"/>
    <col min="5" max="256" width="9.140625" style="1"/>
    <col min="257" max="257" width="5.42578125" style="1" customWidth="1"/>
    <col min="258" max="258" width="46" style="1" customWidth="1"/>
    <col min="259" max="259" width="5.28515625" style="1" customWidth="1"/>
    <col min="260" max="260" width="46.7109375" style="1" customWidth="1"/>
    <col min="261" max="512" width="9.140625" style="1"/>
    <col min="513" max="513" width="5.42578125" style="1" customWidth="1"/>
    <col min="514" max="514" width="46" style="1" customWidth="1"/>
    <col min="515" max="515" width="5.28515625" style="1" customWidth="1"/>
    <col min="516" max="516" width="46.7109375" style="1" customWidth="1"/>
    <col min="517" max="768" width="9.140625" style="1"/>
    <col min="769" max="769" width="5.42578125" style="1" customWidth="1"/>
    <col min="770" max="770" width="46" style="1" customWidth="1"/>
    <col min="771" max="771" width="5.28515625" style="1" customWidth="1"/>
    <col min="772" max="772" width="46.7109375" style="1" customWidth="1"/>
    <col min="773" max="1024" width="9.140625" style="1"/>
    <col min="1025" max="1025" width="5.42578125" style="1" customWidth="1"/>
    <col min="1026" max="1026" width="46" style="1" customWidth="1"/>
    <col min="1027" max="1027" width="5.28515625" style="1" customWidth="1"/>
    <col min="1028" max="1028" width="46.7109375" style="1" customWidth="1"/>
    <col min="1029" max="1280" width="9.140625" style="1"/>
    <col min="1281" max="1281" width="5.42578125" style="1" customWidth="1"/>
    <col min="1282" max="1282" width="46" style="1" customWidth="1"/>
    <col min="1283" max="1283" width="5.28515625" style="1" customWidth="1"/>
    <col min="1284" max="1284" width="46.7109375" style="1" customWidth="1"/>
    <col min="1285" max="1536" width="9.140625" style="1"/>
    <col min="1537" max="1537" width="5.42578125" style="1" customWidth="1"/>
    <col min="1538" max="1538" width="46" style="1" customWidth="1"/>
    <col min="1539" max="1539" width="5.28515625" style="1" customWidth="1"/>
    <col min="1540" max="1540" width="46.7109375" style="1" customWidth="1"/>
    <col min="1541" max="1792" width="9.140625" style="1"/>
    <col min="1793" max="1793" width="5.42578125" style="1" customWidth="1"/>
    <col min="1794" max="1794" width="46" style="1" customWidth="1"/>
    <col min="1795" max="1795" width="5.28515625" style="1" customWidth="1"/>
    <col min="1796" max="1796" width="46.7109375" style="1" customWidth="1"/>
    <col min="1797" max="2048" width="9.140625" style="1"/>
    <col min="2049" max="2049" width="5.42578125" style="1" customWidth="1"/>
    <col min="2050" max="2050" width="46" style="1" customWidth="1"/>
    <col min="2051" max="2051" width="5.28515625" style="1" customWidth="1"/>
    <col min="2052" max="2052" width="46.7109375" style="1" customWidth="1"/>
    <col min="2053" max="2304" width="9.140625" style="1"/>
    <col min="2305" max="2305" width="5.42578125" style="1" customWidth="1"/>
    <col min="2306" max="2306" width="46" style="1" customWidth="1"/>
    <col min="2307" max="2307" width="5.28515625" style="1" customWidth="1"/>
    <col min="2308" max="2308" width="46.7109375" style="1" customWidth="1"/>
    <col min="2309" max="2560" width="9.140625" style="1"/>
    <col min="2561" max="2561" width="5.42578125" style="1" customWidth="1"/>
    <col min="2562" max="2562" width="46" style="1" customWidth="1"/>
    <col min="2563" max="2563" width="5.28515625" style="1" customWidth="1"/>
    <col min="2564" max="2564" width="46.7109375" style="1" customWidth="1"/>
    <col min="2565" max="2816" width="9.140625" style="1"/>
    <col min="2817" max="2817" width="5.42578125" style="1" customWidth="1"/>
    <col min="2818" max="2818" width="46" style="1" customWidth="1"/>
    <col min="2819" max="2819" width="5.28515625" style="1" customWidth="1"/>
    <col min="2820" max="2820" width="46.7109375" style="1" customWidth="1"/>
    <col min="2821" max="3072" width="9.140625" style="1"/>
    <col min="3073" max="3073" width="5.42578125" style="1" customWidth="1"/>
    <col min="3074" max="3074" width="46" style="1" customWidth="1"/>
    <col min="3075" max="3075" width="5.28515625" style="1" customWidth="1"/>
    <col min="3076" max="3076" width="46.7109375" style="1" customWidth="1"/>
    <col min="3077" max="3328" width="9.140625" style="1"/>
    <col min="3329" max="3329" width="5.42578125" style="1" customWidth="1"/>
    <col min="3330" max="3330" width="46" style="1" customWidth="1"/>
    <col min="3331" max="3331" width="5.28515625" style="1" customWidth="1"/>
    <col min="3332" max="3332" width="46.7109375" style="1" customWidth="1"/>
    <col min="3333" max="3584" width="9.140625" style="1"/>
    <col min="3585" max="3585" width="5.42578125" style="1" customWidth="1"/>
    <col min="3586" max="3586" width="46" style="1" customWidth="1"/>
    <col min="3587" max="3587" width="5.28515625" style="1" customWidth="1"/>
    <col min="3588" max="3588" width="46.7109375" style="1" customWidth="1"/>
    <col min="3589" max="3840" width="9.140625" style="1"/>
    <col min="3841" max="3841" width="5.42578125" style="1" customWidth="1"/>
    <col min="3842" max="3842" width="46" style="1" customWidth="1"/>
    <col min="3843" max="3843" width="5.28515625" style="1" customWidth="1"/>
    <col min="3844" max="3844" width="46.7109375" style="1" customWidth="1"/>
    <col min="3845" max="4096" width="9.140625" style="1"/>
    <col min="4097" max="4097" width="5.42578125" style="1" customWidth="1"/>
    <col min="4098" max="4098" width="46" style="1" customWidth="1"/>
    <col min="4099" max="4099" width="5.28515625" style="1" customWidth="1"/>
    <col min="4100" max="4100" width="46.7109375" style="1" customWidth="1"/>
    <col min="4101" max="4352" width="9.140625" style="1"/>
    <col min="4353" max="4353" width="5.42578125" style="1" customWidth="1"/>
    <col min="4354" max="4354" width="46" style="1" customWidth="1"/>
    <col min="4355" max="4355" width="5.28515625" style="1" customWidth="1"/>
    <col min="4356" max="4356" width="46.7109375" style="1" customWidth="1"/>
    <col min="4357" max="4608" width="9.140625" style="1"/>
    <col min="4609" max="4609" width="5.42578125" style="1" customWidth="1"/>
    <col min="4610" max="4610" width="46" style="1" customWidth="1"/>
    <col min="4611" max="4611" width="5.28515625" style="1" customWidth="1"/>
    <col min="4612" max="4612" width="46.7109375" style="1" customWidth="1"/>
    <col min="4613" max="4864" width="9.140625" style="1"/>
    <col min="4865" max="4865" width="5.42578125" style="1" customWidth="1"/>
    <col min="4866" max="4866" width="46" style="1" customWidth="1"/>
    <col min="4867" max="4867" width="5.28515625" style="1" customWidth="1"/>
    <col min="4868" max="4868" width="46.7109375" style="1" customWidth="1"/>
    <col min="4869" max="5120" width="9.140625" style="1"/>
    <col min="5121" max="5121" width="5.42578125" style="1" customWidth="1"/>
    <col min="5122" max="5122" width="46" style="1" customWidth="1"/>
    <col min="5123" max="5123" width="5.28515625" style="1" customWidth="1"/>
    <col min="5124" max="5124" width="46.7109375" style="1" customWidth="1"/>
    <col min="5125" max="5376" width="9.140625" style="1"/>
    <col min="5377" max="5377" width="5.42578125" style="1" customWidth="1"/>
    <col min="5378" max="5378" width="46" style="1" customWidth="1"/>
    <col min="5379" max="5379" width="5.28515625" style="1" customWidth="1"/>
    <col min="5380" max="5380" width="46.7109375" style="1" customWidth="1"/>
    <col min="5381" max="5632" width="9.140625" style="1"/>
    <col min="5633" max="5633" width="5.42578125" style="1" customWidth="1"/>
    <col min="5634" max="5634" width="46" style="1" customWidth="1"/>
    <col min="5635" max="5635" width="5.28515625" style="1" customWidth="1"/>
    <col min="5636" max="5636" width="46.7109375" style="1" customWidth="1"/>
    <col min="5637" max="5888" width="9.140625" style="1"/>
    <col min="5889" max="5889" width="5.42578125" style="1" customWidth="1"/>
    <col min="5890" max="5890" width="46" style="1" customWidth="1"/>
    <col min="5891" max="5891" width="5.28515625" style="1" customWidth="1"/>
    <col min="5892" max="5892" width="46.7109375" style="1" customWidth="1"/>
    <col min="5893" max="6144" width="9.140625" style="1"/>
    <col min="6145" max="6145" width="5.42578125" style="1" customWidth="1"/>
    <col min="6146" max="6146" width="46" style="1" customWidth="1"/>
    <col min="6147" max="6147" width="5.28515625" style="1" customWidth="1"/>
    <col min="6148" max="6148" width="46.7109375" style="1" customWidth="1"/>
    <col min="6149" max="6400" width="9.140625" style="1"/>
    <col min="6401" max="6401" width="5.42578125" style="1" customWidth="1"/>
    <col min="6402" max="6402" width="46" style="1" customWidth="1"/>
    <col min="6403" max="6403" width="5.28515625" style="1" customWidth="1"/>
    <col min="6404" max="6404" width="46.7109375" style="1" customWidth="1"/>
    <col min="6405" max="6656" width="9.140625" style="1"/>
    <col min="6657" max="6657" width="5.42578125" style="1" customWidth="1"/>
    <col min="6658" max="6658" width="46" style="1" customWidth="1"/>
    <col min="6659" max="6659" width="5.28515625" style="1" customWidth="1"/>
    <col min="6660" max="6660" width="46.7109375" style="1" customWidth="1"/>
    <col min="6661" max="6912" width="9.140625" style="1"/>
    <col min="6913" max="6913" width="5.42578125" style="1" customWidth="1"/>
    <col min="6914" max="6914" width="46" style="1" customWidth="1"/>
    <col min="6915" max="6915" width="5.28515625" style="1" customWidth="1"/>
    <col min="6916" max="6916" width="46.7109375" style="1" customWidth="1"/>
    <col min="6917" max="7168" width="9.140625" style="1"/>
    <col min="7169" max="7169" width="5.42578125" style="1" customWidth="1"/>
    <col min="7170" max="7170" width="46" style="1" customWidth="1"/>
    <col min="7171" max="7171" width="5.28515625" style="1" customWidth="1"/>
    <col min="7172" max="7172" width="46.7109375" style="1" customWidth="1"/>
    <col min="7173" max="7424" width="9.140625" style="1"/>
    <col min="7425" max="7425" width="5.42578125" style="1" customWidth="1"/>
    <col min="7426" max="7426" width="46" style="1" customWidth="1"/>
    <col min="7427" max="7427" width="5.28515625" style="1" customWidth="1"/>
    <col min="7428" max="7428" width="46.7109375" style="1" customWidth="1"/>
    <col min="7429" max="7680" width="9.140625" style="1"/>
    <col min="7681" max="7681" width="5.42578125" style="1" customWidth="1"/>
    <col min="7682" max="7682" width="46" style="1" customWidth="1"/>
    <col min="7683" max="7683" width="5.28515625" style="1" customWidth="1"/>
    <col min="7684" max="7684" width="46.7109375" style="1" customWidth="1"/>
    <col min="7685" max="7936" width="9.140625" style="1"/>
    <col min="7937" max="7937" width="5.42578125" style="1" customWidth="1"/>
    <col min="7938" max="7938" width="46" style="1" customWidth="1"/>
    <col min="7939" max="7939" width="5.28515625" style="1" customWidth="1"/>
    <col min="7940" max="7940" width="46.7109375" style="1" customWidth="1"/>
    <col min="7941" max="8192" width="9.140625" style="1"/>
    <col min="8193" max="8193" width="5.42578125" style="1" customWidth="1"/>
    <col min="8194" max="8194" width="46" style="1" customWidth="1"/>
    <col min="8195" max="8195" width="5.28515625" style="1" customWidth="1"/>
    <col min="8196" max="8196" width="46.7109375" style="1" customWidth="1"/>
    <col min="8197" max="8448" width="9.140625" style="1"/>
    <col min="8449" max="8449" width="5.42578125" style="1" customWidth="1"/>
    <col min="8450" max="8450" width="46" style="1" customWidth="1"/>
    <col min="8451" max="8451" width="5.28515625" style="1" customWidth="1"/>
    <col min="8452" max="8452" width="46.7109375" style="1" customWidth="1"/>
    <col min="8453" max="8704" width="9.140625" style="1"/>
    <col min="8705" max="8705" width="5.42578125" style="1" customWidth="1"/>
    <col min="8706" max="8706" width="46" style="1" customWidth="1"/>
    <col min="8707" max="8707" width="5.28515625" style="1" customWidth="1"/>
    <col min="8708" max="8708" width="46.7109375" style="1" customWidth="1"/>
    <col min="8709" max="8960" width="9.140625" style="1"/>
    <col min="8961" max="8961" width="5.42578125" style="1" customWidth="1"/>
    <col min="8962" max="8962" width="46" style="1" customWidth="1"/>
    <col min="8963" max="8963" width="5.28515625" style="1" customWidth="1"/>
    <col min="8964" max="8964" width="46.7109375" style="1" customWidth="1"/>
    <col min="8965" max="9216" width="9.140625" style="1"/>
    <col min="9217" max="9217" width="5.42578125" style="1" customWidth="1"/>
    <col min="9218" max="9218" width="46" style="1" customWidth="1"/>
    <col min="9219" max="9219" width="5.28515625" style="1" customWidth="1"/>
    <col min="9220" max="9220" width="46.7109375" style="1" customWidth="1"/>
    <col min="9221" max="9472" width="9.140625" style="1"/>
    <col min="9473" max="9473" width="5.42578125" style="1" customWidth="1"/>
    <col min="9474" max="9474" width="46" style="1" customWidth="1"/>
    <col min="9475" max="9475" width="5.28515625" style="1" customWidth="1"/>
    <col min="9476" max="9476" width="46.7109375" style="1" customWidth="1"/>
    <col min="9477" max="9728" width="9.140625" style="1"/>
    <col min="9729" max="9729" width="5.42578125" style="1" customWidth="1"/>
    <col min="9730" max="9730" width="46" style="1" customWidth="1"/>
    <col min="9731" max="9731" width="5.28515625" style="1" customWidth="1"/>
    <col min="9732" max="9732" width="46.7109375" style="1" customWidth="1"/>
    <col min="9733" max="9984" width="9.140625" style="1"/>
    <col min="9985" max="9985" width="5.42578125" style="1" customWidth="1"/>
    <col min="9986" max="9986" width="46" style="1" customWidth="1"/>
    <col min="9987" max="9987" width="5.28515625" style="1" customWidth="1"/>
    <col min="9988" max="9988" width="46.7109375" style="1" customWidth="1"/>
    <col min="9989" max="10240" width="9.140625" style="1"/>
    <col min="10241" max="10241" width="5.42578125" style="1" customWidth="1"/>
    <col min="10242" max="10242" width="46" style="1" customWidth="1"/>
    <col min="10243" max="10243" width="5.28515625" style="1" customWidth="1"/>
    <col min="10244" max="10244" width="46.7109375" style="1" customWidth="1"/>
    <col min="10245" max="10496" width="9.140625" style="1"/>
    <col min="10497" max="10497" width="5.42578125" style="1" customWidth="1"/>
    <col min="10498" max="10498" width="46" style="1" customWidth="1"/>
    <col min="10499" max="10499" width="5.28515625" style="1" customWidth="1"/>
    <col min="10500" max="10500" width="46.7109375" style="1" customWidth="1"/>
    <col min="10501" max="10752" width="9.140625" style="1"/>
    <col min="10753" max="10753" width="5.42578125" style="1" customWidth="1"/>
    <col min="10754" max="10754" width="46" style="1" customWidth="1"/>
    <col min="10755" max="10755" width="5.28515625" style="1" customWidth="1"/>
    <col min="10756" max="10756" width="46.7109375" style="1" customWidth="1"/>
    <col min="10757" max="11008" width="9.140625" style="1"/>
    <col min="11009" max="11009" width="5.42578125" style="1" customWidth="1"/>
    <col min="11010" max="11010" width="46" style="1" customWidth="1"/>
    <col min="11011" max="11011" width="5.28515625" style="1" customWidth="1"/>
    <col min="11012" max="11012" width="46.7109375" style="1" customWidth="1"/>
    <col min="11013" max="11264" width="9.140625" style="1"/>
    <col min="11265" max="11265" width="5.42578125" style="1" customWidth="1"/>
    <col min="11266" max="11266" width="46" style="1" customWidth="1"/>
    <col min="11267" max="11267" width="5.28515625" style="1" customWidth="1"/>
    <col min="11268" max="11268" width="46.7109375" style="1" customWidth="1"/>
    <col min="11269" max="11520" width="9.140625" style="1"/>
    <col min="11521" max="11521" width="5.42578125" style="1" customWidth="1"/>
    <col min="11522" max="11522" width="46" style="1" customWidth="1"/>
    <col min="11523" max="11523" width="5.28515625" style="1" customWidth="1"/>
    <col min="11524" max="11524" width="46.7109375" style="1" customWidth="1"/>
    <col min="11525" max="11776" width="9.140625" style="1"/>
    <col min="11777" max="11777" width="5.42578125" style="1" customWidth="1"/>
    <col min="11778" max="11778" width="46" style="1" customWidth="1"/>
    <col min="11779" max="11779" width="5.28515625" style="1" customWidth="1"/>
    <col min="11780" max="11780" width="46.7109375" style="1" customWidth="1"/>
    <col min="11781" max="12032" width="9.140625" style="1"/>
    <col min="12033" max="12033" width="5.42578125" style="1" customWidth="1"/>
    <col min="12034" max="12034" width="46" style="1" customWidth="1"/>
    <col min="12035" max="12035" width="5.28515625" style="1" customWidth="1"/>
    <col min="12036" max="12036" width="46.7109375" style="1" customWidth="1"/>
    <col min="12037" max="12288" width="9.140625" style="1"/>
    <col min="12289" max="12289" width="5.42578125" style="1" customWidth="1"/>
    <col min="12290" max="12290" width="46" style="1" customWidth="1"/>
    <col min="12291" max="12291" width="5.28515625" style="1" customWidth="1"/>
    <col min="12292" max="12292" width="46.7109375" style="1" customWidth="1"/>
    <col min="12293" max="12544" width="9.140625" style="1"/>
    <col min="12545" max="12545" width="5.42578125" style="1" customWidth="1"/>
    <col min="12546" max="12546" width="46" style="1" customWidth="1"/>
    <col min="12547" max="12547" width="5.28515625" style="1" customWidth="1"/>
    <col min="12548" max="12548" width="46.7109375" style="1" customWidth="1"/>
    <col min="12549" max="12800" width="9.140625" style="1"/>
    <col min="12801" max="12801" width="5.42578125" style="1" customWidth="1"/>
    <col min="12802" max="12802" width="46" style="1" customWidth="1"/>
    <col min="12803" max="12803" width="5.28515625" style="1" customWidth="1"/>
    <col min="12804" max="12804" width="46.7109375" style="1" customWidth="1"/>
    <col min="12805" max="13056" width="9.140625" style="1"/>
    <col min="13057" max="13057" width="5.42578125" style="1" customWidth="1"/>
    <col min="13058" max="13058" width="46" style="1" customWidth="1"/>
    <col min="13059" max="13059" width="5.28515625" style="1" customWidth="1"/>
    <col min="13060" max="13060" width="46.7109375" style="1" customWidth="1"/>
    <col min="13061" max="13312" width="9.140625" style="1"/>
    <col min="13313" max="13313" width="5.42578125" style="1" customWidth="1"/>
    <col min="13314" max="13314" width="46" style="1" customWidth="1"/>
    <col min="13315" max="13315" width="5.28515625" style="1" customWidth="1"/>
    <col min="13316" max="13316" width="46.7109375" style="1" customWidth="1"/>
    <col min="13317" max="13568" width="9.140625" style="1"/>
    <col min="13569" max="13569" width="5.42578125" style="1" customWidth="1"/>
    <col min="13570" max="13570" width="46" style="1" customWidth="1"/>
    <col min="13571" max="13571" width="5.28515625" style="1" customWidth="1"/>
    <col min="13572" max="13572" width="46.7109375" style="1" customWidth="1"/>
    <col min="13573" max="13824" width="9.140625" style="1"/>
    <col min="13825" max="13825" width="5.42578125" style="1" customWidth="1"/>
    <col min="13826" max="13826" width="46" style="1" customWidth="1"/>
    <col min="13827" max="13827" width="5.28515625" style="1" customWidth="1"/>
    <col min="13828" max="13828" width="46.7109375" style="1" customWidth="1"/>
    <col min="13829" max="14080" width="9.140625" style="1"/>
    <col min="14081" max="14081" width="5.42578125" style="1" customWidth="1"/>
    <col min="14082" max="14082" width="46" style="1" customWidth="1"/>
    <col min="14083" max="14083" width="5.28515625" style="1" customWidth="1"/>
    <col min="14084" max="14084" width="46.7109375" style="1" customWidth="1"/>
    <col min="14085" max="14336" width="9.140625" style="1"/>
    <col min="14337" max="14337" width="5.42578125" style="1" customWidth="1"/>
    <col min="14338" max="14338" width="46" style="1" customWidth="1"/>
    <col min="14339" max="14339" width="5.28515625" style="1" customWidth="1"/>
    <col min="14340" max="14340" width="46.7109375" style="1" customWidth="1"/>
    <col min="14341" max="14592" width="9.140625" style="1"/>
    <col min="14593" max="14593" width="5.42578125" style="1" customWidth="1"/>
    <col min="14594" max="14594" width="46" style="1" customWidth="1"/>
    <col min="14595" max="14595" width="5.28515625" style="1" customWidth="1"/>
    <col min="14596" max="14596" width="46.7109375" style="1" customWidth="1"/>
    <col min="14597" max="14848" width="9.140625" style="1"/>
    <col min="14849" max="14849" width="5.42578125" style="1" customWidth="1"/>
    <col min="14850" max="14850" width="46" style="1" customWidth="1"/>
    <col min="14851" max="14851" width="5.28515625" style="1" customWidth="1"/>
    <col min="14852" max="14852" width="46.7109375" style="1" customWidth="1"/>
    <col min="14853" max="15104" width="9.140625" style="1"/>
    <col min="15105" max="15105" width="5.42578125" style="1" customWidth="1"/>
    <col min="15106" max="15106" width="46" style="1" customWidth="1"/>
    <col min="15107" max="15107" width="5.28515625" style="1" customWidth="1"/>
    <col min="15108" max="15108" width="46.7109375" style="1" customWidth="1"/>
    <col min="15109" max="15360" width="9.140625" style="1"/>
    <col min="15361" max="15361" width="5.42578125" style="1" customWidth="1"/>
    <col min="15362" max="15362" width="46" style="1" customWidth="1"/>
    <col min="15363" max="15363" width="5.28515625" style="1" customWidth="1"/>
    <col min="15364" max="15364" width="46.7109375" style="1" customWidth="1"/>
    <col min="15365" max="15616" width="9.140625" style="1"/>
    <col min="15617" max="15617" width="5.42578125" style="1" customWidth="1"/>
    <col min="15618" max="15618" width="46" style="1" customWidth="1"/>
    <col min="15619" max="15619" width="5.28515625" style="1" customWidth="1"/>
    <col min="15620" max="15620" width="46.7109375" style="1" customWidth="1"/>
    <col min="15621" max="15872" width="9.140625" style="1"/>
    <col min="15873" max="15873" width="5.42578125" style="1" customWidth="1"/>
    <col min="15874" max="15874" width="46" style="1" customWidth="1"/>
    <col min="15875" max="15875" width="5.28515625" style="1" customWidth="1"/>
    <col min="15876" max="15876" width="46.7109375" style="1" customWidth="1"/>
    <col min="15877" max="16128" width="9.140625" style="1"/>
    <col min="16129" max="16129" width="5.42578125" style="1" customWidth="1"/>
    <col min="16130" max="16130" width="46" style="1" customWidth="1"/>
    <col min="16131" max="16131" width="5.28515625" style="1" customWidth="1"/>
    <col min="16132" max="16132" width="46.7109375" style="1" customWidth="1"/>
    <col min="16133" max="16384" width="9.140625" style="1"/>
  </cols>
  <sheetData>
    <row r="1" spans="1:4" ht="31.5" customHeight="1">
      <c r="A1" s="540" t="s">
        <v>486</v>
      </c>
      <c r="B1" s="541"/>
      <c r="C1" s="541"/>
      <c r="D1" s="541"/>
    </row>
    <row r="2" spans="1:4">
      <c r="A2"/>
      <c r="B2"/>
      <c r="C2"/>
      <c r="D2"/>
    </row>
    <row r="3" spans="1:4" ht="34.5" customHeight="1">
      <c r="A3" s="407" t="s">
        <v>406</v>
      </c>
      <c r="B3" s="408" t="s">
        <v>1</v>
      </c>
      <c r="C3" s="407" t="s">
        <v>2</v>
      </c>
      <c r="D3" s="408" t="s">
        <v>481</v>
      </c>
    </row>
    <row r="4" spans="1:4" ht="34.5" customHeight="1">
      <c r="A4" s="407" t="s">
        <v>407</v>
      </c>
      <c r="B4" s="408" t="s">
        <v>373</v>
      </c>
      <c r="C4" s="407" t="s">
        <v>2</v>
      </c>
      <c r="D4" s="408" t="s">
        <v>408</v>
      </c>
    </row>
    <row r="5" spans="1:4" ht="34.5" customHeight="1">
      <c r="A5" s="407" t="s">
        <v>409</v>
      </c>
      <c r="B5" s="408" t="s">
        <v>374</v>
      </c>
      <c r="C5" s="407" t="s">
        <v>2</v>
      </c>
      <c r="D5" s="408" t="s">
        <v>375</v>
      </c>
    </row>
    <row r="6" spans="1:4" ht="34.5" customHeight="1">
      <c r="A6" s="407" t="s">
        <v>410</v>
      </c>
      <c r="B6" s="408" t="s">
        <v>376</v>
      </c>
      <c r="C6" s="407" t="s">
        <v>2</v>
      </c>
      <c r="D6" s="408" t="s">
        <v>487</v>
      </c>
    </row>
    <row r="7" spans="1:4" ht="34.5" customHeight="1">
      <c r="A7" s="407" t="s">
        <v>411</v>
      </c>
      <c r="B7" s="408" t="s">
        <v>377</v>
      </c>
      <c r="C7" s="407" t="s">
        <v>2</v>
      </c>
      <c r="D7" s="408" t="s">
        <v>482</v>
      </c>
    </row>
    <row r="8" spans="1:4" ht="34.5" customHeight="1">
      <c r="A8" s="407" t="s">
        <v>412</v>
      </c>
      <c r="B8" s="408" t="s">
        <v>378</v>
      </c>
      <c r="C8" s="407" t="s">
        <v>2</v>
      </c>
      <c r="D8" s="408" t="s">
        <v>413</v>
      </c>
    </row>
    <row r="9" spans="1:4" ht="34.5" customHeight="1">
      <c r="A9" s="407" t="s">
        <v>414</v>
      </c>
      <c r="B9" s="408" t="s">
        <v>379</v>
      </c>
      <c r="C9" s="407" t="s">
        <v>2</v>
      </c>
      <c r="D9" s="408" t="s">
        <v>415</v>
      </c>
    </row>
    <row r="10" spans="1:4" ht="34.5" customHeight="1">
      <c r="A10" s="407" t="s">
        <v>416</v>
      </c>
      <c r="B10" s="408" t="s">
        <v>380</v>
      </c>
      <c r="C10" s="407" t="s">
        <v>2</v>
      </c>
      <c r="D10" s="408" t="s">
        <v>417</v>
      </c>
    </row>
    <row r="11" spans="1:4" ht="34.5" customHeight="1">
      <c r="A11" s="407" t="s">
        <v>418</v>
      </c>
      <c r="B11" s="408" t="s">
        <v>381</v>
      </c>
      <c r="C11" s="407" t="s">
        <v>2</v>
      </c>
      <c r="D11" s="408" t="s">
        <v>5</v>
      </c>
    </row>
    <row r="12" spans="1:4" ht="34.5" customHeight="1">
      <c r="A12" s="407" t="s">
        <v>419</v>
      </c>
      <c r="B12" s="408" t="s">
        <v>382</v>
      </c>
      <c r="C12" s="407" t="s">
        <v>2</v>
      </c>
      <c r="D12" s="408" t="s">
        <v>5</v>
      </c>
    </row>
    <row r="13" spans="1:4" ht="34.5" customHeight="1">
      <c r="A13" s="407" t="s">
        <v>420</v>
      </c>
      <c r="B13" s="408" t="s">
        <v>383</v>
      </c>
      <c r="C13" s="407" t="s">
        <v>2</v>
      </c>
      <c r="D13" s="408" t="s">
        <v>5</v>
      </c>
    </row>
    <row r="14" spans="1:4" ht="34.5" customHeight="1">
      <c r="A14" s="407" t="s">
        <v>421</v>
      </c>
      <c r="B14" s="408" t="s">
        <v>384</v>
      </c>
      <c r="C14" s="407" t="s">
        <v>2</v>
      </c>
      <c r="D14" s="408" t="s">
        <v>5</v>
      </c>
    </row>
    <row r="15" spans="1:4" ht="34.5" customHeight="1">
      <c r="A15" s="407" t="s">
        <v>422</v>
      </c>
      <c r="B15" s="408" t="s">
        <v>385</v>
      </c>
      <c r="C15" s="407" t="s">
        <v>2</v>
      </c>
      <c r="D15" s="408" t="s">
        <v>5</v>
      </c>
    </row>
    <row r="16" spans="1:4" ht="34.5" customHeight="1">
      <c r="A16" s="407" t="s">
        <v>423</v>
      </c>
      <c r="B16" s="408" t="s">
        <v>424</v>
      </c>
      <c r="C16" s="407" t="s">
        <v>2</v>
      </c>
      <c r="D16" s="408" t="s">
        <v>386</v>
      </c>
    </row>
    <row r="17" spans="1:4" ht="34.5" customHeight="1">
      <c r="A17" s="407" t="s">
        <v>425</v>
      </c>
      <c r="B17" s="408" t="s">
        <v>387</v>
      </c>
      <c r="C17" s="407" t="s">
        <v>2</v>
      </c>
      <c r="D17" s="408" t="s">
        <v>388</v>
      </c>
    </row>
    <row r="18" spans="1:4" ht="34.5" customHeight="1">
      <c r="A18" s="407" t="s">
        <v>426</v>
      </c>
      <c r="B18" s="408" t="s">
        <v>389</v>
      </c>
      <c r="C18" s="407" t="s">
        <v>2</v>
      </c>
      <c r="D18" s="408" t="s">
        <v>388</v>
      </c>
    </row>
    <row r="19" spans="1:4" ht="34.5" customHeight="1">
      <c r="A19" s="407" t="s">
        <v>427</v>
      </c>
      <c r="B19" s="408" t="s">
        <v>390</v>
      </c>
      <c r="C19" s="407" t="s">
        <v>2</v>
      </c>
      <c r="D19" s="408" t="s">
        <v>388</v>
      </c>
    </row>
    <row r="20" spans="1:4" ht="34.5" customHeight="1">
      <c r="A20" s="407" t="s">
        <v>428</v>
      </c>
      <c r="B20" s="408" t="s">
        <v>429</v>
      </c>
      <c r="C20" s="407" t="s">
        <v>2</v>
      </c>
      <c r="D20" s="408" t="s">
        <v>3</v>
      </c>
    </row>
    <row r="21" spans="1:4" ht="34.5" customHeight="1">
      <c r="A21" s="407" t="s">
        <v>430</v>
      </c>
      <c r="B21" s="408" t="s">
        <v>391</v>
      </c>
      <c r="C21" s="407" t="s">
        <v>2</v>
      </c>
      <c r="D21" s="408" t="s">
        <v>392</v>
      </c>
    </row>
    <row r="22" spans="1:4" ht="34.5" customHeight="1">
      <c r="A22" s="407" t="s">
        <v>431</v>
      </c>
      <c r="B22" s="408" t="s">
        <v>393</v>
      </c>
      <c r="C22" s="407" t="s">
        <v>2</v>
      </c>
      <c r="D22" s="408" t="s">
        <v>386</v>
      </c>
    </row>
    <row r="23" spans="1:4" ht="34.5" customHeight="1">
      <c r="A23" s="407" t="s">
        <v>432</v>
      </c>
      <c r="B23" s="408" t="s">
        <v>394</v>
      </c>
      <c r="C23" s="407" t="s">
        <v>2</v>
      </c>
      <c r="D23" s="408" t="s">
        <v>5</v>
      </c>
    </row>
    <row r="24" spans="1:4" ht="34.5" customHeight="1">
      <c r="A24" s="407" t="s">
        <v>433</v>
      </c>
      <c r="B24" s="408" t="s">
        <v>434</v>
      </c>
      <c r="C24" s="407" t="s">
        <v>2</v>
      </c>
      <c r="D24" s="408" t="s">
        <v>386</v>
      </c>
    </row>
    <row r="25" spans="1:4">
      <c r="A25" s="409"/>
      <c r="B25" s="409"/>
      <c r="C25" s="409"/>
      <c r="D25" s="410" t="s">
        <v>395</v>
      </c>
    </row>
    <row r="26" spans="1:4">
      <c r="A26" s="542" t="s">
        <v>435</v>
      </c>
      <c r="B26" s="542"/>
      <c r="C26" s="542"/>
      <c r="D26" s="542"/>
    </row>
    <row r="27" spans="1:4">
      <c r="A27" s="409"/>
      <c r="B27" s="409"/>
      <c r="C27" s="409"/>
      <c r="D27" s="409"/>
    </row>
    <row r="28" spans="1:4">
      <c r="A28" s="407" t="s">
        <v>436</v>
      </c>
      <c r="B28" s="408" t="s">
        <v>437</v>
      </c>
      <c r="C28" s="407" t="s">
        <v>2</v>
      </c>
      <c r="D28" s="408" t="s">
        <v>386</v>
      </c>
    </row>
    <row r="29" spans="1:4" ht="31.5">
      <c r="A29" s="407" t="s">
        <v>438</v>
      </c>
      <c r="B29" s="408" t="s">
        <v>396</v>
      </c>
      <c r="C29" s="407" t="s">
        <v>2</v>
      </c>
      <c r="D29" s="408" t="s">
        <v>397</v>
      </c>
    </row>
    <row r="30" spans="1:4" ht="31.5">
      <c r="A30" s="407" t="s">
        <v>439</v>
      </c>
      <c r="B30" s="408" t="s">
        <v>398</v>
      </c>
      <c r="C30" s="407" t="s">
        <v>2</v>
      </c>
      <c r="D30" s="408" t="s">
        <v>440</v>
      </c>
    </row>
    <row r="31" spans="1:4">
      <c r="A31" s="407" t="s">
        <v>441</v>
      </c>
      <c r="B31" s="408" t="s">
        <v>399</v>
      </c>
      <c r="C31" s="407" t="s">
        <v>2</v>
      </c>
      <c r="D31" s="408" t="s">
        <v>397</v>
      </c>
    </row>
    <row r="32" spans="1:4" ht="31.5">
      <c r="A32" s="407" t="s">
        <v>442</v>
      </c>
      <c r="B32" s="408" t="s">
        <v>400</v>
      </c>
      <c r="C32" s="407" t="s">
        <v>2</v>
      </c>
      <c r="D32" s="408" t="s">
        <v>397</v>
      </c>
    </row>
    <row r="33" spans="1:4" ht="47.25">
      <c r="A33" s="407" t="s">
        <v>443</v>
      </c>
      <c r="B33" s="408" t="s">
        <v>444</v>
      </c>
      <c r="C33" s="407" t="s">
        <v>2</v>
      </c>
      <c r="D33" s="408" t="s">
        <v>5</v>
      </c>
    </row>
    <row r="34" spans="1:4" ht="31.5">
      <c r="A34" s="407" t="s">
        <v>445</v>
      </c>
      <c r="B34" s="408" t="s">
        <v>446</v>
      </c>
      <c r="C34" s="407" t="s">
        <v>2</v>
      </c>
      <c r="D34" s="408" t="s">
        <v>466</v>
      </c>
    </row>
    <row r="35" spans="1:4" ht="47.25">
      <c r="A35" s="407" t="s">
        <v>447</v>
      </c>
      <c r="B35" s="408" t="s">
        <v>448</v>
      </c>
      <c r="C35" s="407" t="s">
        <v>2</v>
      </c>
      <c r="D35" s="408" t="s">
        <v>5</v>
      </c>
    </row>
    <row r="36" spans="1:4" ht="31.5">
      <c r="A36" s="407" t="s">
        <v>449</v>
      </c>
      <c r="B36" s="408" t="s">
        <v>401</v>
      </c>
      <c r="C36" s="407" t="s">
        <v>2</v>
      </c>
      <c r="D36" s="408" t="s">
        <v>5</v>
      </c>
    </row>
    <row r="37" spans="1:4" ht="63">
      <c r="A37" s="407" t="s">
        <v>450</v>
      </c>
      <c r="B37" s="408" t="s">
        <v>451</v>
      </c>
      <c r="C37" s="407" t="s">
        <v>2</v>
      </c>
      <c r="D37" s="408" t="s">
        <v>452</v>
      </c>
    </row>
    <row r="38" spans="1:4" ht="78.75">
      <c r="A38" s="407" t="s">
        <v>453</v>
      </c>
      <c r="B38" s="408" t="s">
        <v>454</v>
      </c>
      <c r="C38" s="407" t="s">
        <v>2</v>
      </c>
      <c r="D38" s="408" t="s">
        <v>386</v>
      </c>
    </row>
    <row r="39" spans="1:4">
      <c r="A39" s="407" t="s">
        <v>4</v>
      </c>
      <c r="B39" s="408" t="s">
        <v>483</v>
      </c>
      <c r="C39" s="407" t="s">
        <v>2</v>
      </c>
      <c r="D39" s="408" t="s">
        <v>386</v>
      </c>
    </row>
    <row r="40" spans="1:4">
      <c r="A40" s="407" t="s">
        <v>402</v>
      </c>
      <c r="B40" s="408" t="s">
        <v>484</v>
      </c>
      <c r="C40" s="407" t="s">
        <v>2</v>
      </c>
      <c r="D40" s="408" t="s">
        <v>3</v>
      </c>
    </row>
    <row r="41" spans="1:4">
      <c r="A41" s="407" t="s">
        <v>403</v>
      </c>
      <c r="B41" s="408" t="s">
        <v>485</v>
      </c>
      <c r="C41" s="407" t="s">
        <v>2</v>
      </c>
      <c r="D41" s="408" t="s">
        <v>3</v>
      </c>
    </row>
    <row r="42" spans="1:4" ht="31.5">
      <c r="A42" s="407" t="s">
        <v>455</v>
      </c>
      <c r="B42" s="408" t="s">
        <v>456</v>
      </c>
      <c r="C42" s="407" t="s">
        <v>2</v>
      </c>
      <c r="D42" s="408" t="s">
        <v>386</v>
      </c>
    </row>
    <row r="43" spans="1:4" ht="31.5">
      <c r="A43" s="407" t="s">
        <v>457</v>
      </c>
      <c r="B43" s="408" t="s">
        <v>458</v>
      </c>
      <c r="C43" s="407" t="s">
        <v>2</v>
      </c>
      <c r="D43" s="408" t="s">
        <v>386</v>
      </c>
    </row>
    <row r="44" spans="1:4" ht="31.5">
      <c r="A44" s="407" t="s">
        <v>459</v>
      </c>
      <c r="B44" s="408" t="s">
        <v>460</v>
      </c>
      <c r="C44" s="407" t="s">
        <v>2</v>
      </c>
      <c r="D44" s="408" t="s">
        <v>386</v>
      </c>
    </row>
    <row r="45" spans="1:4">
      <c r="A45" s="407" t="s">
        <v>461</v>
      </c>
      <c r="B45" s="408" t="s">
        <v>404</v>
      </c>
      <c r="C45" s="407" t="s">
        <v>2</v>
      </c>
      <c r="D45" s="408" t="s">
        <v>386</v>
      </c>
    </row>
    <row r="46" spans="1:4" ht="31.5">
      <c r="A46" s="407" t="s">
        <v>462</v>
      </c>
      <c r="B46" s="408" t="s">
        <v>463</v>
      </c>
      <c r="C46" s="407" t="s">
        <v>2</v>
      </c>
      <c r="D46" s="408" t="s">
        <v>464</v>
      </c>
    </row>
    <row r="47" spans="1:4">
      <c r="A47" s="407" t="s">
        <v>465</v>
      </c>
      <c r="B47" s="408" t="s">
        <v>405</v>
      </c>
      <c r="C47" s="407" t="s">
        <v>2</v>
      </c>
      <c r="D47" s="408" t="s">
        <v>386</v>
      </c>
    </row>
    <row r="48" spans="1:4">
      <c r="A48" s="411">
        <v>39</v>
      </c>
      <c r="B48" s="412" t="s">
        <v>405</v>
      </c>
      <c r="C48" s="411" t="s">
        <v>2</v>
      </c>
      <c r="D48" s="413" t="s">
        <v>386</v>
      </c>
    </row>
  </sheetData>
  <mergeCells count="2">
    <mergeCell ref="A1:D1"/>
    <mergeCell ref="A26:D26"/>
  </mergeCells>
  <pageMargins left="1.0629921259842521" right="0.51181102362204722" top="0.70866141732283472" bottom="0.9055118110236221" header="0.51181102362204722" footer="0.51181102362204722"/>
  <pageSetup paperSize="9" scale="80" orientation="portrait" horizontalDpi="300" verticalDpi="300" r:id="rId1"/>
  <rowBreaks count="1" manualBreakCount="1">
    <brk id="25"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58ED5"/>
  </sheetPr>
  <dimension ref="A1:J65516"/>
  <sheetViews>
    <sheetView view="pageBreakPreview" zoomScaleNormal="100" workbookViewId="0">
      <selection activeCell="A2" sqref="A2:C2"/>
    </sheetView>
  </sheetViews>
  <sheetFormatPr defaultColWidth="8.85546875" defaultRowHeight="15.75"/>
  <cols>
    <col min="1" max="1" width="5.7109375" style="3" bestFit="1" customWidth="1"/>
    <col min="2" max="2" width="65.7109375" style="3" customWidth="1"/>
    <col min="3" max="3" width="13.42578125" style="4" bestFit="1" customWidth="1"/>
    <col min="4" max="4" width="15.28515625" style="4" customWidth="1"/>
    <col min="5" max="5" width="13" style="3" customWidth="1"/>
    <col min="6" max="6" width="17.85546875" style="3" customWidth="1"/>
    <col min="7" max="7" width="15" style="3" customWidth="1"/>
    <col min="8" max="257" width="8.85546875" style="3"/>
    <col min="258" max="258" width="11.5703125" style="3" customWidth="1"/>
    <col min="259" max="259" width="85.140625" style="3" customWidth="1"/>
    <col min="260" max="260" width="24.5703125" style="3" customWidth="1"/>
    <col min="261" max="261" width="15.140625" style="3" customWidth="1"/>
    <col min="262" max="262" width="17.85546875" style="3" customWidth="1"/>
    <col min="263" max="263" width="15" style="3" customWidth="1"/>
    <col min="264" max="513" width="8.85546875" style="3"/>
    <col min="514" max="514" width="11.5703125" style="3" customWidth="1"/>
    <col min="515" max="515" width="85.140625" style="3" customWidth="1"/>
    <col min="516" max="516" width="24.5703125" style="3" customWidth="1"/>
    <col min="517" max="517" width="15.140625" style="3" customWidth="1"/>
    <col min="518" max="518" width="17.85546875" style="3" customWidth="1"/>
    <col min="519" max="519" width="15" style="3" customWidth="1"/>
    <col min="520" max="769" width="8.85546875" style="3"/>
    <col min="770" max="770" width="11.5703125" style="3" customWidth="1"/>
    <col min="771" max="771" width="85.140625" style="3" customWidth="1"/>
    <col min="772" max="772" width="24.5703125" style="3" customWidth="1"/>
    <col min="773" max="773" width="15.140625" style="3" customWidth="1"/>
    <col min="774" max="774" width="17.85546875" style="3" customWidth="1"/>
    <col min="775" max="775" width="15" style="3" customWidth="1"/>
    <col min="776" max="1025" width="8.85546875" style="3"/>
    <col min="1026" max="1026" width="11.5703125" style="3" customWidth="1"/>
    <col min="1027" max="1027" width="85.140625" style="3" customWidth="1"/>
    <col min="1028" max="1028" width="24.5703125" style="3" customWidth="1"/>
    <col min="1029" max="1029" width="15.140625" style="3" customWidth="1"/>
    <col min="1030" max="1030" width="17.85546875" style="3" customWidth="1"/>
    <col min="1031" max="1031" width="15" style="3" customWidth="1"/>
    <col min="1032" max="1281" width="8.85546875" style="3"/>
    <col min="1282" max="1282" width="11.5703125" style="3" customWidth="1"/>
    <col min="1283" max="1283" width="85.140625" style="3" customWidth="1"/>
    <col min="1284" max="1284" width="24.5703125" style="3" customWidth="1"/>
    <col min="1285" max="1285" width="15.140625" style="3" customWidth="1"/>
    <col min="1286" max="1286" width="17.85546875" style="3" customWidth="1"/>
    <col min="1287" max="1287" width="15" style="3" customWidth="1"/>
    <col min="1288" max="1537" width="8.85546875" style="3"/>
    <col min="1538" max="1538" width="11.5703125" style="3" customWidth="1"/>
    <col min="1539" max="1539" width="85.140625" style="3" customWidth="1"/>
    <col min="1540" max="1540" width="24.5703125" style="3" customWidth="1"/>
    <col min="1541" max="1541" width="15.140625" style="3" customWidth="1"/>
    <col min="1542" max="1542" width="17.85546875" style="3" customWidth="1"/>
    <col min="1543" max="1543" width="15" style="3" customWidth="1"/>
    <col min="1544" max="1793" width="8.85546875" style="3"/>
    <col min="1794" max="1794" width="11.5703125" style="3" customWidth="1"/>
    <col min="1795" max="1795" width="85.140625" style="3" customWidth="1"/>
    <col min="1796" max="1796" width="24.5703125" style="3" customWidth="1"/>
    <col min="1797" max="1797" width="15.140625" style="3" customWidth="1"/>
    <col min="1798" max="1798" width="17.85546875" style="3" customWidth="1"/>
    <col min="1799" max="1799" width="15" style="3" customWidth="1"/>
    <col min="1800" max="2049" width="8.85546875" style="3"/>
    <col min="2050" max="2050" width="11.5703125" style="3" customWidth="1"/>
    <col min="2051" max="2051" width="85.140625" style="3" customWidth="1"/>
    <col min="2052" max="2052" width="24.5703125" style="3" customWidth="1"/>
    <col min="2053" max="2053" width="15.140625" style="3" customWidth="1"/>
    <col min="2054" max="2054" width="17.85546875" style="3" customWidth="1"/>
    <col min="2055" max="2055" width="15" style="3" customWidth="1"/>
    <col min="2056" max="2305" width="8.85546875" style="3"/>
    <col min="2306" max="2306" width="11.5703125" style="3" customWidth="1"/>
    <col min="2307" max="2307" width="85.140625" style="3" customWidth="1"/>
    <col min="2308" max="2308" width="24.5703125" style="3" customWidth="1"/>
    <col min="2309" max="2309" width="15.140625" style="3" customWidth="1"/>
    <col min="2310" max="2310" width="17.85546875" style="3" customWidth="1"/>
    <col min="2311" max="2311" width="15" style="3" customWidth="1"/>
    <col min="2312" max="2561" width="8.85546875" style="3"/>
    <col min="2562" max="2562" width="11.5703125" style="3" customWidth="1"/>
    <col min="2563" max="2563" width="85.140625" style="3" customWidth="1"/>
    <col min="2564" max="2564" width="24.5703125" style="3" customWidth="1"/>
    <col min="2565" max="2565" width="15.140625" style="3" customWidth="1"/>
    <col min="2566" max="2566" width="17.85546875" style="3" customWidth="1"/>
    <col min="2567" max="2567" width="15" style="3" customWidth="1"/>
    <col min="2568" max="2817" width="8.85546875" style="3"/>
    <col min="2818" max="2818" width="11.5703125" style="3" customWidth="1"/>
    <col min="2819" max="2819" width="85.140625" style="3" customWidth="1"/>
    <col min="2820" max="2820" width="24.5703125" style="3" customWidth="1"/>
    <col min="2821" max="2821" width="15.140625" style="3" customWidth="1"/>
    <col min="2822" max="2822" width="17.85546875" style="3" customWidth="1"/>
    <col min="2823" max="2823" width="15" style="3" customWidth="1"/>
    <col min="2824" max="3073" width="8.85546875" style="3"/>
    <col min="3074" max="3074" width="11.5703125" style="3" customWidth="1"/>
    <col min="3075" max="3075" width="85.140625" style="3" customWidth="1"/>
    <col min="3076" max="3076" width="24.5703125" style="3" customWidth="1"/>
    <col min="3077" max="3077" width="15.140625" style="3" customWidth="1"/>
    <col min="3078" max="3078" width="17.85546875" style="3" customWidth="1"/>
    <col min="3079" max="3079" width="15" style="3" customWidth="1"/>
    <col min="3080" max="3329" width="8.85546875" style="3"/>
    <col min="3330" max="3330" width="11.5703125" style="3" customWidth="1"/>
    <col min="3331" max="3331" width="85.140625" style="3" customWidth="1"/>
    <col min="3332" max="3332" width="24.5703125" style="3" customWidth="1"/>
    <col min="3333" max="3333" width="15.140625" style="3" customWidth="1"/>
    <col min="3334" max="3334" width="17.85546875" style="3" customWidth="1"/>
    <col min="3335" max="3335" width="15" style="3" customWidth="1"/>
    <col min="3336" max="3585" width="8.85546875" style="3"/>
    <col min="3586" max="3586" width="11.5703125" style="3" customWidth="1"/>
    <col min="3587" max="3587" width="85.140625" style="3" customWidth="1"/>
    <col min="3588" max="3588" width="24.5703125" style="3" customWidth="1"/>
    <col min="3589" max="3589" width="15.140625" style="3" customWidth="1"/>
    <col min="3590" max="3590" width="17.85546875" style="3" customWidth="1"/>
    <col min="3591" max="3591" width="15" style="3" customWidth="1"/>
    <col min="3592" max="3841" width="8.85546875" style="3"/>
    <col min="3842" max="3842" width="11.5703125" style="3" customWidth="1"/>
    <col min="3843" max="3843" width="85.140625" style="3" customWidth="1"/>
    <col min="3844" max="3844" width="24.5703125" style="3" customWidth="1"/>
    <col min="3845" max="3845" width="15.140625" style="3" customWidth="1"/>
    <col min="3846" max="3846" width="17.85546875" style="3" customWidth="1"/>
    <col min="3847" max="3847" width="15" style="3" customWidth="1"/>
    <col min="3848" max="4097" width="8.85546875" style="3"/>
    <col min="4098" max="4098" width="11.5703125" style="3" customWidth="1"/>
    <col min="4099" max="4099" width="85.140625" style="3" customWidth="1"/>
    <col min="4100" max="4100" width="24.5703125" style="3" customWidth="1"/>
    <col min="4101" max="4101" width="15.140625" style="3" customWidth="1"/>
    <col min="4102" max="4102" width="17.85546875" style="3" customWidth="1"/>
    <col min="4103" max="4103" width="15" style="3" customWidth="1"/>
    <col min="4104" max="4353" width="8.85546875" style="3"/>
    <col min="4354" max="4354" width="11.5703125" style="3" customWidth="1"/>
    <col min="4355" max="4355" width="85.140625" style="3" customWidth="1"/>
    <col min="4356" max="4356" width="24.5703125" style="3" customWidth="1"/>
    <col min="4357" max="4357" width="15.140625" style="3" customWidth="1"/>
    <col min="4358" max="4358" width="17.85546875" style="3" customWidth="1"/>
    <col min="4359" max="4359" width="15" style="3" customWidth="1"/>
    <col min="4360" max="4609" width="8.85546875" style="3"/>
    <col min="4610" max="4610" width="11.5703125" style="3" customWidth="1"/>
    <col min="4611" max="4611" width="85.140625" style="3" customWidth="1"/>
    <col min="4612" max="4612" width="24.5703125" style="3" customWidth="1"/>
    <col min="4613" max="4613" width="15.140625" style="3" customWidth="1"/>
    <col min="4614" max="4614" width="17.85546875" style="3" customWidth="1"/>
    <col min="4615" max="4615" width="15" style="3" customWidth="1"/>
    <col min="4616" max="4865" width="8.85546875" style="3"/>
    <col min="4866" max="4866" width="11.5703125" style="3" customWidth="1"/>
    <col min="4867" max="4867" width="85.140625" style="3" customWidth="1"/>
    <col min="4868" max="4868" width="24.5703125" style="3" customWidth="1"/>
    <col min="4869" max="4869" width="15.140625" style="3" customWidth="1"/>
    <col min="4870" max="4870" width="17.85546875" style="3" customWidth="1"/>
    <col min="4871" max="4871" width="15" style="3" customWidth="1"/>
    <col min="4872" max="5121" width="8.85546875" style="3"/>
    <col min="5122" max="5122" width="11.5703125" style="3" customWidth="1"/>
    <col min="5123" max="5123" width="85.140625" style="3" customWidth="1"/>
    <col min="5124" max="5124" width="24.5703125" style="3" customWidth="1"/>
    <col min="5125" max="5125" width="15.140625" style="3" customWidth="1"/>
    <col min="5126" max="5126" width="17.85546875" style="3" customWidth="1"/>
    <col min="5127" max="5127" width="15" style="3" customWidth="1"/>
    <col min="5128" max="5377" width="8.85546875" style="3"/>
    <col min="5378" max="5378" width="11.5703125" style="3" customWidth="1"/>
    <col min="5379" max="5379" width="85.140625" style="3" customWidth="1"/>
    <col min="5380" max="5380" width="24.5703125" style="3" customWidth="1"/>
    <col min="5381" max="5381" width="15.140625" style="3" customWidth="1"/>
    <col min="5382" max="5382" width="17.85546875" style="3" customWidth="1"/>
    <col min="5383" max="5383" width="15" style="3" customWidth="1"/>
    <col min="5384" max="5633" width="8.85546875" style="3"/>
    <col min="5634" max="5634" width="11.5703125" style="3" customWidth="1"/>
    <col min="5635" max="5635" width="85.140625" style="3" customWidth="1"/>
    <col min="5636" max="5636" width="24.5703125" style="3" customWidth="1"/>
    <col min="5637" max="5637" width="15.140625" style="3" customWidth="1"/>
    <col min="5638" max="5638" width="17.85546875" style="3" customWidth="1"/>
    <col min="5639" max="5639" width="15" style="3" customWidth="1"/>
    <col min="5640" max="5889" width="8.85546875" style="3"/>
    <col min="5890" max="5890" width="11.5703125" style="3" customWidth="1"/>
    <col min="5891" max="5891" width="85.140625" style="3" customWidth="1"/>
    <col min="5892" max="5892" width="24.5703125" style="3" customWidth="1"/>
    <col min="5893" max="5893" width="15.140625" style="3" customWidth="1"/>
    <col min="5894" max="5894" width="17.85546875" style="3" customWidth="1"/>
    <col min="5895" max="5895" width="15" style="3" customWidth="1"/>
    <col min="5896" max="6145" width="8.85546875" style="3"/>
    <col min="6146" max="6146" width="11.5703125" style="3" customWidth="1"/>
    <col min="6147" max="6147" width="85.140625" style="3" customWidth="1"/>
    <col min="6148" max="6148" width="24.5703125" style="3" customWidth="1"/>
    <col min="6149" max="6149" width="15.140625" style="3" customWidth="1"/>
    <col min="6150" max="6150" width="17.85546875" style="3" customWidth="1"/>
    <col min="6151" max="6151" width="15" style="3" customWidth="1"/>
    <col min="6152" max="6401" width="8.85546875" style="3"/>
    <col min="6402" max="6402" width="11.5703125" style="3" customWidth="1"/>
    <col min="6403" max="6403" width="85.140625" style="3" customWidth="1"/>
    <col min="6404" max="6404" width="24.5703125" style="3" customWidth="1"/>
    <col min="6405" max="6405" width="15.140625" style="3" customWidth="1"/>
    <col min="6406" max="6406" width="17.85546875" style="3" customWidth="1"/>
    <col min="6407" max="6407" width="15" style="3" customWidth="1"/>
    <col min="6408" max="6657" width="8.85546875" style="3"/>
    <col min="6658" max="6658" width="11.5703125" style="3" customWidth="1"/>
    <col min="6659" max="6659" width="85.140625" style="3" customWidth="1"/>
    <col min="6660" max="6660" width="24.5703125" style="3" customWidth="1"/>
    <col min="6661" max="6661" width="15.140625" style="3" customWidth="1"/>
    <col min="6662" max="6662" width="17.85546875" style="3" customWidth="1"/>
    <col min="6663" max="6663" width="15" style="3" customWidth="1"/>
    <col min="6664" max="6913" width="8.85546875" style="3"/>
    <col min="6914" max="6914" width="11.5703125" style="3" customWidth="1"/>
    <col min="6915" max="6915" width="85.140625" style="3" customWidth="1"/>
    <col min="6916" max="6916" width="24.5703125" style="3" customWidth="1"/>
    <col min="6917" max="6917" width="15.140625" style="3" customWidth="1"/>
    <col min="6918" max="6918" width="17.85546875" style="3" customWidth="1"/>
    <col min="6919" max="6919" width="15" style="3" customWidth="1"/>
    <col min="6920" max="7169" width="8.85546875" style="3"/>
    <col min="7170" max="7170" width="11.5703125" style="3" customWidth="1"/>
    <col min="7171" max="7171" width="85.140625" style="3" customWidth="1"/>
    <col min="7172" max="7172" width="24.5703125" style="3" customWidth="1"/>
    <col min="7173" max="7173" width="15.140625" style="3" customWidth="1"/>
    <col min="7174" max="7174" width="17.85546875" style="3" customWidth="1"/>
    <col min="7175" max="7175" width="15" style="3" customWidth="1"/>
    <col min="7176" max="7425" width="8.85546875" style="3"/>
    <col min="7426" max="7426" width="11.5703125" style="3" customWidth="1"/>
    <col min="7427" max="7427" width="85.140625" style="3" customWidth="1"/>
    <col min="7428" max="7428" width="24.5703125" style="3" customWidth="1"/>
    <col min="7429" max="7429" width="15.140625" style="3" customWidth="1"/>
    <col min="7430" max="7430" width="17.85546875" style="3" customWidth="1"/>
    <col min="7431" max="7431" width="15" style="3" customWidth="1"/>
    <col min="7432" max="7681" width="8.85546875" style="3"/>
    <col min="7682" max="7682" width="11.5703125" style="3" customWidth="1"/>
    <col min="7683" max="7683" width="85.140625" style="3" customWidth="1"/>
    <col min="7684" max="7684" width="24.5703125" style="3" customWidth="1"/>
    <col min="7685" max="7685" width="15.140625" style="3" customWidth="1"/>
    <col min="7686" max="7686" width="17.85546875" style="3" customWidth="1"/>
    <col min="7687" max="7687" width="15" style="3" customWidth="1"/>
    <col min="7688" max="7937" width="8.85546875" style="3"/>
    <col min="7938" max="7938" width="11.5703125" style="3" customWidth="1"/>
    <col min="7939" max="7939" width="85.140625" style="3" customWidth="1"/>
    <col min="7940" max="7940" width="24.5703125" style="3" customWidth="1"/>
    <col min="7941" max="7941" width="15.140625" style="3" customWidth="1"/>
    <col min="7942" max="7942" width="17.85546875" style="3" customWidth="1"/>
    <col min="7943" max="7943" width="15" style="3" customWidth="1"/>
    <col min="7944" max="8193" width="8.85546875" style="3"/>
    <col min="8194" max="8194" width="11.5703125" style="3" customWidth="1"/>
    <col min="8195" max="8195" width="85.140625" style="3" customWidth="1"/>
    <col min="8196" max="8196" width="24.5703125" style="3" customWidth="1"/>
    <col min="8197" max="8197" width="15.140625" style="3" customWidth="1"/>
    <col min="8198" max="8198" width="17.85546875" style="3" customWidth="1"/>
    <col min="8199" max="8199" width="15" style="3" customWidth="1"/>
    <col min="8200" max="8449" width="8.85546875" style="3"/>
    <col min="8450" max="8450" width="11.5703125" style="3" customWidth="1"/>
    <col min="8451" max="8451" width="85.140625" style="3" customWidth="1"/>
    <col min="8452" max="8452" width="24.5703125" style="3" customWidth="1"/>
    <col min="8453" max="8453" width="15.140625" style="3" customWidth="1"/>
    <col min="8454" max="8454" width="17.85546875" style="3" customWidth="1"/>
    <col min="8455" max="8455" width="15" style="3" customWidth="1"/>
    <col min="8456" max="8705" width="8.85546875" style="3"/>
    <col min="8706" max="8706" width="11.5703125" style="3" customWidth="1"/>
    <col min="8707" max="8707" width="85.140625" style="3" customWidth="1"/>
    <col min="8708" max="8708" width="24.5703125" style="3" customWidth="1"/>
    <col min="8709" max="8709" width="15.140625" style="3" customWidth="1"/>
    <col min="8710" max="8710" width="17.85546875" style="3" customWidth="1"/>
    <col min="8711" max="8711" width="15" style="3" customWidth="1"/>
    <col min="8712" max="8961" width="8.85546875" style="3"/>
    <col min="8962" max="8962" width="11.5703125" style="3" customWidth="1"/>
    <col min="8963" max="8963" width="85.140625" style="3" customWidth="1"/>
    <col min="8964" max="8964" width="24.5703125" style="3" customWidth="1"/>
    <col min="8965" max="8965" width="15.140625" style="3" customWidth="1"/>
    <col min="8966" max="8966" width="17.85546875" style="3" customWidth="1"/>
    <col min="8967" max="8967" width="15" style="3" customWidth="1"/>
    <col min="8968" max="9217" width="8.85546875" style="3"/>
    <col min="9218" max="9218" width="11.5703125" style="3" customWidth="1"/>
    <col min="9219" max="9219" width="85.140625" style="3" customWidth="1"/>
    <col min="9220" max="9220" width="24.5703125" style="3" customWidth="1"/>
    <col min="9221" max="9221" width="15.140625" style="3" customWidth="1"/>
    <col min="9222" max="9222" width="17.85546875" style="3" customWidth="1"/>
    <col min="9223" max="9223" width="15" style="3" customWidth="1"/>
    <col min="9224" max="9473" width="8.85546875" style="3"/>
    <col min="9474" max="9474" width="11.5703125" style="3" customWidth="1"/>
    <col min="9475" max="9475" width="85.140625" style="3" customWidth="1"/>
    <col min="9476" max="9476" width="24.5703125" style="3" customWidth="1"/>
    <col min="9477" max="9477" width="15.140625" style="3" customWidth="1"/>
    <col min="9478" max="9478" width="17.85546875" style="3" customWidth="1"/>
    <col min="9479" max="9479" width="15" style="3" customWidth="1"/>
    <col min="9480" max="9729" width="8.85546875" style="3"/>
    <col min="9730" max="9730" width="11.5703125" style="3" customWidth="1"/>
    <col min="9731" max="9731" width="85.140625" style="3" customWidth="1"/>
    <col min="9732" max="9732" width="24.5703125" style="3" customWidth="1"/>
    <col min="9733" max="9733" width="15.140625" style="3" customWidth="1"/>
    <col min="9734" max="9734" width="17.85546875" style="3" customWidth="1"/>
    <col min="9735" max="9735" width="15" style="3" customWidth="1"/>
    <col min="9736" max="9985" width="8.85546875" style="3"/>
    <col min="9986" max="9986" width="11.5703125" style="3" customWidth="1"/>
    <col min="9987" max="9987" width="85.140625" style="3" customWidth="1"/>
    <col min="9988" max="9988" width="24.5703125" style="3" customWidth="1"/>
    <col min="9989" max="9989" width="15.140625" style="3" customWidth="1"/>
    <col min="9990" max="9990" width="17.85546875" style="3" customWidth="1"/>
    <col min="9991" max="9991" width="15" style="3" customWidth="1"/>
    <col min="9992" max="10241" width="8.85546875" style="3"/>
    <col min="10242" max="10242" width="11.5703125" style="3" customWidth="1"/>
    <col min="10243" max="10243" width="85.140625" style="3" customWidth="1"/>
    <col min="10244" max="10244" width="24.5703125" style="3" customWidth="1"/>
    <col min="10245" max="10245" width="15.140625" style="3" customWidth="1"/>
    <col min="10246" max="10246" width="17.85546875" style="3" customWidth="1"/>
    <col min="10247" max="10247" width="15" style="3" customWidth="1"/>
    <col min="10248" max="10497" width="8.85546875" style="3"/>
    <col min="10498" max="10498" width="11.5703125" style="3" customWidth="1"/>
    <col min="10499" max="10499" width="85.140625" style="3" customWidth="1"/>
    <col min="10500" max="10500" width="24.5703125" style="3" customWidth="1"/>
    <col min="10501" max="10501" width="15.140625" style="3" customWidth="1"/>
    <col min="10502" max="10502" width="17.85546875" style="3" customWidth="1"/>
    <col min="10503" max="10503" width="15" style="3" customWidth="1"/>
    <col min="10504" max="10753" width="8.85546875" style="3"/>
    <col min="10754" max="10754" width="11.5703125" style="3" customWidth="1"/>
    <col min="10755" max="10755" width="85.140625" style="3" customWidth="1"/>
    <col min="10756" max="10756" width="24.5703125" style="3" customWidth="1"/>
    <col min="10757" max="10757" width="15.140625" style="3" customWidth="1"/>
    <col min="10758" max="10758" width="17.85546875" style="3" customWidth="1"/>
    <col min="10759" max="10759" width="15" style="3" customWidth="1"/>
    <col min="10760" max="11009" width="8.85546875" style="3"/>
    <col min="11010" max="11010" width="11.5703125" style="3" customWidth="1"/>
    <col min="11011" max="11011" width="85.140625" style="3" customWidth="1"/>
    <col min="11012" max="11012" width="24.5703125" style="3" customWidth="1"/>
    <col min="11013" max="11013" width="15.140625" style="3" customWidth="1"/>
    <col min="11014" max="11014" width="17.85546875" style="3" customWidth="1"/>
    <col min="11015" max="11015" width="15" style="3" customWidth="1"/>
    <col min="11016" max="11265" width="8.85546875" style="3"/>
    <col min="11266" max="11266" width="11.5703125" style="3" customWidth="1"/>
    <col min="11267" max="11267" width="85.140625" style="3" customWidth="1"/>
    <col min="11268" max="11268" width="24.5703125" style="3" customWidth="1"/>
    <col min="11269" max="11269" width="15.140625" style="3" customWidth="1"/>
    <col min="11270" max="11270" width="17.85546875" style="3" customWidth="1"/>
    <col min="11271" max="11271" width="15" style="3" customWidth="1"/>
    <col min="11272" max="11521" width="8.85546875" style="3"/>
    <col min="11522" max="11522" width="11.5703125" style="3" customWidth="1"/>
    <col min="11523" max="11523" width="85.140625" style="3" customWidth="1"/>
    <col min="11524" max="11524" width="24.5703125" style="3" customWidth="1"/>
    <col min="11525" max="11525" width="15.140625" style="3" customWidth="1"/>
    <col min="11526" max="11526" width="17.85546875" style="3" customWidth="1"/>
    <col min="11527" max="11527" width="15" style="3" customWidth="1"/>
    <col min="11528" max="11777" width="8.85546875" style="3"/>
    <col min="11778" max="11778" width="11.5703125" style="3" customWidth="1"/>
    <col min="11779" max="11779" width="85.140625" style="3" customWidth="1"/>
    <col min="11780" max="11780" width="24.5703125" style="3" customWidth="1"/>
    <col min="11781" max="11781" width="15.140625" style="3" customWidth="1"/>
    <col min="11782" max="11782" width="17.85546875" style="3" customWidth="1"/>
    <col min="11783" max="11783" width="15" style="3" customWidth="1"/>
    <col min="11784" max="12033" width="8.85546875" style="3"/>
    <col min="12034" max="12034" width="11.5703125" style="3" customWidth="1"/>
    <col min="12035" max="12035" width="85.140625" style="3" customWidth="1"/>
    <col min="12036" max="12036" width="24.5703125" style="3" customWidth="1"/>
    <col min="12037" max="12037" width="15.140625" style="3" customWidth="1"/>
    <col min="12038" max="12038" width="17.85546875" style="3" customWidth="1"/>
    <col min="12039" max="12039" width="15" style="3" customWidth="1"/>
    <col min="12040" max="12289" width="8.85546875" style="3"/>
    <col min="12290" max="12290" width="11.5703125" style="3" customWidth="1"/>
    <col min="12291" max="12291" width="85.140625" style="3" customWidth="1"/>
    <col min="12292" max="12292" width="24.5703125" style="3" customWidth="1"/>
    <col min="12293" max="12293" width="15.140625" style="3" customWidth="1"/>
    <col min="12294" max="12294" width="17.85546875" style="3" customWidth="1"/>
    <col min="12295" max="12295" width="15" style="3" customWidth="1"/>
    <col min="12296" max="12545" width="8.85546875" style="3"/>
    <col min="12546" max="12546" width="11.5703125" style="3" customWidth="1"/>
    <col min="12547" max="12547" width="85.140625" style="3" customWidth="1"/>
    <col min="12548" max="12548" width="24.5703125" style="3" customWidth="1"/>
    <col min="12549" max="12549" width="15.140625" style="3" customWidth="1"/>
    <col min="12550" max="12550" width="17.85546875" style="3" customWidth="1"/>
    <col min="12551" max="12551" width="15" style="3" customWidth="1"/>
    <col min="12552" max="12801" width="8.85546875" style="3"/>
    <col min="12802" max="12802" width="11.5703125" style="3" customWidth="1"/>
    <col min="12803" max="12803" width="85.140625" style="3" customWidth="1"/>
    <col min="12804" max="12804" width="24.5703125" style="3" customWidth="1"/>
    <col min="12805" max="12805" width="15.140625" style="3" customWidth="1"/>
    <col min="12806" max="12806" width="17.85546875" style="3" customWidth="1"/>
    <col min="12807" max="12807" width="15" style="3" customWidth="1"/>
    <col min="12808" max="13057" width="8.85546875" style="3"/>
    <col min="13058" max="13058" width="11.5703125" style="3" customWidth="1"/>
    <col min="13059" max="13059" width="85.140625" style="3" customWidth="1"/>
    <col min="13060" max="13060" width="24.5703125" style="3" customWidth="1"/>
    <col min="13061" max="13061" width="15.140625" style="3" customWidth="1"/>
    <col min="13062" max="13062" width="17.85546875" style="3" customWidth="1"/>
    <col min="13063" max="13063" width="15" style="3" customWidth="1"/>
    <col min="13064" max="13313" width="8.85546875" style="3"/>
    <col min="13314" max="13314" width="11.5703125" style="3" customWidth="1"/>
    <col min="13315" max="13315" width="85.140625" style="3" customWidth="1"/>
    <col min="13316" max="13316" width="24.5703125" style="3" customWidth="1"/>
    <col min="13317" max="13317" width="15.140625" style="3" customWidth="1"/>
    <col min="13318" max="13318" width="17.85546875" style="3" customWidth="1"/>
    <col min="13319" max="13319" width="15" style="3" customWidth="1"/>
    <col min="13320" max="13569" width="8.85546875" style="3"/>
    <col min="13570" max="13570" width="11.5703125" style="3" customWidth="1"/>
    <col min="13571" max="13571" width="85.140625" style="3" customWidth="1"/>
    <col min="13572" max="13572" width="24.5703125" style="3" customWidth="1"/>
    <col min="13573" max="13573" width="15.140625" style="3" customWidth="1"/>
    <col min="13574" max="13574" width="17.85546875" style="3" customWidth="1"/>
    <col min="13575" max="13575" width="15" style="3" customWidth="1"/>
    <col min="13576" max="13825" width="8.85546875" style="3"/>
    <col min="13826" max="13826" width="11.5703125" style="3" customWidth="1"/>
    <col min="13827" max="13827" width="85.140625" style="3" customWidth="1"/>
    <col min="13828" max="13828" width="24.5703125" style="3" customWidth="1"/>
    <col min="13829" max="13829" width="15.140625" style="3" customWidth="1"/>
    <col min="13830" max="13830" width="17.85546875" style="3" customWidth="1"/>
    <col min="13831" max="13831" width="15" style="3" customWidth="1"/>
    <col min="13832" max="14081" width="8.85546875" style="3"/>
    <col min="14082" max="14082" width="11.5703125" style="3" customWidth="1"/>
    <col min="14083" max="14083" width="85.140625" style="3" customWidth="1"/>
    <col min="14084" max="14084" width="24.5703125" style="3" customWidth="1"/>
    <col min="14085" max="14085" width="15.140625" style="3" customWidth="1"/>
    <col min="14086" max="14086" width="17.85546875" style="3" customWidth="1"/>
    <col min="14087" max="14087" width="15" style="3" customWidth="1"/>
    <col min="14088" max="14337" width="8.85546875" style="3"/>
    <col min="14338" max="14338" width="11.5703125" style="3" customWidth="1"/>
    <col min="14339" max="14339" width="85.140625" style="3" customWidth="1"/>
    <col min="14340" max="14340" width="24.5703125" style="3" customWidth="1"/>
    <col min="14341" max="14341" width="15.140625" style="3" customWidth="1"/>
    <col min="14342" max="14342" width="17.85546875" style="3" customWidth="1"/>
    <col min="14343" max="14343" width="15" style="3" customWidth="1"/>
    <col min="14344" max="14593" width="8.85546875" style="3"/>
    <col min="14594" max="14594" width="11.5703125" style="3" customWidth="1"/>
    <col min="14595" max="14595" width="85.140625" style="3" customWidth="1"/>
    <col min="14596" max="14596" width="24.5703125" style="3" customWidth="1"/>
    <col min="14597" max="14597" width="15.140625" style="3" customWidth="1"/>
    <col min="14598" max="14598" width="17.85546875" style="3" customWidth="1"/>
    <col min="14599" max="14599" width="15" style="3" customWidth="1"/>
    <col min="14600" max="14849" width="8.85546875" style="3"/>
    <col min="14850" max="14850" width="11.5703125" style="3" customWidth="1"/>
    <col min="14851" max="14851" width="85.140625" style="3" customWidth="1"/>
    <col min="14852" max="14852" width="24.5703125" style="3" customWidth="1"/>
    <col min="14853" max="14853" width="15.140625" style="3" customWidth="1"/>
    <col min="14854" max="14854" width="17.85546875" style="3" customWidth="1"/>
    <col min="14855" max="14855" width="15" style="3" customWidth="1"/>
    <col min="14856" max="15105" width="8.85546875" style="3"/>
    <col min="15106" max="15106" width="11.5703125" style="3" customWidth="1"/>
    <col min="15107" max="15107" width="85.140625" style="3" customWidth="1"/>
    <col min="15108" max="15108" width="24.5703125" style="3" customWidth="1"/>
    <col min="15109" max="15109" width="15.140625" style="3" customWidth="1"/>
    <col min="15110" max="15110" width="17.85546875" style="3" customWidth="1"/>
    <col min="15111" max="15111" width="15" style="3" customWidth="1"/>
    <col min="15112" max="15361" width="8.85546875" style="3"/>
    <col min="15362" max="15362" width="11.5703125" style="3" customWidth="1"/>
    <col min="15363" max="15363" width="85.140625" style="3" customWidth="1"/>
    <col min="15364" max="15364" width="24.5703125" style="3" customWidth="1"/>
    <col min="15365" max="15365" width="15.140625" style="3" customWidth="1"/>
    <col min="15366" max="15366" width="17.85546875" style="3" customWidth="1"/>
    <col min="15367" max="15367" width="15" style="3" customWidth="1"/>
    <col min="15368" max="15617" width="8.85546875" style="3"/>
    <col min="15618" max="15618" width="11.5703125" style="3" customWidth="1"/>
    <col min="15619" max="15619" width="85.140625" style="3" customWidth="1"/>
    <col min="15620" max="15620" width="24.5703125" style="3" customWidth="1"/>
    <col min="15621" max="15621" width="15.140625" style="3" customWidth="1"/>
    <col min="15622" max="15622" width="17.85546875" style="3" customWidth="1"/>
    <col min="15623" max="15623" width="15" style="3" customWidth="1"/>
    <col min="15624" max="15873" width="8.85546875" style="3"/>
    <col min="15874" max="15874" width="11.5703125" style="3" customWidth="1"/>
    <col min="15875" max="15875" width="85.140625" style="3" customWidth="1"/>
    <col min="15876" max="15876" width="24.5703125" style="3" customWidth="1"/>
    <col min="15877" max="15877" width="15.140625" style="3" customWidth="1"/>
    <col min="15878" max="15878" width="17.85546875" style="3" customWidth="1"/>
    <col min="15879" max="15879" width="15" style="3" customWidth="1"/>
    <col min="15880" max="16129" width="8.85546875" style="3"/>
    <col min="16130" max="16130" width="11.5703125" style="3" customWidth="1"/>
    <col min="16131" max="16131" width="85.140625" style="3" customWidth="1"/>
    <col min="16132" max="16132" width="24.5703125" style="3" customWidth="1"/>
    <col min="16133" max="16133" width="15.140625" style="3" customWidth="1"/>
    <col min="16134" max="16134" width="17.85546875" style="3" customWidth="1"/>
    <col min="16135" max="16135" width="15" style="3" customWidth="1"/>
    <col min="16136" max="16384" width="8.85546875" style="3"/>
  </cols>
  <sheetData>
    <row r="1" spans="1:10" ht="31.5">
      <c r="A1" s="543" t="s">
        <v>6</v>
      </c>
      <c r="B1" s="543"/>
      <c r="C1" s="543"/>
      <c r="D1" s="5"/>
    </row>
    <row r="2" spans="1:10" s="9" customFormat="1" ht="72.75" customHeight="1">
      <c r="A2" s="544" t="str">
        <f>Abstract!A3</f>
        <v>Name of work:- Construction of S.L.R.B. across Mulakala kalva Major near L-8 Minor off-take at KM 5.506 (Reach-IV) in Yadgarpalli village of Miryalaguda Mandal, Nalgonda District.</v>
      </c>
      <c r="B2" s="544"/>
      <c r="C2" s="544"/>
      <c r="D2" s="6"/>
      <c r="E2" s="7"/>
      <c r="F2" s="7"/>
      <c r="G2" s="7"/>
      <c r="H2" s="7"/>
      <c r="I2" s="8"/>
      <c r="J2" s="8"/>
    </row>
    <row r="3" spans="1:10">
      <c r="A3" s="290" t="s">
        <v>217</v>
      </c>
      <c r="B3" s="290" t="s">
        <v>7</v>
      </c>
      <c r="C3" s="290" t="s">
        <v>490</v>
      </c>
      <c r="D3" s="10"/>
      <c r="F3" s="11"/>
    </row>
    <row r="4" spans="1:10">
      <c r="A4" s="291"/>
      <c r="B4" s="296" t="s">
        <v>488</v>
      </c>
      <c r="C4" s="291"/>
      <c r="D4" s="10"/>
      <c r="F4" s="11"/>
    </row>
    <row r="5" spans="1:10" s="13" customFormat="1" ht="18.75">
      <c r="A5" s="290">
        <v>1</v>
      </c>
      <c r="B5" s="292" t="s">
        <v>8</v>
      </c>
      <c r="C5" s="293">
        <f>Abstract!G15</f>
        <v>3076801</v>
      </c>
      <c r="D5" s="12"/>
    </row>
    <row r="6" spans="1:10" ht="18.75">
      <c r="A6" s="290"/>
      <c r="B6" s="294" t="s">
        <v>9</v>
      </c>
      <c r="C6" s="295">
        <f>SUM(C5:C5)</f>
        <v>3076801</v>
      </c>
      <c r="D6" s="14"/>
      <c r="E6" s="13"/>
      <c r="F6" s="11"/>
      <c r="G6" s="15"/>
    </row>
    <row r="7" spans="1:10" ht="18.75">
      <c r="A7" s="290"/>
      <c r="B7" s="296" t="s">
        <v>10</v>
      </c>
      <c r="C7" s="295"/>
      <c r="D7" s="14"/>
      <c r="E7" s="13"/>
      <c r="F7" s="11"/>
      <c r="G7" s="15"/>
    </row>
    <row r="8" spans="1:10" ht="18.75">
      <c r="A8" s="290">
        <v>2</v>
      </c>
      <c r="B8" s="298" t="s">
        <v>357</v>
      </c>
      <c r="C8" s="401">
        <f>C6*1%</f>
        <v>30768.010000000002</v>
      </c>
      <c r="D8" s="16"/>
      <c r="E8" s="11"/>
      <c r="F8" s="17"/>
    </row>
    <row r="9" spans="1:10" ht="18.75">
      <c r="A9" s="290">
        <v>3</v>
      </c>
      <c r="B9" s="298" t="s">
        <v>358</v>
      </c>
      <c r="C9" s="401">
        <f>+ROUND(C6*0.1%,0)</f>
        <v>3077</v>
      </c>
      <c r="D9" s="16"/>
      <c r="F9" s="17"/>
    </row>
    <row r="10" spans="1:10" ht="18.75">
      <c r="A10" s="290">
        <v>4</v>
      </c>
      <c r="B10" s="298" t="s">
        <v>359</v>
      </c>
      <c r="C10" s="297">
        <f>seignorage!H19</f>
        <v>39474</v>
      </c>
      <c r="D10" s="16"/>
      <c r="F10" s="17"/>
    </row>
    <row r="11" spans="1:10" s="20" customFormat="1">
      <c r="A11" s="290">
        <v>5</v>
      </c>
      <c r="B11" s="298" t="s">
        <v>360</v>
      </c>
      <c r="C11" s="96">
        <f>ROUND(2%*C10,0)</f>
        <v>789</v>
      </c>
      <c r="D11" s="18"/>
      <c r="E11" s="19"/>
    </row>
    <row r="12" spans="1:10" s="20" customFormat="1">
      <c r="A12" s="290">
        <v>6</v>
      </c>
      <c r="B12" s="298" t="s">
        <v>361</v>
      </c>
      <c r="C12" s="402">
        <f>seignorage!H20</f>
        <v>11842</v>
      </c>
      <c r="D12" s="18"/>
      <c r="E12" s="19"/>
    </row>
    <row r="13" spans="1:10" s="20" customFormat="1">
      <c r="A13" s="403">
        <v>7</v>
      </c>
      <c r="B13" s="298" t="s">
        <v>362</v>
      </c>
      <c r="C13" s="402">
        <f>seignorage!H24</f>
        <v>29633.600000000002</v>
      </c>
      <c r="D13" s="18"/>
      <c r="E13" s="19"/>
    </row>
    <row r="14" spans="1:10" s="20" customFormat="1">
      <c r="A14" s="404"/>
      <c r="B14" s="299" t="s">
        <v>11</v>
      </c>
      <c r="C14" s="402">
        <f>SUM(C8:E13)</f>
        <v>115583.61000000002</v>
      </c>
      <c r="E14" s="19"/>
    </row>
    <row r="15" spans="1:10" ht="21">
      <c r="A15" s="290">
        <v>7</v>
      </c>
      <c r="B15" s="400" t="s">
        <v>489</v>
      </c>
      <c r="C15" s="401">
        <f>(C6+C14)*18%</f>
        <v>574629.22979999997</v>
      </c>
      <c r="D15" s="16"/>
      <c r="E15" s="21"/>
      <c r="F15" s="17"/>
    </row>
    <row r="16" spans="1:10" ht="18.75">
      <c r="A16" s="290">
        <v>8</v>
      </c>
      <c r="B16" s="270" t="s">
        <v>12</v>
      </c>
      <c r="C16" s="401">
        <f>ROUNDUP((C6+C14+C15)/1000,0)*1000-(C6+C14+C15)+2000</f>
        <v>2986.1602000002749</v>
      </c>
      <c r="D16" s="16"/>
      <c r="E16" s="22"/>
      <c r="F16" s="17"/>
    </row>
    <row r="17" spans="1:8" s="26" customFormat="1" ht="21">
      <c r="A17" s="294"/>
      <c r="B17" s="405" t="s">
        <v>13</v>
      </c>
      <c r="C17" s="295">
        <f>C16+C15+C14+C6</f>
        <v>3770000</v>
      </c>
      <c r="D17" s="23"/>
      <c r="E17" s="24"/>
      <c r="F17" s="25"/>
      <c r="H17" s="27"/>
    </row>
    <row r="18" spans="1:8" s="13" customFormat="1" ht="23.25">
      <c r="A18" s="352"/>
      <c r="B18" s="406" t="s">
        <v>371</v>
      </c>
      <c r="C18" s="421">
        <f>C17/100000</f>
        <v>37.700000000000003</v>
      </c>
      <c r="D18" s="28"/>
      <c r="E18" s="29"/>
      <c r="F18" s="30"/>
    </row>
    <row r="19" spans="1:8" s="34" customFormat="1" ht="24" customHeight="1">
      <c r="A19" s="414"/>
      <c r="B19" s="415"/>
      <c r="C19" s="416"/>
      <c r="D19" s="31"/>
      <c r="E19" s="32"/>
      <c r="F19" s="33"/>
    </row>
    <row r="20" spans="1:8">
      <c r="A20" s="545"/>
      <c r="B20" s="545"/>
      <c r="C20" s="545"/>
      <c r="D20" s="35"/>
      <c r="E20" s="36"/>
      <c r="F20" s="37"/>
    </row>
    <row r="21" spans="1:8">
      <c r="A21" s="417"/>
      <c r="B21" s="417"/>
      <c r="C21" s="418"/>
    </row>
    <row r="22" spans="1:8">
      <c r="A22" s="417"/>
      <c r="B22" s="419"/>
      <c r="C22" s="418"/>
    </row>
    <row r="23" spans="1:8">
      <c r="A23" s="417"/>
      <c r="B23" s="417"/>
      <c r="C23" s="420"/>
    </row>
    <row r="24" spans="1:8">
      <c r="A24" s="38"/>
      <c r="B24" s="39"/>
      <c r="C24" s="40"/>
    </row>
    <row r="65516" spans="3:4">
      <c r="C65516" s="41">
        <v>46356</v>
      </c>
      <c r="D65516" s="41"/>
    </row>
  </sheetData>
  <mergeCells count="3">
    <mergeCell ref="A1:C1"/>
    <mergeCell ref="A2:C2"/>
    <mergeCell ref="A20:C20"/>
  </mergeCells>
  <pageMargins left="1.0629921259842521" right="0.31496062992125984" top="0.62992125984251968" bottom="0.74803149606299213" header="0.51181102362204722" footer="0.31496062992125984"/>
  <pageSetup paperSize="9" orientation="portrait" horizontalDpi="300" verticalDpi="300" r:id="rId1"/>
  <headerFooter>
    <oddFooter>&amp;L&amp;A&amp;C&amp;8 &amp;Z&amp;F&amp;R&amp;P</oddFooter>
  </headerFooter>
  <colBreaks count="1" manualBreakCount="1">
    <brk id="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9"/>
  <sheetViews>
    <sheetView view="pageBreakPreview" zoomScaleNormal="100" workbookViewId="0">
      <selection activeCell="A3" sqref="A3:G3"/>
    </sheetView>
  </sheetViews>
  <sheetFormatPr defaultColWidth="9.140625" defaultRowHeight="15.75"/>
  <cols>
    <col min="1" max="1" width="6.85546875" style="42" customWidth="1"/>
    <col min="2" max="2" width="10" style="46" customWidth="1"/>
    <col min="3" max="3" width="42.28515625" style="42" customWidth="1"/>
    <col min="4" max="4" width="8.42578125" style="42" bestFit="1" customWidth="1"/>
    <col min="5" max="5" width="9.5703125" style="43" bestFit="1" customWidth="1"/>
    <col min="6" max="6" width="5.5703125" style="42" bestFit="1" customWidth="1"/>
    <col min="7" max="7" width="13.42578125" style="43" bestFit="1" customWidth="1"/>
    <col min="8" max="8" width="11.85546875" style="43" customWidth="1"/>
    <col min="9" max="9" width="1" style="43" customWidth="1"/>
    <col min="10" max="10" width="11.85546875" style="43" customWidth="1"/>
    <col min="11" max="12" width="10.5703125" customWidth="1"/>
    <col min="20" max="16384" width="9.140625" style="42"/>
  </cols>
  <sheetData>
    <row r="1" spans="1:19" ht="21" customHeight="1">
      <c r="A1" s="546" t="s">
        <v>14</v>
      </c>
      <c r="B1" s="546"/>
      <c r="C1" s="546"/>
      <c r="D1" s="546"/>
      <c r="E1" s="546"/>
      <c r="F1" s="546"/>
      <c r="G1" s="546"/>
      <c r="H1" s="44"/>
      <c r="I1" s="44"/>
      <c r="J1" s="44"/>
    </row>
    <row r="2" spans="1:19" ht="21" customHeight="1">
      <c r="A2" s="430"/>
      <c r="B2" s="430"/>
      <c r="C2" s="430"/>
      <c r="D2" s="430"/>
      <c r="E2" s="430"/>
      <c r="F2" s="430"/>
      <c r="G2" s="430"/>
      <c r="H2" s="44"/>
      <c r="I2" s="44"/>
      <c r="J2" s="44"/>
    </row>
    <row r="3" spans="1:19" ht="62.25" customHeight="1">
      <c r="A3" s="547" t="str">
        <f>'detailed '!A3:I3</f>
        <v>Name of work:- Construction of S.L.R.B. across Mulakala kalva Major near L-8 Minor off-take at KM 5.506 (Reach-IV) in Yadgarpalli village of Miryalaguda Mandal, Nalgonda District.</v>
      </c>
      <c r="B3" s="547"/>
      <c r="C3" s="547"/>
      <c r="D3" s="547"/>
      <c r="E3" s="547"/>
      <c r="F3" s="547"/>
      <c r="G3" s="547"/>
      <c r="H3" s="45"/>
      <c r="I3" s="45"/>
      <c r="J3" s="45"/>
    </row>
    <row r="4" spans="1:19" ht="18.75">
      <c r="A4" s="431"/>
      <c r="B4" s="431"/>
      <c r="C4" s="431"/>
      <c r="D4" s="431"/>
      <c r="E4" s="431"/>
      <c r="F4" s="431"/>
      <c r="G4" s="431"/>
      <c r="H4" s="45"/>
      <c r="I4" s="45"/>
      <c r="J4" s="45"/>
    </row>
    <row r="5" spans="1:19" s="425" customFormat="1" ht="35.25" customHeight="1">
      <c r="A5" s="273" t="s">
        <v>15</v>
      </c>
      <c r="B5" s="273" t="s">
        <v>327</v>
      </c>
      <c r="C5" s="273" t="s">
        <v>16</v>
      </c>
      <c r="D5" s="273" t="s">
        <v>17</v>
      </c>
      <c r="E5" s="273" t="s">
        <v>18</v>
      </c>
      <c r="F5" s="273" t="s">
        <v>73</v>
      </c>
      <c r="G5" s="273" t="s">
        <v>490</v>
      </c>
      <c r="H5" s="429"/>
      <c r="I5" s="429"/>
      <c r="J5" s="429"/>
      <c r="K5" s="386"/>
      <c r="L5" s="386"/>
      <c r="M5" s="386"/>
      <c r="N5" s="386"/>
      <c r="O5" s="386"/>
      <c r="P5" s="386"/>
      <c r="Q5" s="386"/>
      <c r="R5" s="386"/>
      <c r="S5" s="386"/>
    </row>
    <row r="6" spans="1:19" ht="15" customHeight="1">
      <c r="A6" s="96">
        <v>1</v>
      </c>
      <c r="B6" s="96">
        <v>2</v>
      </c>
      <c r="C6" s="96">
        <v>3</v>
      </c>
      <c r="D6" s="96">
        <v>4</v>
      </c>
      <c r="E6" s="96">
        <v>5</v>
      </c>
      <c r="F6" s="96">
        <v>6</v>
      </c>
      <c r="G6" s="96">
        <v>7</v>
      </c>
      <c r="H6" s="46"/>
      <c r="I6" s="46"/>
      <c r="J6" s="46"/>
    </row>
    <row r="7" spans="1:19" ht="78.75">
      <c r="A7" s="96">
        <v>1</v>
      </c>
      <c r="B7" s="96" t="s">
        <v>20</v>
      </c>
      <c r="C7" s="97" t="s">
        <v>21</v>
      </c>
      <c r="D7" s="272">
        <f>'detailed '!I14</f>
        <v>512.99699999999996</v>
      </c>
      <c r="E7" s="264">
        <f>'DATA-26-27'!H40</f>
        <v>136.9</v>
      </c>
      <c r="F7" s="96" t="s">
        <v>22</v>
      </c>
      <c r="G7" s="264">
        <f t="shared" ref="G7:G14" si="0">ROUND(D7*E7,0)</f>
        <v>70229</v>
      </c>
      <c r="H7" s="47"/>
      <c r="I7" s="46"/>
      <c r="J7" s="46"/>
    </row>
    <row r="8" spans="1:19" ht="78.75">
      <c r="A8" s="265">
        <v>2</v>
      </c>
      <c r="B8" s="265" t="s">
        <v>23</v>
      </c>
      <c r="C8" s="266" t="s">
        <v>24</v>
      </c>
      <c r="D8" s="267">
        <f>'detailed '!I22</f>
        <v>66.474999999999994</v>
      </c>
      <c r="E8" s="267">
        <f>'DATA-26-27'!H110</f>
        <v>6698</v>
      </c>
      <c r="F8" s="96" t="s">
        <v>22</v>
      </c>
      <c r="G8" s="264">
        <f t="shared" si="0"/>
        <v>445250</v>
      </c>
      <c r="H8" s="48"/>
      <c r="I8" s="48"/>
      <c r="J8" s="48"/>
    </row>
    <row r="9" spans="1:19" ht="78.75">
      <c r="A9" s="96">
        <v>3</v>
      </c>
      <c r="B9" s="96" t="s">
        <v>25</v>
      </c>
      <c r="C9" s="268" t="s">
        <v>26</v>
      </c>
      <c r="D9" s="269">
        <f>'detailed '!I28</f>
        <v>41.464999999999996</v>
      </c>
      <c r="E9" s="269">
        <f>'DATA-26-27'!H182</f>
        <v>7042</v>
      </c>
      <c r="F9" s="96" t="s">
        <v>22</v>
      </c>
      <c r="G9" s="264">
        <f t="shared" si="0"/>
        <v>291997</v>
      </c>
      <c r="H9" s="49"/>
      <c r="I9" s="49"/>
      <c r="J9" s="49"/>
    </row>
    <row r="10" spans="1:19" s="282" customFormat="1" ht="78.75">
      <c r="A10" s="265">
        <v>4</v>
      </c>
      <c r="B10" s="96" t="s">
        <v>27</v>
      </c>
      <c r="C10" s="268" t="s">
        <v>28</v>
      </c>
      <c r="D10" s="269">
        <f>'detailed '!I35</f>
        <v>120.024</v>
      </c>
      <c r="E10" s="269">
        <f>'DATA-26-27'!H274</f>
        <v>7826</v>
      </c>
      <c r="F10" s="96" t="s">
        <v>22</v>
      </c>
      <c r="G10" s="264">
        <f t="shared" si="0"/>
        <v>939308</v>
      </c>
      <c r="H10" s="280"/>
      <c r="I10" s="280"/>
      <c r="J10" s="280"/>
      <c r="K10" s="281"/>
      <c r="L10" s="281"/>
      <c r="M10" s="281"/>
      <c r="N10" s="281"/>
      <c r="O10" s="281"/>
      <c r="P10" s="281"/>
      <c r="Q10" s="281"/>
      <c r="R10" s="281"/>
      <c r="S10" s="281"/>
    </row>
    <row r="11" spans="1:19" ht="78.75">
      <c r="A11" s="96">
        <v>5</v>
      </c>
      <c r="B11" s="264" t="s">
        <v>29</v>
      </c>
      <c r="C11" s="97" t="s">
        <v>30</v>
      </c>
      <c r="D11" s="102">
        <f>'detailed '!I38</f>
        <v>4938.74</v>
      </c>
      <c r="E11" s="264">
        <f>'DATA-26-27'!H314</f>
        <v>82.4</v>
      </c>
      <c r="F11" s="96" t="s">
        <v>31</v>
      </c>
      <c r="G11" s="264">
        <f t="shared" si="0"/>
        <v>406952</v>
      </c>
      <c r="H11" s="48"/>
      <c r="I11" s="48"/>
      <c r="J11" s="48"/>
    </row>
    <row r="12" spans="1:19" s="282" customFormat="1" ht="78.75">
      <c r="A12" s="265">
        <v>6</v>
      </c>
      <c r="B12" s="264" t="s">
        <v>32</v>
      </c>
      <c r="C12" s="286" t="s">
        <v>353</v>
      </c>
      <c r="D12" s="102">
        <f>'detailed '!I44</f>
        <v>6.6760000000000002</v>
      </c>
      <c r="E12" s="264">
        <f>'DATA-26-27'!H386</f>
        <v>7876</v>
      </c>
      <c r="F12" s="96" t="s">
        <v>22</v>
      </c>
      <c r="G12" s="264">
        <f t="shared" si="0"/>
        <v>52580</v>
      </c>
      <c r="H12" s="283" t="s">
        <v>33</v>
      </c>
      <c r="I12" s="284"/>
      <c r="J12" s="284"/>
      <c r="K12" s="281"/>
      <c r="L12" s="281"/>
      <c r="M12" s="281"/>
      <c r="N12" s="281"/>
      <c r="O12" s="281"/>
      <c r="P12" s="281"/>
      <c r="Q12" s="281"/>
      <c r="R12" s="281"/>
      <c r="S12" s="281"/>
    </row>
    <row r="13" spans="1:19" ht="78.75">
      <c r="A13" s="96">
        <v>7</v>
      </c>
      <c r="B13" s="264" t="s">
        <v>34</v>
      </c>
      <c r="C13" s="97" t="s">
        <v>354</v>
      </c>
      <c r="D13" s="102">
        <f>'detailed '!I52</f>
        <v>72.375</v>
      </c>
      <c r="E13" s="102">
        <f>'DATA-26-27'!H469</f>
        <v>11609</v>
      </c>
      <c r="F13" s="98" t="s">
        <v>22</v>
      </c>
      <c r="G13" s="264">
        <f t="shared" si="0"/>
        <v>840201</v>
      </c>
      <c r="H13" s="50" t="s">
        <v>33</v>
      </c>
      <c r="I13" s="48"/>
      <c r="J13" s="48"/>
    </row>
    <row r="14" spans="1:19" ht="47.25">
      <c r="A14" s="96">
        <v>8</v>
      </c>
      <c r="B14" s="264" t="s">
        <v>25</v>
      </c>
      <c r="C14" s="287" t="s">
        <v>355</v>
      </c>
      <c r="D14" s="288">
        <f>'detailed '!I56</f>
        <v>4.5</v>
      </c>
      <c r="E14" s="288">
        <f>'DATA-26-27'!H551</f>
        <v>6729.7</v>
      </c>
      <c r="F14" s="289" t="s">
        <v>22</v>
      </c>
      <c r="G14" s="264">
        <f t="shared" si="0"/>
        <v>30284</v>
      </c>
      <c r="H14" s="51" t="s">
        <v>33</v>
      </c>
      <c r="I14" s="52"/>
      <c r="J14" s="52"/>
    </row>
    <row r="15" spans="1:19" s="425" customFormat="1">
      <c r="A15" s="275"/>
      <c r="B15" s="422"/>
      <c r="C15" s="423"/>
      <c r="D15" s="423"/>
      <c r="E15" s="424"/>
      <c r="F15" s="275" t="s">
        <v>35</v>
      </c>
      <c r="G15" s="422">
        <f>SUM(G7:G14)</f>
        <v>3076801</v>
      </c>
      <c r="H15" s="428"/>
      <c r="I15" s="428"/>
      <c r="J15" s="428"/>
      <c r="K15" s="386"/>
      <c r="L15" s="386"/>
      <c r="M15" s="386"/>
      <c r="N15" s="386"/>
      <c r="O15" s="386"/>
      <c r="P15" s="386"/>
      <c r="Q15" s="386"/>
      <c r="R15" s="386"/>
      <c r="S15" s="386"/>
    </row>
    <row r="16" spans="1:19">
      <c r="A16" s="548"/>
      <c r="B16" s="548"/>
      <c r="C16" s="548"/>
      <c r="D16" s="548"/>
      <c r="E16" s="548"/>
      <c r="F16" s="548"/>
      <c r="G16" s="548"/>
    </row>
    <row r="17" spans="1:7">
      <c r="A17" s="548"/>
      <c r="B17" s="548"/>
      <c r="C17" s="548"/>
      <c r="D17" s="548"/>
      <c r="E17" s="548"/>
      <c r="F17" s="548"/>
      <c r="G17" s="548"/>
    </row>
    <row r="18" spans="1:7">
      <c r="A18" s="548"/>
      <c r="B18" s="548"/>
      <c r="C18" s="548"/>
      <c r="D18" s="548"/>
      <c r="E18" s="548"/>
      <c r="F18" s="548"/>
      <c r="G18" s="548"/>
    </row>
    <row r="19" spans="1:7">
      <c r="E19" s="53"/>
      <c r="G19" s="53"/>
    </row>
  </sheetData>
  <mergeCells count="3">
    <mergeCell ref="A1:G1"/>
    <mergeCell ref="A3:G3"/>
    <mergeCell ref="A16:G18"/>
  </mergeCells>
  <pageMargins left="0.86614173228346458" right="0.35433070866141736" top="0.70866141732283472" bottom="0.55118110236220474" header="0.51181102362204722" footer="0.51181102362204722"/>
  <pageSetup paperSize="9" scale="90"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1"/>
  <sheetViews>
    <sheetView view="pageBreakPreview" topLeftCell="A46" zoomScaleNormal="100" zoomScaleSheetLayoutView="100" zoomScalePageLayoutView="96" workbookViewId="0">
      <selection activeCell="A60" sqref="A60:XFD63"/>
    </sheetView>
  </sheetViews>
  <sheetFormatPr defaultColWidth="9" defaultRowHeight="15.75"/>
  <cols>
    <col min="1" max="1" width="6.28515625" style="277" bestFit="1" customWidth="1"/>
    <col min="2" max="2" width="33.28515625" customWidth="1"/>
    <col min="3" max="3" width="5.28515625" customWidth="1"/>
    <col min="4" max="4" width="3.5703125" customWidth="1"/>
    <col min="5" max="5" width="4.42578125" customWidth="1"/>
    <col min="6" max="6" width="10.42578125" style="54" bestFit="1" customWidth="1"/>
    <col min="7" max="7" width="8.85546875" style="54" bestFit="1" customWidth="1"/>
    <col min="8" max="8" width="8.5703125" style="54" bestFit="1" customWidth="1"/>
    <col min="9" max="9" width="12.7109375" style="54" bestFit="1" customWidth="1"/>
    <col min="10" max="10" width="9" style="109"/>
    <col min="11" max="11" width="2.7109375" customWidth="1"/>
  </cols>
  <sheetData>
    <row r="1" spans="1:10" ht="24" customHeight="1">
      <c r="A1" s="553" t="s">
        <v>40</v>
      </c>
      <c r="B1" s="553"/>
      <c r="C1" s="553"/>
      <c r="D1" s="553"/>
      <c r="E1" s="553"/>
      <c r="F1" s="553"/>
      <c r="G1" s="553"/>
      <c r="H1" s="553"/>
      <c r="I1" s="553"/>
      <c r="J1" s="553"/>
    </row>
    <row r="2" spans="1:10" ht="24" customHeight="1">
      <c r="A2" s="432"/>
      <c r="B2" s="432"/>
      <c r="C2" s="432"/>
      <c r="D2" s="432"/>
      <c r="E2" s="432"/>
      <c r="F2" s="432"/>
      <c r="G2" s="432"/>
      <c r="H2" s="432"/>
      <c r="I2" s="432"/>
      <c r="J2" s="432"/>
    </row>
    <row r="3" spans="1:10" ht="62.25" customHeight="1">
      <c r="A3" s="554" t="s">
        <v>480</v>
      </c>
      <c r="B3" s="547"/>
      <c r="C3" s="547"/>
      <c r="D3" s="547"/>
      <c r="E3" s="547"/>
      <c r="F3" s="547"/>
      <c r="G3" s="547"/>
      <c r="H3" s="547"/>
      <c r="I3" s="547"/>
      <c r="J3" s="547"/>
    </row>
    <row r="4" spans="1:10" ht="28.5" customHeight="1">
      <c r="A4" s="273" t="s">
        <v>494</v>
      </c>
      <c r="B4" s="95" t="s">
        <v>16</v>
      </c>
      <c r="C4" s="552" t="s">
        <v>41</v>
      </c>
      <c r="D4" s="552"/>
      <c r="E4" s="552"/>
      <c r="F4" s="95" t="s">
        <v>491</v>
      </c>
      <c r="G4" s="95" t="s">
        <v>492</v>
      </c>
      <c r="H4" s="95" t="s">
        <v>493</v>
      </c>
      <c r="I4" s="95" t="s">
        <v>17</v>
      </c>
      <c r="J4" s="95" t="s">
        <v>73</v>
      </c>
    </row>
    <row r="5" spans="1:10">
      <c r="A5" s="274"/>
      <c r="B5" s="106"/>
      <c r="C5" s="106"/>
      <c r="D5" s="106"/>
      <c r="E5" s="106"/>
      <c r="F5" s="105"/>
      <c r="G5" s="105"/>
      <c r="H5" s="105"/>
      <c r="I5" s="105"/>
      <c r="J5" s="95"/>
    </row>
    <row r="6" spans="1:10" ht="18" customHeight="1">
      <c r="A6" s="273"/>
      <c r="B6" s="107" t="s">
        <v>20</v>
      </c>
      <c r="C6" s="95"/>
      <c r="D6" s="95"/>
      <c r="E6" s="95"/>
      <c r="F6" s="95"/>
      <c r="G6" s="95"/>
      <c r="H6" s="95"/>
      <c r="I6" s="95"/>
      <c r="J6" s="95"/>
    </row>
    <row r="7" spans="1:10" ht="48.75" customHeight="1">
      <c r="A7" s="273">
        <v>1</v>
      </c>
      <c r="B7" s="549" t="s">
        <v>42</v>
      </c>
      <c r="C7" s="550"/>
      <c r="D7" s="550"/>
      <c r="E7" s="550"/>
      <c r="F7" s="550"/>
      <c r="G7" s="550"/>
      <c r="H7" s="550"/>
      <c r="I7" s="550"/>
      <c r="J7" s="551"/>
    </row>
    <row r="8" spans="1:10" ht="21.75" customHeight="1">
      <c r="A8" s="275"/>
      <c r="B8" s="99" t="s">
        <v>43</v>
      </c>
      <c r="C8" s="98"/>
      <c r="D8" s="98"/>
      <c r="E8" s="98"/>
      <c r="F8" s="98"/>
      <c r="G8" s="98"/>
      <c r="H8" s="98"/>
      <c r="I8" s="98"/>
      <c r="J8" s="95"/>
    </row>
    <row r="9" spans="1:10">
      <c r="A9" s="275"/>
      <c r="B9" s="100" t="s">
        <v>44</v>
      </c>
      <c r="C9" s="98">
        <v>1</v>
      </c>
      <c r="D9" s="98" t="s">
        <v>45</v>
      </c>
      <c r="E9" s="98">
        <v>2</v>
      </c>
      <c r="F9" s="101">
        <v>7.65</v>
      </c>
      <c r="G9" s="101">
        <v>4.0999999999999996</v>
      </c>
      <c r="H9" s="101">
        <v>2.7250000000000001</v>
      </c>
      <c r="I9" s="101">
        <f>ROUND(C9*E9*F9*G9*H9,3)</f>
        <v>170.93899999999999</v>
      </c>
      <c r="J9" s="95"/>
    </row>
    <row r="10" spans="1:10">
      <c r="A10" s="275"/>
      <c r="B10" s="100" t="s">
        <v>46</v>
      </c>
      <c r="C10" s="98">
        <v>1</v>
      </c>
      <c r="D10" s="98" t="s">
        <v>45</v>
      </c>
      <c r="E10" s="98">
        <v>4</v>
      </c>
      <c r="F10" s="101">
        <v>4.0999999999999996</v>
      </c>
      <c r="G10" s="101">
        <v>3.8</v>
      </c>
      <c r="H10" s="101">
        <v>2.7250000000000001</v>
      </c>
      <c r="I10" s="101">
        <f>ROUND(C10*E10*F10*G10*H10,3)</f>
        <v>169.822</v>
      </c>
      <c r="J10" s="95"/>
    </row>
    <row r="11" spans="1:10">
      <c r="A11" s="275"/>
      <c r="B11" s="100" t="s">
        <v>47</v>
      </c>
      <c r="C11" s="98">
        <v>1</v>
      </c>
      <c r="D11" s="98" t="s">
        <v>45</v>
      </c>
      <c r="E11" s="98">
        <v>4</v>
      </c>
      <c r="F11" s="101">
        <v>2.6</v>
      </c>
      <c r="G11" s="101">
        <v>3.8</v>
      </c>
      <c r="H11" s="101">
        <v>2.7250000000000001</v>
      </c>
      <c r="I11" s="101">
        <f>ROUND(C11*E11*F11*G11*H11,3)</f>
        <v>107.69199999999999</v>
      </c>
      <c r="J11" s="95"/>
    </row>
    <row r="12" spans="1:10" s="56" customFormat="1" ht="30" customHeight="1">
      <c r="A12" s="275"/>
      <c r="B12" s="100" t="s">
        <v>48</v>
      </c>
      <c r="C12" s="98">
        <v>1</v>
      </c>
      <c r="D12" s="98" t="s">
        <v>45</v>
      </c>
      <c r="E12" s="98">
        <v>1</v>
      </c>
      <c r="F12" s="101">
        <v>39</v>
      </c>
      <c r="G12" s="101">
        <v>9.9049999999999994</v>
      </c>
      <c r="H12" s="101">
        <v>0.15</v>
      </c>
      <c r="I12" s="101">
        <f>ROUND(C12*E12*F12*G12*H12,3)</f>
        <v>57.944000000000003</v>
      </c>
      <c r="J12" s="94"/>
    </row>
    <row r="13" spans="1:10" s="56" customFormat="1" ht="31.5">
      <c r="A13" s="275"/>
      <c r="B13" s="100" t="s">
        <v>342</v>
      </c>
      <c r="C13" s="98">
        <v>1</v>
      </c>
      <c r="D13" s="98" t="s">
        <v>45</v>
      </c>
      <c r="E13" s="98">
        <v>4</v>
      </c>
      <c r="F13" s="101">
        <v>5.5</v>
      </c>
      <c r="G13" s="101">
        <v>0.5</v>
      </c>
      <c r="H13" s="101">
        <v>0.6</v>
      </c>
      <c r="I13" s="101">
        <f>ROUND(C13*E13*F13*G13*H13,3)</f>
        <v>6.6</v>
      </c>
      <c r="J13" s="94"/>
    </row>
    <row r="14" spans="1:10" ht="18" customHeight="1">
      <c r="A14" s="275"/>
      <c r="B14" s="98"/>
      <c r="C14" s="98"/>
      <c r="D14" s="98"/>
      <c r="E14" s="98"/>
      <c r="F14" s="98"/>
      <c r="G14" s="98"/>
      <c r="H14" s="102" t="s">
        <v>49</v>
      </c>
      <c r="I14" s="271">
        <f>SUM(I9:I13)</f>
        <v>512.99699999999996</v>
      </c>
      <c r="J14" s="95" t="s">
        <v>22</v>
      </c>
    </row>
    <row r="15" spans="1:10">
      <c r="A15" s="273"/>
      <c r="B15" s="107" t="s">
        <v>23</v>
      </c>
      <c r="C15" s="95"/>
      <c r="D15" s="95"/>
      <c r="E15" s="95"/>
      <c r="F15" s="95"/>
      <c r="G15" s="95"/>
      <c r="H15" s="95"/>
      <c r="I15" s="95"/>
      <c r="J15" s="95"/>
    </row>
    <row r="16" spans="1:10" ht="100.5" customHeight="1">
      <c r="A16" s="273">
        <v>2</v>
      </c>
      <c r="B16" s="549" t="s">
        <v>50</v>
      </c>
      <c r="C16" s="550"/>
      <c r="D16" s="550"/>
      <c r="E16" s="550"/>
      <c r="F16" s="550"/>
      <c r="G16" s="550"/>
      <c r="H16" s="550"/>
      <c r="I16" s="550"/>
      <c r="J16" s="551"/>
    </row>
    <row r="17" spans="1:10">
      <c r="A17" s="275"/>
      <c r="B17" s="99" t="s">
        <v>43</v>
      </c>
      <c r="C17" s="98"/>
      <c r="D17" s="98"/>
      <c r="E17" s="98"/>
      <c r="F17" s="98"/>
      <c r="G17" s="98"/>
      <c r="H17" s="98"/>
      <c r="I17" s="98"/>
      <c r="J17" s="95"/>
    </row>
    <row r="18" spans="1:10">
      <c r="A18" s="275"/>
      <c r="B18" s="100" t="s">
        <v>51</v>
      </c>
      <c r="C18" s="98">
        <v>1</v>
      </c>
      <c r="D18" s="98" t="s">
        <v>45</v>
      </c>
      <c r="E18" s="98">
        <v>2</v>
      </c>
      <c r="F18" s="101">
        <v>7.05</v>
      </c>
      <c r="G18" s="101">
        <v>3.5</v>
      </c>
      <c r="H18" s="101">
        <v>0.5</v>
      </c>
      <c r="I18" s="101">
        <f>ROUND(C18*E18*F18*G18*H18,3)</f>
        <v>24.675000000000001</v>
      </c>
      <c r="J18" s="95"/>
    </row>
    <row r="19" spans="1:10">
      <c r="A19" s="275"/>
      <c r="B19" s="100" t="s">
        <v>46</v>
      </c>
      <c r="C19" s="98">
        <v>1</v>
      </c>
      <c r="D19" s="98" t="s">
        <v>45</v>
      </c>
      <c r="E19" s="98">
        <v>4</v>
      </c>
      <c r="F19" s="101">
        <v>3.5</v>
      </c>
      <c r="G19" s="101">
        <v>3.2</v>
      </c>
      <c r="H19" s="101">
        <v>0.5</v>
      </c>
      <c r="I19" s="101">
        <f>ROUND(C19*E19*F19*G19*H19,3)</f>
        <v>22.4</v>
      </c>
      <c r="J19" s="95"/>
    </row>
    <row r="20" spans="1:10" ht="30" customHeight="1">
      <c r="A20" s="275"/>
      <c r="B20" s="100" t="s">
        <v>47</v>
      </c>
      <c r="C20" s="98">
        <v>1</v>
      </c>
      <c r="D20" s="98" t="s">
        <v>45</v>
      </c>
      <c r="E20" s="98">
        <v>4</v>
      </c>
      <c r="F20" s="101">
        <v>2</v>
      </c>
      <c r="G20" s="101">
        <v>3.2</v>
      </c>
      <c r="H20" s="101">
        <v>0.5</v>
      </c>
      <c r="I20" s="101">
        <f>ROUND(C20*E20*F20*G20*H20,3)</f>
        <v>12.8</v>
      </c>
      <c r="J20" s="95"/>
    </row>
    <row r="21" spans="1:10" ht="31.5">
      <c r="A21" s="275"/>
      <c r="B21" s="100" t="s">
        <v>52</v>
      </c>
      <c r="C21" s="98">
        <v>1</v>
      </c>
      <c r="D21" s="98" t="s">
        <v>45</v>
      </c>
      <c r="E21" s="98">
        <v>4</v>
      </c>
      <c r="F21" s="101">
        <v>5.5</v>
      </c>
      <c r="G21" s="101">
        <v>0.5</v>
      </c>
      <c r="H21" s="101">
        <v>0.6</v>
      </c>
      <c r="I21" s="101">
        <f>ROUND(C21*E21*F21*G21*H21,3)</f>
        <v>6.6</v>
      </c>
      <c r="J21" s="95"/>
    </row>
    <row r="22" spans="1:10" ht="18" customHeight="1">
      <c r="A22" s="275"/>
      <c r="B22" s="98"/>
      <c r="C22" s="98"/>
      <c r="D22" s="98"/>
      <c r="E22" s="98"/>
      <c r="F22" s="98"/>
      <c r="G22" s="98"/>
      <c r="H22" s="102" t="s">
        <v>49</v>
      </c>
      <c r="I22" s="271">
        <f>SUM(I18:I21)</f>
        <v>66.474999999999994</v>
      </c>
      <c r="J22" s="95" t="s">
        <v>22</v>
      </c>
    </row>
    <row r="23" spans="1:10">
      <c r="A23" s="273"/>
      <c r="B23" s="107" t="s">
        <v>25</v>
      </c>
      <c r="C23" s="95"/>
      <c r="D23" s="95"/>
      <c r="E23" s="95"/>
      <c r="F23" s="95"/>
      <c r="G23" s="95"/>
      <c r="H23" s="95"/>
      <c r="I23" s="95"/>
      <c r="J23" s="95"/>
    </row>
    <row r="24" spans="1:10" ht="102.75" customHeight="1">
      <c r="A24" s="273">
        <v>3</v>
      </c>
      <c r="B24" s="549" t="s">
        <v>344</v>
      </c>
      <c r="C24" s="550"/>
      <c r="D24" s="550"/>
      <c r="E24" s="550"/>
      <c r="F24" s="550"/>
      <c r="G24" s="550"/>
      <c r="H24" s="550"/>
      <c r="I24" s="550"/>
      <c r="J24" s="551"/>
    </row>
    <row r="25" spans="1:10" ht="30" customHeight="1">
      <c r="A25" s="275"/>
      <c r="B25" s="99" t="s">
        <v>43</v>
      </c>
      <c r="C25" s="98"/>
      <c r="D25" s="98"/>
      <c r="E25" s="98"/>
      <c r="F25" s="98"/>
      <c r="G25" s="98"/>
      <c r="H25" s="98"/>
      <c r="I25" s="98"/>
      <c r="J25" s="95"/>
    </row>
    <row r="26" spans="1:10" ht="30" customHeight="1">
      <c r="A26" s="275"/>
      <c r="B26" s="100" t="s">
        <v>53</v>
      </c>
      <c r="C26" s="98">
        <v>1</v>
      </c>
      <c r="D26" s="98" t="s">
        <v>45</v>
      </c>
      <c r="E26" s="98">
        <v>1</v>
      </c>
      <c r="F26" s="101">
        <v>9</v>
      </c>
      <c r="G26" s="101">
        <v>6.45</v>
      </c>
      <c r="H26" s="101">
        <v>0.15</v>
      </c>
      <c r="I26" s="101">
        <f>ROUND(C26*E26*F26*G26*H26,3)</f>
        <v>8.7080000000000002</v>
      </c>
      <c r="J26" s="95"/>
    </row>
    <row r="27" spans="1:10" ht="31.5">
      <c r="A27" s="275"/>
      <c r="B27" s="100" t="s">
        <v>54</v>
      </c>
      <c r="C27" s="98">
        <v>1</v>
      </c>
      <c r="D27" s="98" t="s">
        <v>45</v>
      </c>
      <c r="E27" s="98">
        <v>2</v>
      </c>
      <c r="F27" s="101">
        <v>15</v>
      </c>
      <c r="G27" s="101">
        <v>10.919</v>
      </c>
      <c r="H27" s="101">
        <v>0.1</v>
      </c>
      <c r="I27" s="101">
        <f>ROUND(C27*E27*F27*G27*H27,3)</f>
        <v>32.756999999999998</v>
      </c>
      <c r="J27" s="95"/>
    </row>
    <row r="28" spans="1:10" ht="18" customHeight="1">
      <c r="A28" s="275"/>
      <c r="B28" s="98"/>
      <c r="C28" s="98"/>
      <c r="D28" s="98"/>
      <c r="E28" s="98"/>
      <c r="F28" s="98"/>
      <c r="G28" s="98"/>
      <c r="H28" s="102" t="s">
        <v>49</v>
      </c>
      <c r="I28" s="271">
        <f>SUM(I26:I27)</f>
        <v>41.464999999999996</v>
      </c>
      <c r="J28" s="95" t="s">
        <v>22</v>
      </c>
    </row>
    <row r="29" spans="1:10">
      <c r="A29" s="273"/>
      <c r="B29" s="107" t="s">
        <v>27</v>
      </c>
      <c r="C29" s="95"/>
      <c r="D29" s="95"/>
      <c r="E29" s="95"/>
      <c r="F29" s="95"/>
      <c r="G29" s="95"/>
      <c r="H29" s="95"/>
      <c r="I29" s="95"/>
      <c r="J29" s="95"/>
    </row>
    <row r="30" spans="1:10" ht="84" customHeight="1">
      <c r="A30" s="273">
        <v>4</v>
      </c>
      <c r="B30" s="549" t="s">
        <v>55</v>
      </c>
      <c r="C30" s="550"/>
      <c r="D30" s="550"/>
      <c r="E30" s="550"/>
      <c r="F30" s="550"/>
      <c r="G30" s="550"/>
      <c r="H30" s="550"/>
      <c r="I30" s="550"/>
      <c r="J30" s="551"/>
    </row>
    <row r="31" spans="1:10">
      <c r="A31" s="275"/>
      <c r="B31" s="99" t="s">
        <v>43</v>
      </c>
      <c r="C31" s="98"/>
      <c r="D31" s="98"/>
      <c r="E31" s="98"/>
      <c r="F31" s="98"/>
      <c r="G31" s="98"/>
      <c r="H31" s="98"/>
      <c r="I31" s="98"/>
      <c r="J31" s="95"/>
    </row>
    <row r="32" spans="1:10">
      <c r="A32" s="275"/>
      <c r="B32" s="100" t="s">
        <v>56</v>
      </c>
      <c r="C32" s="98">
        <v>1</v>
      </c>
      <c r="D32" s="98" t="s">
        <v>45</v>
      </c>
      <c r="E32" s="98">
        <v>2</v>
      </c>
      <c r="F32" s="101">
        <v>6.45</v>
      </c>
      <c r="G32" s="101">
        <v>1.5</v>
      </c>
      <c r="H32" s="101">
        <v>1.925</v>
      </c>
      <c r="I32" s="101">
        <f>ROUND(C32*E32*F32*G32*H32,3)</f>
        <v>37.249000000000002</v>
      </c>
      <c r="J32" s="95"/>
    </row>
    <row r="33" spans="1:10">
      <c r="A33" s="275"/>
      <c r="B33" s="100" t="s">
        <v>57</v>
      </c>
      <c r="C33" s="98">
        <v>1</v>
      </c>
      <c r="D33" s="98" t="s">
        <v>45</v>
      </c>
      <c r="E33" s="98">
        <v>4</v>
      </c>
      <c r="F33" s="101">
        <v>3.5</v>
      </c>
      <c r="G33" s="101">
        <v>1.4</v>
      </c>
      <c r="H33" s="101">
        <v>2.6875</v>
      </c>
      <c r="I33" s="101">
        <f>ROUND(C33*E33*F33*G33*H33,3)</f>
        <v>52.674999999999997</v>
      </c>
      <c r="J33" s="95"/>
    </row>
    <row r="34" spans="1:10">
      <c r="A34" s="275"/>
      <c r="B34" s="100" t="s">
        <v>58</v>
      </c>
      <c r="C34" s="98">
        <v>1</v>
      </c>
      <c r="D34" s="98" t="s">
        <v>45</v>
      </c>
      <c r="E34" s="98">
        <v>4</v>
      </c>
      <c r="F34" s="101">
        <v>2</v>
      </c>
      <c r="G34" s="101">
        <v>1.4</v>
      </c>
      <c r="H34" s="101">
        <v>2.6875</v>
      </c>
      <c r="I34" s="101">
        <f>ROUND(C34*E34*F34*G34*H34,3)</f>
        <v>30.1</v>
      </c>
      <c r="J34" s="95"/>
    </row>
    <row r="35" spans="1:10">
      <c r="A35" s="275"/>
      <c r="B35" s="98"/>
      <c r="C35" s="98"/>
      <c r="D35" s="98"/>
      <c r="E35" s="98"/>
      <c r="F35" s="98"/>
      <c r="G35" s="98"/>
      <c r="H35" s="102" t="s">
        <v>49</v>
      </c>
      <c r="I35" s="271">
        <f>SUM(I32:I34)</f>
        <v>120.024</v>
      </c>
      <c r="J35" s="95" t="s">
        <v>22</v>
      </c>
    </row>
    <row r="36" spans="1:10">
      <c r="A36" s="273"/>
      <c r="B36" s="107" t="s">
        <v>29</v>
      </c>
      <c r="C36" s="95"/>
      <c r="D36" s="95"/>
      <c r="E36" s="95"/>
      <c r="F36" s="95"/>
      <c r="G36" s="95"/>
      <c r="H36" s="95"/>
      <c r="I36" s="95"/>
      <c r="J36" s="95"/>
    </row>
    <row r="37" spans="1:10" ht="68.25" customHeight="1">
      <c r="A37" s="273">
        <v>5</v>
      </c>
      <c r="B37" s="549" t="s">
        <v>59</v>
      </c>
      <c r="C37" s="550"/>
      <c r="D37" s="550"/>
      <c r="E37" s="550"/>
      <c r="F37" s="550"/>
      <c r="G37" s="550"/>
      <c r="H37" s="550"/>
      <c r="I37" s="550"/>
      <c r="J37" s="551"/>
    </row>
    <row r="38" spans="1:10" ht="18" customHeight="1">
      <c r="A38" s="275"/>
      <c r="B38" s="104" t="s">
        <v>60</v>
      </c>
      <c r="C38" s="98"/>
      <c r="D38" s="98"/>
      <c r="E38" s="98"/>
      <c r="F38" s="98"/>
      <c r="G38" s="98"/>
      <c r="H38" s="98"/>
      <c r="I38" s="102">
        <f>steel!K29</f>
        <v>4938.74</v>
      </c>
      <c r="J38" s="95" t="s">
        <v>61</v>
      </c>
    </row>
    <row r="39" spans="1:10">
      <c r="A39" s="273"/>
      <c r="B39" s="107" t="s">
        <v>32</v>
      </c>
      <c r="C39" s="95"/>
      <c r="D39" s="95"/>
      <c r="E39" s="95"/>
      <c r="F39" s="95"/>
      <c r="G39" s="95"/>
      <c r="H39" s="95"/>
      <c r="I39" s="95"/>
      <c r="J39" s="95"/>
    </row>
    <row r="40" spans="1:10" ht="81.75" customHeight="1">
      <c r="A40" s="273">
        <v>6</v>
      </c>
      <c r="B40" s="549" t="s">
        <v>343</v>
      </c>
      <c r="C40" s="550"/>
      <c r="D40" s="550"/>
      <c r="E40" s="550"/>
      <c r="F40" s="550"/>
      <c r="G40" s="550"/>
      <c r="H40" s="550"/>
      <c r="I40" s="550"/>
      <c r="J40" s="551"/>
    </row>
    <row r="41" spans="1:10">
      <c r="A41" s="275"/>
      <c r="B41" s="99" t="s">
        <v>43</v>
      </c>
      <c r="C41" s="98"/>
      <c r="D41" s="98"/>
      <c r="E41" s="98"/>
      <c r="F41" s="98"/>
      <c r="G41" s="98"/>
      <c r="H41" s="98"/>
      <c r="I41" s="98"/>
      <c r="J41" s="95"/>
    </row>
    <row r="42" spans="1:10">
      <c r="A42" s="275"/>
      <c r="B42" s="100" t="s">
        <v>62</v>
      </c>
      <c r="C42" s="98">
        <v>1</v>
      </c>
      <c r="D42" s="98" t="s">
        <v>45</v>
      </c>
      <c r="E42" s="98">
        <v>2</v>
      </c>
      <c r="F42" s="101">
        <v>6.45</v>
      </c>
      <c r="G42" s="101">
        <v>0.5</v>
      </c>
      <c r="H42" s="101">
        <v>0.3</v>
      </c>
      <c r="I42" s="101">
        <f>ROUND(C42*E42*F42*G42*H42,3)</f>
        <v>1.9350000000000001</v>
      </c>
      <c r="J42" s="95"/>
    </row>
    <row r="43" spans="1:10" s="56" customFormat="1">
      <c r="A43" s="275"/>
      <c r="B43" s="100" t="s">
        <v>63</v>
      </c>
      <c r="C43" s="98">
        <v>1</v>
      </c>
      <c r="D43" s="98" t="s">
        <v>45</v>
      </c>
      <c r="E43" s="98">
        <v>2</v>
      </c>
      <c r="F43" s="101">
        <v>6.45</v>
      </c>
      <c r="G43" s="101">
        <v>0.3</v>
      </c>
      <c r="H43" s="101">
        <v>1.2250000000000001</v>
      </c>
      <c r="I43" s="101">
        <f>ROUND(C43*E43*F43*G43*H43,3)</f>
        <v>4.7409999999999997</v>
      </c>
      <c r="J43" s="94"/>
    </row>
    <row r="44" spans="1:10" s="56" customFormat="1" ht="18" customHeight="1">
      <c r="A44" s="275"/>
      <c r="B44" s="98"/>
      <c r="C44" s="98"/>
      <c r="D44" s="98"/>
      <c r="E44" s="98"/>
      <c r="F44" s="98"/>
      <c r="G44" s="98"/>
      <c r="H44" s="102" t="s">
        <v>49</v>
      </c>
      <c r="I44" s="271">
        <f>SUM(I42:I43)</f>
        <v>6.6760000000000002</v>
      </c>
      <c r="J44" s="95" t="s">
        <v>22</v>
      </c>
    </row>
    <row r="45" spans="1:10">
      <c r="A45" s="273"/>
      <c r="B45" s="107" t="s">
        <v>34</v>
      </c>
      <c r="C45" s="95"/>
      <c r="D45" s="95"/>
      <c r="E45" s="95"/>
      <c r="F45" s="95"/>
      <c r="G45" s="95"/>
      <c r="H45" s="95"/>
      <c r="I45" s="95"/>
      <c r="J45" s="95"/>
    </row>
    <row r="46" spans="1:10" ht="94.5" customHeight="1">
      <c r="A46" s="273">
        <v>7</v>
      </c>
      <c r="B46" s="549" t="s">
        <v>345</v>
      </c>
      <c r="C46" s="550"/>
      <c r="D46" s="550"/>
      <c r="E46" s="550"/>
      <c r="F46" s="550"/>
      <c r="G46" s="550"/>
      <c r="H46" s="550"/>
      <c r="I46" s="550"/>
      <c r="J46" s="551"/>
    </row>
    <row r="47" spans="1:10">
      <c r="A47" s="275"/>
      <c r="B47" s="99" t="s">
        <v>43</v>
      </c>
      <c r="C47" s="98"/>
      <c r="D47" s="98"/>
      <c r="E47" s="98"/>
      <c r="F47" s="98"/>
      <c r="G47" s="98"/>
      <c r="H47" s="98"/>
      <c r="I47" s="98"/>
      <c r="J47" s="95"/>
    </row>
    <row r="48" spans="1:10">
      <c r="A48" s="275"/>
      <c r="B48" s="100" t="s">
        <v>64</v>
      </c>
      <c r="C48" s="98">
        <v>1</v>
      </c>
      <c r="D48" s="98" t="s">
        <v>45</v>
      </c>
      <c r="E48" s="98">
        <v>1</v>
      </c>
      <c r="F48" s="101">
        <v>10</v>
      </c>
      <c r="G48" s="101">
        <v>6.45</v>
      </c>
      <c r="H48" s="101">
        <v>0.85</v>
      </c>
      <c r="I48" s="101">
        <f>ROUND(C48*E48*F48*G48*H48,3)</f>
        <v>54.825000000000003</v>
      </c>
      <c r="J48" s="95"/>
    </row>
    <row r="49" spans="1:10">
      <c r="A49" s="275"/>
      <c r="B49" s="100" t="s">
        <v>65</v>
      </c>
      <c r="C49" s="98">
        <v>1</v>
      </c>
      <c r="D49" s="98" t="s">
        <v>45</v>
      </c>
      <c r="E49" s="98">
        <v>2</v>
      </c>
      <c r="F49" s="101">
        <v>10</v>
      </c>
      <c r="G49" s="101">
        <v>0.22500000000000001</v>
      </c>
      <c r="H49" s="101">
        <v>0.3</v>
      </c>
      <c r="I49" s="101">
        <f>ROUND(C49*E49*F49*G49*H49,3)</f>
        <v>1.35</v>
      </c>
      <c r="J49" s="95"/>
    </row>
    <row r="50" spans="1:10">
      <c r="A50" s="275"/>
      <c r="B50" s="100" t="s">
        <v>66</v>
      </c>
      <c r="C50" s="98">
        <v>1</v>
      </c>
      <c r="D50" s="98" t="s">
        <v>45</v>
      </c>
      <c r="E50" s="98">
        <v>2</v>
      </c>
      <c r="F50" s="101">
        <v>10</v>
      </c>
      <c r="G50" s="101">
        <v>0.2</v>
      </c>
      <c r="H50" s="101">
        <v>0.9</v>
      </c>
      <c r="I50" s="101">
        <f>ROUND(C50*E50*F50*G50*H50,3)</f>
        <v>3.6</v>
      </c>
      <c r="J50" s="95"/>
    </row>
    <row r="51" spans="1:10">
      <c r="A51" s="275"/>
      <c r="B51" s="100" t="s">
        <v>67</v>
      </c>
      <c r="C51" s="98">
        <v>1</v>
      </c>
      <c r="D51" s="98" t="s">
        <v>45</v>
      </c>
      <c r="E51" s="98">
        <v>2</v>
      </c>
      <c r="F51" s="101">
        <v>3.5</v>
      </c>
      <c r="G51" s="101">
        <v>6</v>
      </c>
      <c r="H51" s="101">
        <v>0.3</v>
      </c>
      <c r="I51" s="101">
        <f>ROUND(C51*E51*F51*G51*H51,3)</f>
        <v>12.6</v>
      </c>
      <c r="J51" s="95"/>
    </row>
    <row r="52" spans="1:10" ht="18" customHeight="1">
      <c r="A52" s="275"/>
      <c r="B52" s="98"/>
      <c r="C52" s="98"/>
      <c r="D52" s="98"/>
      <c r="E52" s="98"/>
      <c r="F52" s="98"/>
      <c r="G52" s="98"/>
      <c r="H52" s="102" t="s">
        <v>49</v>
      </c>
      <c r="I52" s="271">
        <f>SUM(I48:I51)</f>
        <v>72.375</v>
      </c>
      <c r="J52" s="95" t="s">
        <v>22</v>
      </c>
    </row>
    <row r="53" spans="1:10">
      <c r="A53" s="273"/>
      <c r="B53" s="107" t="s">
        <v>349</v>
      </c>
      <c r="C53" s="95"/>
      <c r="D53" s="95"/>
      <c r="E53" s="95"/>
      <c r="F53" s="95"/>
      <c r="G53" s="95"/>
      <c r="H53" s="95"/>
      <c r="I53" s="95"/>
      <c r="J53" s="95"/>
    </row>
    <row r="54" spans="1:10" ht="84.75" customHeight="1">
      <c r="A54" s="273">
        <v>8</v>
      </c>
      <c r="B54" s="549" t="s">
        <v>352</v>
      </c>
      <c r="C54" s="550"/>
      <c r="D54" s="550"/>
      <c r="E54" s="550"/>
      <c r="F54" s="550"/>
      <c r="G54" s="550"/>
      <c r="H54" s="550"/>
      <c r="I54" s="550"/>
      <c r="J54" s="551"/>
    </row>
    <row r="55" spans="1:10">
      <c r="A55" s="275"/>
      <c r="B55" s="99" t="s">
        <v>43</v>
      </c>
      <c r="C55" s="98"/>
      <c r="D55" s="98"/>
      <c r="E55" s="98"/>
      <c r="F55" s="98"/>
      <c r="G55" s="98"/>
      <c r="H55" s="98"/>
      <c r="I55" s="98"/>
      <c r="J55" s="95"/>
    </row>
    <row r="56" spans="1:10">
      <c r="A56" s="275"/>
      <c r="B56" s="100" t="s">
        <v>68</v>
      </c>
      <c r="C56" s="98">
        <v>1</v>
      </c>
      <c r="D56" s="98" t="s">
        <v>45</v>
      </c>
      <c r="E56" s="98">
        <v>1</v>
      </c>
      <c r="F56" s="101">
        <v>10</v>
      </c>
      <c r="G56" s="101">
        <v>6</v>
      </c>
      <c r="H56" s="101">
        <v>7.4999999999999997E-2</v>
      </c>
      <c r="I56" s="101">
        <f>ROUND(C56*E56*F56*G56*H56,3)</f>
        <v>4.5</v>
      </c>
      <c r="J56" s="95"/>
    </row>
    <row r="57" spans="1:10" ht="18" customHeight="1">
      <c r="A57" s="275"/>
      <c r="B57" s="98"/>
      <c r="C57" s="98"/>
      <c r="D57" s="98"/>
      <c r="E57" s="98"/>
      <c r="F57" s="98"/>
      <c r="G57" s="98"/>
      <c r="H57" s="102" t="s">
        <v>49</v>
      </c>
      <c r="I57" s="103">
        <f>SUM(I56:I56)</f>
        <v>4.5</v>
      </c>
      <c r="J57" s="95" t="s">
        <v>22</v>
      </c>
    </row>
    <row r="58" spans="1:10">
      <c r="A58" s="276"/>
      <c r="B58" s="93"/>
      <c r="C58" s="93"/>
      <c r="D58" s="93"/>
      <c r="E58" s="93"/>
      <c r="F58" s="92"/>
      <c r="G58" s="92"/>
      <c r="H58" s="92"/>
      <c r="I58" s="92"/>
    </row>
    <row r="59" spans="1:10">
      <c r="A59" s="276"/>
      <c r="B59" s="93"/>
      <c r="C59" s="93"/>
      <c r="D59" s="93"/>
      <c r="E59" s="93"/>
      <c r="F59" s="92"/>
      <c r="G59" s="92"/>
      <c r="H59" s="92"/>
      <c r="I59" s="92"/>
    </row>
    <row r="60" spans="1:10">
      <c r="A60" s="276"/>
      <c r="B60" s="93"/>
      <c r="C60" s="93"/>
      <c r="D60" s="93"/>
      <c r="E60" s="93"/>
      <c r="F60" s="92"/>
      <c r="G60" s="92"/>
      <c r="H60" s="92"/>
      <c r="I60" s="92"/>
    </row>
    <row r="61" spans="1:10">
      <c r="A61" s="276"/>
      <c r="B61" s="109" t="s">
        <v>69</v>
      </c>
      <c r="C61" s="556" t="s">
        <v>37</v>
      </c>
      <c r="D61" s="556"/>
      <c r="E61" s="556"/>
      <c r="F61" s="556"/>
      <c r="G61" s="556"/>
      <c r="H61" s="555" t="s">
        <v>38</v>
      </c>
      <c r="I61" s="555"/>
      <c r="J61" s="555"/>
    </row>
    <row r="62" spans="1:10" s="56" customFormat="1">
      <c r="A62" s="433"/>
      <c r="B62" s="109" t="s">
        <v>346</v>
      </c>
      <c r="C62" s="556" t="s">
        <v>346</v>
      </c>
      <c r="D62" s="556"/>
      <c r="E62" s="556"/>
      <c r="F62" s="556"/>
      <c r="G62" s="556"/>
      <c r="H62" s="555" t="s">
        <v>347</v>
      </c>
      <c r="I62" s="555"/>
      <c r="J62" s="555"/>
    </row>
    <row r="63" spans="1:10">
      <c r="B63" s="109" t="s">
        <v>39</v>
      </c>
      <c r="C63" s="557" t="s">
        <v>39</v>
      </c>
      <c r="D63" s="557"/>
      <c r="E63" s="557"/>
      <c r="F63" s="557"/>
      <c r="G63" s="557"/>
      <c r="H63" s="555" t="s">
        <v>348</v>
      </c>
      <c r="I63" s="555"/>
      <c r="J63" s="555"/>
    </row>
    <row r="64" spans="1:10">
      <c r="C64" s="434"/>
      <c r="D64" s="53"/>
      <c r="E64" s="53"/>
      <c r="F64" s="53"/>
    </row>
    <row r="66" spans="1:10" s="57" customFormat="1">
      <c r="A66" s="278"/>
      <c r="J66" s="230"/>
    </row>
    <row r="71" spans="1:10" s="55" customFormat="1">
      <c r="A71" s="279"/>
      <c r="J71" s="109"/>
    </row>
  </sheetData>
  <mergeCells count="17">
    <mergeCell ref="H61:J61"/>
    <mergeCell ref="H62:J62"/>
    <mergeCell ref="H63:J63"/>
    <mergeCell ref="C61:G61"/>
    <mergeCell ref="C62:G62"/>
    <mergeCell ref="C63:G63"/>
    <mergeCell ref="A1:J1"/>
    <mergeCell ref="B7:J7"/>
    <mergeCell ref="B16:J16"/>
    <mergeCell ref="B24:J24"/>
    <mergeCell ref="B30:J30"/>
    <mergeCell ref="A3:J3"/>
    <mergeCell ref="B37:J37"/>
    <mergeCell ref="B40:J40"/>
    <mergeCell ref="B46:J46"/>
    <mergeCell ref="B54:J54"/>
    <mergeCell ref="C4:E4"/>
  </mergeCells>
  <pageMargins left="0.6692913385826772" right="0.70866141732283472" top="0.55118110236220474" bottom="0.74803149606299213" header="0.51181102362204722" footer="0.51181102362204722"/>
  <pageSetup paperSize="9" scale="85" orientation="portrait" horizontalDpi="300" verticalDpi="300" r:id="rId1"/>
  <headerFooter>
    <oddFooter>Page &amp;P of &amp;N</oddFooter>
  </headerFooter>
  <rowBreaks count="2" manualBreakCount="2">
    <brk id="28" max="9" man="1"/>
    <brk id="64"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59"/>
  <sheetViews>
    <sheetView view="pageBreakPreview" topLeftCell="A528" zoomScaleNormal="100" workbookViewId="0">
      <selection activeCell="D553" sqref="D553"/>
    </sheetView>
  </sheetViews>
  <sheetFormatPr defaultColWidth="9.140625" defaultRowHeight="12.75"/>
  <cols>
    <col min="1" max="1" width="4.5703125" style="58" customWidth="1"/>
    <col min="2" max="2" width="9.140625" style="58" customWidth="1"/>
    <col min="3" max="3" width="7.5703125" style="58" customWidth="1"/>
    <col min="4" max="4" width="33.42578125" style="58" customWidth="1"/>
    <col min="5" max="5" width="9.5703125" style="58" customWidth="1"/>
    <col min="6" max="6" width="9.85546875" style="58" customWidth="1"/>
    <col min="7" max="7" width="10.85546875" style="58" customWidth="1"/>
    <col min="8" max="8" width="18" style="58" customWidth="1"/>
    <col min="9" max="10" width="9.5703125" style="58" customWidth="1"/>
    <col min="11" max="11" width="21.28515625" style="58" customWidth="1"/>
    <col min="12" max="12" width="13.42578125" style="58" customWidth="1"/>
    <col min="13" max="13" width="9.140625" style="58"/>
    <col min="14" max="14" width="15.42578125" style="58" customWidth="1"/>
    <col min="15" max="257" width="9.140625" style="58"/>
    <col min="258" max="258" width="9" style="58" customWidth="1"/>
    <col min="259" max="259" width="6" style="58" customWidth="1"/>
    <col min="260" max="260" width="28.140625" style="58" customWidth="1"/>
    <col min="261" max="261" width="14.28515625" style="58" customWidth="1"/>
    <col min="262" max="262" width="9.7109375" style="58" customWidth="1"/>
    <col min="263" max="263" width="11.85546875" style="58" customWidth="1"/>
    <col min="264" max="264" width="10" style="58" customWidth="1"/>
    <col min="265" max="513" width="9.140625" style="58"/>
    <col min="514" max="514" width="9" style="58" customWidth="1"/>
    <col min="515" max="515" width="6" style="58" customWidth="1"/>
    <col min="516" max="516" width="28.140625" style="58" customWidth="1"/>
    <col min="517" max="517" width="14.28515625" style="58" customWidth="1"/>
    <col min="518" max="518" width="9.7109375" style="58" customWidth="1"/>
    <col min="519" max="519" width="11.85546875" style="58" customWidth="1"/>
    <col min="520" max="520" width="10" style="58" customWidth="1"/>
    <col min="521" max="769" width="9.140625" style="58"/>
    <col min="770" max="770" width="9" style="58" customWidth="1"/>
    <col min="771" max="771" width="6" style="58" customWidth="1"/>
    <col min="772" max="772" width="28.140625" style="58" customWidth="1"/>
    <col min="773" max="773" width="14.28515625" style="58" customWidth="1"/>
    <col min="774" max="774" width="9.7109375" style="58" customWidth="1"/>
    <col min="775" max="775" width="11.85546875" style="58" customWidth="1"/>
    <col min="776" max="776" width="10" style="58" customWidth="1"/>
    <col min="777" max="1025" width="9.140625" style="58"/>
    <col min="1026" max="1026" width="9" style="58" customWidth="1"/>
    <col min="1027" max="1027" width="6" style="58" customWidth="1"/>
    <col min="1028" max="1028" width="28.140625" style="58" customWidth="1"/>
    <col min="1029" max="1029" width="14.28515625" style="58" customWidth="1"/>
    <col min="1030" max="1030" width="9.7109375" style="58" customWidth="1"/>
    <col min="1031" max="1031" width="11.85546875" style="58" customWidth="1"/>
    <col min="1032" max="1032" width="10" style="58" customWidth="1"/>
    <col min="1033" max="1281" width="9.140625" style="58"/>
    <col min="1282" max="1282" width="9" style="58" customWidth="1"/>
    <col min="1283" max="1283" width="6" style="58" customWidth="1"/>
    <col min="1284" max="1284" width="28.140625" style="58" customWidth="1"/>
    <col min="1285" max="1285" width="14.28515625" style="58" customWidth="1"/>
    <col min="1286" max="1286" width="9.7109375" style="58" customWidth="1"/>
    <col min="1287" max="1287" width="11.85546875" style="58" customWidth="1"/>
    <col min="1288" max="1288" width="10" style="58" customWidth="1"/>
    <col min="1289" max="1537" width="9.140625" style="58"/>
    <col min="1538" max="1538" width="9" style="58" customWidth="1"/>
    <col min="1539" max="1539" width="6" style="58" customWidth="1"/>
    <col min="1540" max="1540" width="28.140625" style="58" customWidth="1"/>
    <col min="1541" max="1541" width="14.28515625" style="58" customWidth="1"/>
    <col min="1542" max="1542" width="9.7109375" style="58" customWidth="1"/>
    <col min="1543" max="1543" width="11.85546875" style="58" customWidth="1"/>
    <col min="1544" max="1544" width="10" style="58" customWidth="1"/>
    <col min="1545" max="1793" width="9.140625" style="58"/>
    <col min="1794" max="1794" width="9" style="58" customWidth="1"/>
    <col min="1795" max="1795" width="6" style="58" customWidth="1"/>
    <col min="1796" max="1796" width="28.140625" style="58" customWidth="1"/>
    <col min="1797" max="1797" width="14.28515625" style="58" customWidth="1"/>
    <col min="1798" max="1798" width="9.7109375" style="58" customWidth="1"/>
    <col min="1799" max="1799" width="11.85546875" style="58" customWidth="1"/>
    <col min="1800" max="1800" width="10" style="58" customWidth="1"/>
    <col min="1801" max="2049" width="9.140625" style="58"/>
    <col min="2050" max="2050" width="9" style="58" customWidth="1"/>
    <col min="2051" max="2051" width="6" style="58" customWidth="1"/>
    <col min="2052" max="2052" width="28.140625" style="58" customWidth="1"/>
    <col min="2053" max="2053" width="14.28515625" style="58" customWidth="1"/>
    <col min="2054" max="2054" width="9.7109375" style="58" customWidth="1"/>
    <col min="2055" max="2055" width="11.85546875" style="58" customWidth="1"/>
    <col min="2056" max="2056" width="10" style="58" customWidth="1"/>
    <col min="2057" max="2305" width="9.140625" style="58"/>
    <col min="2306" max="2306" width="9" style="58" customWidth="1"/>
    <col min="2307" max="2307" width="6" style="58" customWidth="1"/>
    <col min="2308" max="2308" width="28.140625" style="58" customWidth="1"/>
    <col min="2309" max="2309" width="14.28515625" style="58" customWidth="1"/>
    <col min="2310" max="2310" width="9.7109375" style="58" customWidth="1"/>
    <col min="2311" max="2311" width="11.85546875" style="58" customWidth="1"/>
    <col min="2312" max="2312" width="10" style="58" customWidth="1"/>
    <col min="2313" max="2561" width="9.140625" style="58"/>
    <col min="2562" max="2562" width="9" style="58" customWidth="1"/>
    <col min="2563" max="2563" width="6" style="58" customWidth="1"/>
    <col min="2564" max="2564" width="28.140625" style="58" customWidth="1"/>
    <col min="2565" max="2565" width="14.28515625" style="58" customWidth="1"/>
    <col min="2566" max="2566" width="9.7109375" style="58" customWidth="1"/>
    <col min="2567" max="2567" width="11.85546875" style="58" customWidth="1"/>
    <col min="2568" max="2568" width="10" style="58" customWidth="1"/>
    <col min="2569" max="2817" width="9.140625" style="58"/>
    <col min="2818" max="2818" width="9" style="58" customWidth="1"/>
    <col min="2819" max="2819" width="6" style="58" customWidth="1"/>
    <col min="2820" max="2820" width="28.140625" style="58" customWidth="1"/>
    <col min="2821" max="2821" width="14.28515625" style="58" customWidth="1"/>
    <col min="2822" max="2822" width="9.7109375" style="58" customWidth="1"/>
    <col min="2823" max="2823" width="11.85546875" style="58" customWidth="1"/>
    <col min="2824" max="2824" width="10" style="58" customWidth="1"/>
    <col min="2825" max="3073" width="9.140625" style="58"/>
    <col min="3074" max="3074" width="9" style="58" customWidth="1"/>
    <col min="3075" max="3075" width="6" style="58" customWidth="1"/>
    <col min="3076" max="3076" width="28.140625" style="58" customWidth="1"/>
    <col min="3077" max="3077" width="14.28515625" style="58" customWidth="1"/>
    <col min="3078" max="3078" width="9.7109375" style="58" customWidth="1"/>
    <col min="3079" max="3079" width="11.85546875" style="58" customWidth="1"/>
    <col min="3080" max="3080" width="10" style="58" customWidth="1"/>
    <col min="3081" max="3329" width="9.140625" style="58"/>
    <col min="3330" max="3330" width="9" style="58" customWidth="1"/>
    <col min="3331" max="3331" width="6" style="58" customWidth="1"/>
    <col min="3332" max="3332" width="28.140625" style="58" customWidth="1"/>
    <col min="3333" max="3333" width="14.28515625" style="58" customWidth="1"/>
    <col min="3334" max="3334" width="9.7109375" style="58" customWidth="1"/>
    <col min="3335" max="3335" width="11.85546875" style="58" customWidth="1"/>
    <col min="3336" max="3336" width="10" style="58" customWidth="1"/>
    <col min="3337" max="3585" width="9.140625" style="58"/>
    <col min="3586" max="3586" width="9" style="58" customWidth="1"/>
    <col min="3587" max="3587" width="6" style="58" customWidth="1"/>
    <col min="3588" max="3588" width="28.140625" style="58" customWidth="1"/>
    <col min="3589" max="3589" width="14.28515625" style="58" customWidth="1"/>
    <col min="3590" max="3590" width="9.7109375" style="58" customWidth="1"/>
    <col min="3591" max="3591" width="11.85546875" style="58" customWidth="1"/>
    <col min="3592" max="3592" width="10" style="58" customWidth="1"/>
    <col min="3593" max="3841" width="9.140625" style="58"/>
    <col min="3842" max="3842" width="9" style="58" customWidth="1"/>
    <col min="3843" max="3843" width="6" style="58" customWidth="1"/>
    <col min="3844" max="3844" width="28.140625" style="58" customWidth="1"/>
    <col min="3845" max="3845" width="14.28515625" style="58" customWidth="1"/>
    <col min="3846" max="3846" width="9.7109375" style="58" customWidth="1"/>
    <col min="3847" max="3847" width="11.85546875" style="58" customWidth="1"/>
    <col min="3848" max="3848" width="10" style="58" customWidth="1"/>
    <col min="3849" max="4097" width="9.140625" style="58"/>
    <col min="4098" max="4098" width="9" style="58" customWidth="1"/>
    <col min="4099" max="4099" width="6" style="58" customWidth="1"/>
    <col min="4100" max="4100" width="28.140625" style="58" customWidth="1"/>
    <col min="4101" max="4101" width="14.28515625" style="58" customWidth="1"/>
    <col min="4102" max="4102" width="9.7109375" style="58" customWidth="1"/>
    <col min="4103" max="4103" width="11.85546875" style="58" customWidth="1"/>
    <col min="4104" max="4104" width="10" style="58" customWidth="1"/>
    <col min="4105" max="4353" width="9.140625" style="58"/>
    <col min="4354" max="4354" width="9" style="58" customWidth="1"/>
    <col min="4355" max="4355" width="6" style="58" customWidth="1"/>
    <col min="4356" max="4356" width="28.140625" style="58" customWidth="1"/>
    <col min="4357" max="4357" width="14.28515625" style="58" customWidth="1"/>
    <col min="4358" max="4358" width="9.7109375" style="58" customWidth="1"/>
    <col min="4359" max="4359" width="11.85546875" style="58" customWidth="1"/>
    <col min="4360" max="4360" width="10" style="58" customWidth="1"/>
    <col min="4361" max="4609" width="9.140625" style="58"/>
    <col min="4610" max="4610" width="9" style="58" customWidth="1"/>
    <col min="4611" max="4611" width="6" style="58" customWidth="1"/>
    <col min="4612" max="4612" width="28.140625" style="58" customWidth="1"/>
    <col min="4613" max="4613" width="14.28515625" style="58" customWidth="1"/>
    <col min="4614" max="4614" width="9.7109375" style="58" customWidth="1"/>
    <col min="4615" max="4615" width="11.85546875" style="58" customWidth="1"/>
    <col min="4616" max="4616" width="10" style="58" customWidth="1"/>
    <col min="4617" max="4865" width="9.140625" style="58"/>
    <col min="4866" max="4866" width="9" style="58" customWidth="1"/>
    <col min="4867" max="4867" width="6" style="58" customWidth="1"/>
    <col min="4868" max="4868" width="28.140625" style="58" customWidth="1"/>
    <col min="4869" max="4869" width="14.28515625" style="58" customWidth="1"/>
    <col min="4870" max="4870" width="9.7109375" style="58" customWidth="1"/>
    <col min="4871" max="4871" width="11.85546875" style="58" customWidth="1"/>
    <col min="4872" max="4872" width="10" style="58" customWidth="1"/>
    <col min="4873" max="5121" width="9.140625" style="58"/>
    <col min="5122" max="5122" width="9" style="58" customWidth="1"/>
    <col min="5123" max="5123" width="6" style="58" customWidth="1"/>
    <col min="5124" max="5124" width="28.140625" style="58" customWidth="1"/>
    <col min="5125" max="5125" width="14.28515625" style="58" customWidth="1"/>
    <col min="5126" max="5126" width="9.7109375" style="58" customWidth="1"/>
    <col min="5127" max="5127" width="11.85546875" style="58" customWidth="1"/>
    <col min="5128" max="5128" width="10" style="58" customWidth="1"/>
    <col min="5129" max="5377" width="9.140625" style="58"/>
    <col min="5378" max="5378" width="9" style="58" customWidth="1"/>
    <col min="5379" max="5379" width="6" style="58" customWidth="1"/>
    <col min="5380" max="5380" width="28.140625" style="58" customWidth="1"/>
    <col min="5381" max="5381" width="14.28515625" style="58" customWidth="1"/>
    <col min="5382" max="5382" width="9.7109375" style="58" customWidth="1"/>
    <col min="5383" max="5383" width="11.85546875" style="58" customWidth="1"/>
    <col min="5384" max="5384" width="10" style="58" customWidth="1"/>
    <col min="5385" max="5633" width="9.140625" style="58"/>
    <col min="5634" max="5634" width="9" style="58" customWidth="1"/>
    <col min="5635" max="5635" width="6" style="58" customWidth="1"/>
    <col min="5636" max="5636" width="28.140625" style="58" customWidth="1"/>
    <col min="5637" max="5637" width="14.28515625" style="58" customWidth="1"/>
    <col min="5638" max="5638" width="9.7109375" style="58" customWidth="1"/>
    <col min="5639" max="5639" width="11.85546875" style="58" customWidth="1"/>
    <col min="5640" max="5640" width="10" style="58" customWidth="1"/>
    <col min="5641" max="5889" width="9.140625" style="58"/>
    <col min="5890" max="5890" width="9" style="58" customWidth="1"/>
    <col min="5891" max="5891" width="6" style="58" customWidth="1"/>
    <col min="5892" max="5892" width="28.140625" style="58" customWidth="1"/>
    <col min="5893" max="5893" width="14.28515625" style="58" customWidth="1"/>
    <col min="5894" max="5894" width="9.7109375" style="58" customWidth="1"/>
    <col min="5895" max="5895" width="11.85546875" style="58" customWidth="1"/>
    <col min="5896" max="5896" width="10" style="58" customWidth="1"/>
    <col min="5897" max="6145" width="9.140625" style="58"/>
    <col min="6146" max="6146" width="9" style="58" customWidth="1"/>
    <col min="6147" max="6147" width="6" style="58" customWidth="1"/>
    <col min="6148" max="6148" width="28.140625" style="58" customWidth="1"/>
    <col min="6149" max="6149" width="14.28515625" style="58" customWidth="1"/>
    <col min="6150" max="6150" width="9.7109375" style="58" customWidth="1"/>
    <col min="6151" max="6151" width="11.85546875" style="58" customWidth="1"/>
    <col min="6152" max="6152" width="10" style="58" customWidth="1"/>
    <col min="6153" max="6401" width="9.140625" style="58"/>
    <col min="6402" max="6402" width="9" style="58" customWidth="1"/>
    <col min="6403" max="6403" width="6" style="58" customWidth="1"/>
    <col min="6404" max="6404" width="28.140625" style="58" customWidth="1"/>
    <col min="6405" max="6405" width="14.28515625" style="58" customWidth="1"/>
    <col min="6406" max="6406" width="9.7109375" style="58" customWidth="1"/>
    <col min="6407" max="6407" width="11.85546875" style="58" customWidth="1"/>
    <col min="6408" max="6408" width="10" style="58" customWidth="1"/>
    <col min="6409" max="6657" width="9.140625" style="58"/>
    <col min="6658" max="6658" width="9" style="58" customWidth="1"/>
    <col min="6659" max="6659" width="6" style="58" customWidth="1"/>
    <col min="6660" max="6660" width="28.140625" style="58" customWidth="1"/>
    <col min="6661" max="6661" width="14.28515625" style="58" customWidth="1"/>
    <col min="6662" max="6662" width="9.7109375" style="58" customWidth="1"/>
    <col min="6663" max="6663" width="11.85546875" style="58" customWidth="1"/>
    <col min="6664" max="6664" width="10" style="58" customWidth="1"/>
    <col min="6665" max="6913" width="9.140625" style="58"/>
    <col min="6914" max="6914" width="9" style="58" customWidth="1"/>
    <col min="6915" max="6915" width="6" style="58" customWidth="1"/>
    <col min="6916" max="6916" width="28.140625" style="58" customWidth="1"/>
    <col min="6917" max="6917" width="14.28515625" style="58" customWidth="1"/>
    <col min="6918" max="6918" width="9.7109375" style="58" customWidth="1"/>
    <col min="6919" max="6919" width="11.85546875" style="58" customWidth="1"/>
    <col min="6920" max="6920" width="10" style="58" customWidth="1"/>
    <col min="6921" max="7169" width="9.140625" style="58"/>
    <col min="7170" max="7170" width="9" style="58" customWidth="1"/>
    <col min="7171" max="7171" width="6" style="58" customWidth="1"/>
    <col min="7172" max="7172" width="28.140625" style="58" customWidth="1"/>
    <col min="7173" max="7173" width="14.28515625" style="58" customWidth="1"/>
    <col min="7174" max="7174" width="9.7109375" style="58" customWidth="1"/>
    <col min="7175" max="7175" width="11.85546875" style="58" customWidth="1"/>
    <col min="7176" max="7176" width="10" style="58" customWidth="1"/>
    <col min="7177" max="7425" width="9.140625" style="58"/>
    <col min="7426" max="7426" width="9" style="58" customWidth="1"/>
    <col min="7427" max="7427" width="6" style="58" customWidth="1"/>
    <col min="7428" max="7428" width="28.140625" style="58" customWidth="1"/>
    <col min="7429" max="7429" width="14.28515625" style="58" customWidth="1"/>
    <col min="7430" max="7430" width="9.7109375" style="58" customWidth="1"/>
    <col min="7431" max="7431" width="11.85546875" style="58" customWidth="1"/>
    <col min="7432" max="7432" width="10" style="58" customWidth="1"/>
    <col min="7433" max="7681" width="9.140625" style="58"/>
    <col min="7682" max="7682" width="9" style="58" customWidth="1"/>
    <col min="7683" max="7683" width="6" style="58" customWidth="1"/>
    <col min="7684" max="7684" width="28.140625" style="58" customWidth="1"/>
    <col min="7685" max="7685" width="14.28515625" style="58" customWidth="1"/>
    <col min="7686" max="7686" width="9.7109375" style="58" customWidth="1"/>
    <col min="7687" max="7687" width="11.85546875" style="58" customWidth="1"/>
    <col min="7688" max="7688" width="10" style="58" customWidth="1"/>
    <col min="7689" max="7937" width="9.140625" style="58"/>
    <col min="7938" max="7938" width="9" style="58" customWidth="1"/>
    <col min="7939" max="7939" width="6" style="58" customWidth="1"/>
    <col min="7940" max="7940" width="28.140625" style="58" customWidth="1"/>
    <col min="7941" max="7941" width="14.28515625" style="58" customWidth="1"/>
    <col min="7942" max="7942" width="9.7109375" style="58" customWidth="1"/>
    <col min="7943" max="7943" width="11.85546875" style="58" customWidth="1"/>
    <col min="7944" max="7944" width="10" style="58" customWidth="1"/>
    <col min="7945" max="8193" width="9.140625" style="58"/>
    <col min="8194" max="8194" width="9" style="58" customWidth="1"/>
    <col min="8195" max="8195" width="6" style="58" customWidth="1"/>
    <col min="8196" max="8196" width="28.140625" style="58" customWidth="1"/>
    <col min="8197" max="8197" width="14.28515625" style="58" customWidth="1"/>
    <col min="8198" max="8198" width="9.7109375" style="58" customWidth="1"/>
    <col min="8199" max="8199" width="11.85546875" style="58" customWidth="1"/>
    <col min="8200" max="8200" width="10" style="58" customWidth="1"/>
    <col min="8201" max="8449" width="9.140625" style="58"/>
    <col min="8450" max="8450" width="9" style="58" customWidth="1"/>
    <col min="8451" max="8451" width="6" style="58" customWidth="1"/>
    <col min="8452" max="8452" width="28.140625" style="58" customWidth="1"/>
    <col min="8453" max="8453" width="14.28515625" style="58" customWidth="1"/>
    <col min="8454" max="8454" width="9.7109375" style="58" customWidth="1"/>
    <col min="8455" max="8455" width="11.85546875" style="58" customWidth="1"/>
    <col min="8456" max="8456" width="10" style="58" customWidth="1"/>
    <col min="8457" max="8705" width="9.140625" style="58"/>
    <col min="8706" max="8706" width="9" style="58" customWidth="1"/>
    <col min="8707" max="8707" width="6" style="58" customWidth="1"/>
    <col min="8708" max="8708" width="28.140625" style="58" customWidth="1"/>
    <col min="8709" max="8709" width="14.28515625" style="58" customWidth="1"/>
    <col min="8710" max="8710" width="9.7109375" style="58" customWidth="1"/>
    <col min="8711" max="8711" width="11.85546875" style="58" customWidth="1"/>
    <col min="8712" max="8712" width="10" style="58" customWidth="1"/>
    <col min="8713" max="8961" width="9.140625" style="58"/>
    <col min="8962" max="8962" width="9" style="58" customWidth="1"/>
    <col min="8963" max="8963" width="6" style="58" customWidth="1"/>
    <col min="8964" max="8964" width="28.140625" style="58" customWidth="1"/>
    <col min="8965" max="8965" width="14.28515625" style="58" customWidth="1"/>
    <col min="8966" max="8966" width="9.7109375" style="58" customWidth="1"/>
    <col min="8967" max="8967" width="11.85546875" style="58" customWidth="1"/>
    <col min="8968" max="8968" width="10" style="58" customWidth="1"/>
    <col min="8969" max="9217" width="9.140625" style="58"/>
    <col min="9218" max="9218" width="9" style="58" customWidth="1"/>
    <col min="9219" max="9219" width="6" style="58" customWidth="1"/>
    <col min="9220" max="9220" width="28.140625" style="58" customWidth="1"/>
    <col min="9221" max="9221" width="14.28515625" style="58" customWidth="1"/>
    <col min="9222" max="9222" width="9.7109375" style="58" customWidth="1"/>
    <col min="9223" max="9223" width="11.85546875" style="58" customWidth="1"/>
    <col min="9224" max="9224" width="10" style="58" customWidth="1"/>
    <col min="9225" max="9473" width="9.140625" style="58"/>
    <col min="9474" max="9474" width="9" style="58" customWidth="1"/>
    <col min="9475" max="9475" width="6" style="58" customWidth="1"/>
    <col min="9476" max="9476" width="28.140625" style="58" customWidth="1"/>
    <col min="9477" max="9477" width="14.28515625" style="58" customWidth="1"/>
    <col min="9478" max="9478" width="9.7109375" style="58" customWidth="1"/>
    <col min="9479" max="9479" width="11.85546875" style="58" customWidth="1"/>
    <col min="9480" max="9480" width="10" style="58" customWidth="1"/>
    <col min="9481" max="9729" width="9.140625" style="58"/>
    <col min="9730" max="9730" width="9" style="58" customWidth="1"/>
    <col min="9731" max="9731" width="6" style="58" customWidth="1"/>
    <col min="9732" max="9732" width="28.140625" style="58" customWidth="1"/>
    <col min="9733" max="9733" width="14.28515625" style="58" customWidth="1"/>
    <col min="9734" max="9734" width="9.7109375" style="58" customWidth="1"/>
    <col min="9735" max="9735" width="11.85546875" style="58" customWidth="1"/>
    <col min="9736" max="9736" width="10" style="58" customWidth="1"/>
    <col min="9737" max="9985" width="9.140625" style="58"/>
    <col min="9986" max="9986" width="9" style="58" customWidth="1"/>
    <col min="9987" max="9987" width="6" style="58" customWidth="1"/>
    <col min="9988" max="9988" width="28.140625" style="58" customWidth="1"/>
    <col min="9989" max="9989" width="14.28515625" style="58" customWidth="1"/>
    <col min="9990" max="9990" width="9.7109375" style="58" customWidth="1"/>
    <col min="9991" max="9991" width="11.85546875" style="58" customWidth="1"/>
    <col min="9992" max="9992" width="10" style="58" customWidth="1"/>
    <col min="9993" max="10241" width="9.140625" style="58"/>
    <col min="10242" max="10242" width="9" style="58" customWidth="1"/>
    <col min="10243" max="10243" width="6" style="58" customWidth="1"/>
    <col min="10244" max="10244" width="28.140625" style="58" customWidth="1"/>
    <col min="10245" max="10245" width="14.28515625" style="58" customWidth="1"/>
    <col min="10246" max="10246" width="9.7109375" style="58" customWidth="1"/>
    <col min="10247" max="10247" width="11.85546875" style="58" customWidth="1"/>
    <col min="10248" max="10248" width="10" style="58" customWidth="1"/>
    <col min="10249" max="10497" width="9.140625" style="58"/>
    <col min="10498" max="10498" width="9" style="58" customWidth="1"/>
    <col min="10499" max="10499" width="6" style="58" customWidth="1"/>
    <col min="10500" max="10500" width="28.140625" style="58" customWidth="1"/>
    <col min="10501" max="10501" width="14.28515625" style="58" customWidth="1"/>
    <col min="10502" max="10502" width="9.7109375" style="58" customWidth="1"/>
    <col min="10503" max="10503" width="11.85546875" style="58" customWidth="1"/>
    <col min="10504" max="10504" width="10" style="58" customWidth="1"/>
    <col min="10505" max="10753" width="9.140625" style="58"/>
    <col min="10754" max="10754" width="9" style="58" customWidth="1"/>
    <col min="10755" max="10755" width="6" style="58" customWidth="1"/>
    <col min="10756" max="10756" width="28.140625" style="58" customWidth="1"/>
    <col min="10757" max="10757" width="14.28515625" style="58" customWidth="1"/>
    <col min="10758" max="10758" width="9.7109375" style="58" customWidth="1"/>
    <col min="10759" max="10759" width="11.85546875" style="58" customWidth="1"/>
    <col min="10760" max="10760" width="10" style="58" customWidth="1"/>
    <col min="10761" max="11009" width="9.140625" style="58"/>
    <col min="11010" max="11010" width="9" style="58" customWidth="1"/>
    <col min="11011" max="11011" width="6" style="58" customWidth="1"/>
    <col min="11012" max="11012" width="28.140625" style="58" customWidth="1"/>
    <col min="11013" max="11013" width="14.28515625" style="58" customWidth="1"/>
    <col min="11014" max="11014" width="9.7109375" style="58" customWidth="1"/>
    <col min="11015" max="11015" width="11.85546875" style="58" customWidth="1"/>
    <col min="11016" max="11016" width="10" style="58" customWidth="1"/>
    <col min="11017" max="11265" width="9.140625" style="58"/>
    <col min="11266" max="11266" width="9" style="58" customWidth="1"/>
    <col min="11267" max="11267" width="6" style="58" customWidth="1"/>
    <col min="11268" max="11268" width="28.140625" style="58" customWidth="1"/>
    <col min="11269" max="11269" width="14.28515625" style="58" customWidth="1"/>
    <col min="11270" max="11270" width="9.7109375" style="58" customWidth="1"/>
    <col min="11271" max="11271" width="11.85546875" style="58" customWidth="1"/>
    <col min="11272" max="11272" width="10" style="58" customWidth="1"/>
    <col min="11273" max="11521" width="9.140625" style="58"/>
    <col min="11522" max="11522" width="9" style="58" customWidth="1"/>
    <col min="11523" max="11523" width="6" style="58" customWidth="1"/>
    <col min="11524" max="11524" width="28.140625" style="58" customWidth="1"/>
    <col min="11525" max="11525" width="14.28515625" style="58" customWidth="1"/>
    <col min="11526" max="11526" width="9.7109375" style="58" customWidth="1"/>
    <col min="11527" max="11527" width="11.85546875" style="58" customWidth="1"/>
    <col min="11528" max="11528" width="10" style="58" customWidth="1"/>
    <col min="11529" max="11777" width="9.140625" style="58"/>
    <col min="11778" max="11778" width="9" style="58" customWidth="1"/>
    <col min="11779" max="11779" width="6" style="58" customWidth="1"/>
    <col min="11780" max="11780" width="28.140625" style="58" customWidth="1"/>
    <col min="11781" max="11781" width="14.28515625" style="58" customWidth="1"/>
    <col min="11782" max="11782" width="9.7109375" style="58" customWidth="1"/>
    <col min="11783" max="11783" width="11.85546875" style="58" customWidth="1"/>
    <col min="11784" max="11784" width="10" style="58" customWidth="1"/>
    <col min="11785" max="12033" width="9.140625" style="58"/>
    <col min="12034" max="12034" width="9" style="58" customWidth="1"/>
    <col min="12035" max="12035" width="6" style="58" customWidth="1"/>
    <col min="12036" max="12036" width="28.140625" style="58" customWidth="1"/>
    <col min="12037" max="12037" width="14.28515625" style="58" customWidth="1"/>
    <col min="12038" max="12038" width="9.7109375" style="58" customWidth="1"/>
    <col min="12039" max="12039" width="11.85546875" style="58" customWidth="1"/>
    <col min="12040" max="12040" width="10" style="58" customWidth="1"/>
    <col min="12041" max="12289" width="9.140625" style="58"/>
    <col min="12290" max="12290" width="9" style="58" customWidth="1"/>
    <col min="12291" max="12291" width="6" style="58" customWidth="1"/>
    <col min="12292" max="12292" width="28.140625" style="58" customWidth="1"/>
    <col min="12293" max="12293" width="14.28515625" style="58" customWidth="1"/>
    <col min="12294" max="12294" width="9.7109375" style="58" customWidth="1"/>
    <col min="12295" max="12295" width="11.85546875" style="58" customWidth="1"/>
    <col min="12296" max="12296" width="10" style="58" customWidth="1"/>
    <col min="12297" max="12545" width="9.140625" style="58"/>
    <col min="12546" max="12546" width="9" style="58" customWidth="1"/>
    <col min="12547" max="12547" width="6" style="58" customWidth="1"/>
    <col min="12548" max="12548" width="28.140625" style="58" customWidth="1"/>
    <col min="12549" max="12549" width="14.28515625" style="58" customWidth="1"/>
    <col min="12550" max="12550" width="9.7109375" style="58" customWidth="1"/>
    <col min="12551" max="12551" width="11.85546875" style="58" customWidth="1"/>
    <col min="12552" max="12552" width="10" style="58" customWidth="1"/>
    <col min="12553" max="12801" width="9.140625" style="58"/>
    <col min="12802" max="12802" width="9" style="58" customWidth="1"/>
    <col min="12803" max="12803" width="6" style="58" customWidth="1"/>
    <col min="12804" max="12804" width="28.140625" style="58" customWidth="1"/>
    <col min="12805" max="12805" width="14.28515625" style="58" customWidth="1"/>
    <col min="12806" max="12806" width="9.7109375" style="58" customWidth="1"/>
    <col min="12807" max="12807" width="11.85546875" style="58" customWidth="1"/>
    <col min="12808" max="12808" width="10" style="58" customWidth="1"/>
    <col min="12809" max="13057" width="9.140625" style="58"/>
    <col min="13058" max="13058" width="9" style="58" customWidth="1"/>
    <col min="13059" max="13059" width="6" style="58" customWidth="1"/>
    <col min="13060" max="13060" width="28.140625" style="58" customWidth="1"/>
    <col min="13061" max="13061" width="14.28515625" style="58" customWidth="1"/>
    <col min="13062" max="13062" width="9.7109375" style="58" customWidth="1"/>
    <col min="13063" max="13063" width="11.85546875" style="58" customWidth="1"/>
    <col min="13064" max="13064" width="10" style="58" customWidth="1"/>
    <col min="13065" max="13313" width="9.140625" style="58"/>
    <col min="13314" max="13314" width="9" style="58" customWidth="1"/>
    <col min="13315" max="13315" width="6" style="58" customWidth="1"/>
    <col min="13316" max="13316" width="28.140625" style="58" customWidth="1"/>
    <col min="13317" max="13317" width="14.28515625" style="58" customWidth="1"/>
    <col min="13318" max="13318" width="9.7109375" style="58" customWidth="1"/>
    <col min="13319" max="13319" width="11.85546875" style="58" customWidth="1"/>
    <col min="13320" max="13320" width="10" style="58" customWidth="1"/>
    <col min="13321" max="13569" width="9.140625" style="58"/>
    <col min="13570" max="13570" width="9" style="58" customWidth="1"/>
    <col min="13571" max="13571" width="6" style="58" customWidth="1"/>
    <col min="13572" max="13572" width="28.140625" style="58" customWidth="1"/>
    <col min="13573" max="13573" width="14.28515625" style="58" customWidth="1"/>
    <col min="13574" max="13574" width="9.7109375" style="58" customWidth="1"/>
    <col min="13575" max="13575" width="11.85546875" style="58" customWidth="1"/>
    <col min="13576" max="13576" width="10" style="58" customWidth="1"/>
    <col min="13577" max="13825" width="9.140625" style="58"/>
    <col min="13826" max="13826" width="9" style="58" customWidth="1"/>
    <col min="13827" max="13827" width="6" style="58" customWidth="1"/>
    <col min="13828" max="13828" width="28.140625" style="58" customWidth="1"/>
    <col min="13829" max="13829" width="14.28515625" style="58" customWidth="1"/>
    <col min="13830" max="13830" width="9.7109375" style="58" customWidth="1"/>
    <col min="13831" max="13831" width="11.85546875" style="58" customWidth="1"/>
    <col min="13832" max="13832" width="10" style="58" customWidth="1"/>
    <col min="13833" max="14081" width="9.140625" style="58"/>
    <col min="14082" max="14082" width="9" style="58" customWidth="1"/>
    <col min="14083" max="14083" width="6" style="58" customWidth="1"/>
    <col min="14084" max="14084" width="28.140625" style="58" customWidth="1"/>
    <col min="14085" max="14085" width="14.28515625" style="58" customWidth="1"/>
    <col min="14086" max="14086" width="9.7109375" style="58" customWidth="1"/>
    <col min="14087" max="14087" width="11.85546875" style="58" customWidth="1"/>
    <col min="14088" max="14088" width="10" style="58" customWidth="1"/>
    <col min="14089" max="14337" width="9.140625" style="58"/>
    <col min="14338" max="14338" width="9" style="58" customWidth="1"/>
    <col min="14339" max="14339" width="6" style="58" customWidth="1"/>
    <col min="14340" max="14340" width="28.140625" style="58" customWidth="1"/>
    <col min="14341" max="14341" width="14.28515625" style="58" customWidth="1"/>
    <col min="14342" max="14342" width="9.7109375" style="58" customWidth="1"/>
    <col min="14343" max="14343" width="11.85546875" style="58" customWidth="1"/>
    <col min="14344" max="14344" width="10" style="58" customWidth="1"/>
    <col min="14345" max="14593" width="9.140625" style="58"/>
    <col min="14594" max="14594" width="9" style="58" customWidth="1"/>
    <col min="14595" max="14595" width="6" style="58" customWidth="1"/>
    <col min="14596" max="14596" width="28.140625" style="58" customWidth="1"/>
    <col min="14597" max="14597" width="14.28515625" style="58" customWidth="1"/>
    <col min="14598" max="14598" width="9.7109375" style="58" customWidth="1"/>
    <col min="14599" max="14599" width="11.85546875" style="58" customWidth="1"/>
    <col min="14600" max="14600" width="10" style="58" customWidth="1"/>
    <col min="14601" max="14849" width="9.140625" style="58"/>
    <col min="14850" max="14850" width="9" style="58" customWidth="1"/>
    <col min="14851" max="14851" width="6" style="58" customWidth="1"/>
    <col min="14852" max="14852" width="28.140625" style="58" customWidth="1"/>
    <col min="14853" max="14853" width="14.28515625" style="58" customWidth="1"/>
    <col min="14854" max="14854" width="9.7109375" style="58" customWidth="1"/>
    <col min="14855" max="14855" width="11.85546875" style="58" customWidth="1"/>
    <col min="14856" max="14856" width="10" style="58" customWidth="1"/>
    <col min="14857" max="15105" width="9.140625" style="58"/>
    <col min="15106" max="15106" width="9" style="58" customWidth="1"/>
    <col min="15107" max="15107" width="6" style="58" customWidth="1"/>
    <col min="15108" max="15108" width="28.140625" style="58" customWidth="1"/>
    <col min="15109" max="15109" width="14.28515625" style="58" customWidth="1"/>
    <col min="15110" max="15110" width="9.7109375" style="58" customWidth="1"/>
    <col min="15111" max="15111" width="11.85546875" style="58" customWidth="1"/>
    <col min="15112" max="15112" width="10" style="58" customWidth="1"/>
    <col min="15113" max="15361" width="9.140625" style="58"/>
    <col min="15362" max="15362" width="9" style="58" customWidth="1"/>
    <col min="15363" max="15363" width="6" style="58" customWidth="1"/>
    <col min="15364" max="15364" width="28.140625" style="58" customWidth="1"/>
    <col min="15365" max="15365" width="14.28515625" style="58" customWidth="1"/>
    <col min="15366" max="15366" width="9.7109375" style="58" customWidth="1"/>
    <col min="15367" max="15367" width="11.85546875" style="58" customWidth="1"/>
    <col min="15368" max="15368" width="10" style="58" customWidth="1"/>
    <col min="15369" max="15617" width="9.140625" style="58"/>
    <col min="15618" max="15618" width="9" style="58" customWidth="1"/>
    <col min="15619" max="15619" width="6" style="58" customWidth="1"/>
    <col min="15620" max="15620" width="28.140625" style="58" customWidth="1"/>
    <col min="15621" max="15621" width="14.28515625" style="58" customWidth="1"/>
    <col min="15622" max="15622" width="9.7109375" style="58" customWidth="1"/>
    <col min="15623" max="15623" width="11.85546875" style="58" customWidth="1"/>
    <col min="15624" max="15624" width="10" style="58" customWidth="1"/>
    <col min="15625" max="15873" width="9.140625" style="58"/>
    <col min="15874" max="15874" width="9" style="58" customWidth="1"/>
    <col min="15875" max="15875" width="6" style="58" customWidth="1"/>
    <col min="15876" max="15876" width="28.140625" style="58" customWidth="1"/>
    <col min="15877" max="15877" width="14.28515625" style="58" customWidth="1"/>
    <col min="15878" max="15878" width="9.7109375" style="58" customWidth="1"/>
    <col min="15879" max="15879" width="11.85546875" style="58" customWidth="1"/>
    <col min="15880" max="15880" width="10" style="58" customWidth="1"/>
    <col min="15881" max="16129" width="9.140625" style="58"/>
    <col min="16130" max="16130" width="9" style="58" customWidth="1"/>
    <col min="16131" max="16131" width="6" style="58" customWidth="1"/>
    <col min="16132" max="16132" width="28.140625" style="58" customWidth="1"/>
    <col min="16133" max="16133" width="14.28515625" style="58" customWidth="1"/>
    <col min="16134" max="16134" width="9.7109375" style="58" customWidth="1"/>
    <col min="16135" max="16135" width="11.85546875" style="58" customWidth="1"/>
    <col min="16136" max="16136" width="10" style="58" customWidth="1"/>
    <col min="16137" max="16384" width="9.140625" style="58"/>
  </cols>
  <sheetData>
    <row r="1" spans="1:12" ht="28.5" customHeight="1">
      <c r="A1" s="562" t="s">
        <v>467</v>
      </c>
      <c r="B1" s="562"/>
      <c r="C1" s="562"/>
      <c r="D1" s="562"/>
      <c r="E1" s="562"/>
      <c r="F1" s="562"/>
      <c r="G1" s="562"/>
      <c r="H1" s="562"/>
      <c r="I1" s="369"/>
      <c r="J1" s="59"/>
    </row>
    <row r="2" spans="1:12" ht="28.5" customHeight="1">
      <c r="A2" s="353" t="s">
        <v>326</v>
      </c>
      <c r="B2" s="353" t="s">
        <v>327</v>
      </c>
      <c r="C2" s="562" t="s">
        <v>81</v>
      </c>
      <c r="D2" s="562"/>
      <c r="E2" s="435" t="s">
        <v>73</v>
      </c>
      <c r="F2" s="435" t="s">
        <v>82</v>
      </c>
      <c r="G2" s="435" t="s">
        <v>18</v>
      </c>
      <c r="H2" s="435" t="s">
        <v>19</v>
      </c>
      <c r="I2" s="192"/>
      <c r="J2" s="59"/>
    </row>
    <row r="3" spans="1:12" s="52" customFormat="1" ht="15" customHeight="1">
      <c r="A3" s="559">
        <v>1</v>
      </c>
      <c r="B3" s="563" t="s">
        <v>20</v>
      </c>
      <c r="C3" s="572" t="s">
        <v>42</v>
      </c>
      <c r="D3" s="572"/>
      <c r="E3" s="572"/>
      <c r="F3" s="572"/>
      <c r="G3" s="572"/>
      <c r="H3" s="572"/>
      <c r="I3" s="111"/>
      <c r="J3" s="61"/>
    </row>
    <row r="4" spans="1:12" s="52" customFormat="1" ht="15" customHeight="1">
      <c r="A4" s="560"/>
      <c r="B4" s="563"/>
      <c r="C4" s="572"/>
      <c r="D4" s="572"/>
      <c r="E4" s="572"/>
      <c r="F4" s="572"/>
      <c r="G4" s="572"/>
      <c r="H4" s="572"/>
      <c r="I4" s="111"/>
      <c r="J4" s="61"/>
    </row>
    <row r="5" spans="1:12" s="52" customFormat="1" ht="30" customHeight="1">
      <c r="A5" s="561"/>
      <c r="B5" s="563"/>
      <c r="C5" s="572"/>
      <c r="D5" s="572"/>
      <c r="E5" s="572"/>
      <c r="F5" s="572"/>
      <c r="G5" s="572"/>
      <c r="H5" s="572"/>
      <c r="I5" s="366"/>
      <c r="J5" s="62"/>
    </row>
    <row r="6" spans="1:12" s="52" customFormat="1" ht="15" customHeight="1">
      <c r="B6" s="216"/>
      <c r="C6" s="112" t="s">
        <v>77</v>
      </c>
      <c r="D6" s="113"/>
      <c r="E6" s="459"/>
      <c r="F6" s="460"/>
      <c r="G6" s="460"/>
      <c r="H6" s="460"/>
      <c r="I6" s="366"/>
      <c r="J6" s="62"/>
    </row>
    <row r="7" spans="1:12" s="52" customFormat="1" ht="15" customHeight="1">
      <c r="B7" s="216"/>
      <c r="C7" s="113" t="s">
        <v>72</v>
      </c>
      <c r="D7" s="113"/>
      <c r="E7" s="459"/>
      <c r="F7" s="460"/>
      <c r="G7" s="460"/>
      <c r="H7" s="460"/>
      <c r="I7" s="366"/>
      <c r="J7" s="62"/>
      <c r="L7" s="52" t="s">
        <v>0</v>
      </c>
    </row>
    <row r="8" spans="1:12" s="52" customFormat="1" ht="18.75" customHeight="1">
      <c r="B8" s="217" t="s">
        <v>75</v>
      </c>
      <c r="C8" s="571" t="s">
        <v>78</v>
      </c>
      <c r="D8" s="571"/>
      <c r="E8" s="461" t="s">
        <v>73</v>
      </c>
      <c r="F8" s="479">
        <v>240</v>
      </c>
      <c r="G8" s="460" t="s">
        <v>74</v>
      </c>
      <c r="H8" s="460"/>
      <c r="I8" s="366"/>
      <c r="J8" s="62"/>
    </row>
    <row r="9" spans="1:12" s="52" customFormat="1" ht="15" customHeight="1">
      <c r="B9" s="216"/>
      <c r="C9" s="112" t="s">
        <v>79</v>
      </c>
      <c r="D9" s="114"/>
      <c r="E9" s="459"/>
      <c r="F9" s="460"/>
      <c r="G9" s="460"/>
      <c r="H9" s="460"/>
      <c r="I9" s="366"/>
      <c r="J9" s="62"/>
    </row>
    <row r="10" spans="1:12" s="52" customFormat="1" ht="15" customHeight="1">
      <c r="B10" s="216"/>
      <c r="C10" s="115" t="s">
        <v>80</v>
      </c>
      <c r="D10" s="116" t="s">
        <v>81</v>
      </c>
      <c r="E10" s="462" t="s">
        <v>73</v>
      </c>
      <c r="F10" s="462" t="s">
        <v>82</v>
      </c>
      <c r="G10" s="463" t="s">
        <v>18</v>
      </c>
      <c r="H10" s="464" t="s">
        <v>19</v>
      </c>
      <c r="I10" s="366"/>
      <c r="J10" s="62"/>
    </row>
    <row r="11" spans="1:12" s="52" customFormat="1" ht="15.75">
      <c r="B11" s="216"/>
      <c r="C11" s="118"/>
      <c r="D11" s="119"/>
      <c r="E11" s="465"/>
      <c r="F11" s="465"/>
      <c r="G11" s="466" t="s">
        <v>83</v>
      </c>
      <c r="H11" s="467" t="s">
        <v>83</v>
      </c>
      <c r="I11" s="366"/>
      <c r="J11" s="62"/>
    </row>
    <row r="12" spans="1:12" s="52" customFormat="1" ht="15.75">
      <c r="B12" s="216"/>
      <c r="C12" s="123"/>
      <c r="D12" s="124" t="s">
        <v>84</v>
      </c>
      <c r="E12" s="468"/>
      <c r="F12" s="480">
        <v>0</v>
      </c>
      <c r="G12" s="480">
        <v>0</v>
      </c>
      <c r="H12" s="469">
        <v>0</v>
      </c>
      <c r="I12" s="366"/>
      <c r="J12" s="62"/>
    </row>
    <row r="13" spans="1:12" s="52" customFormat="1" ht="15.75">
      <c r="B13" s="216"/>
      <c r="C13" s="113"/>
      <c r="D13" s="114"/>
      <c r="E13" s="459"/>
      <c r="F13" s="460"/>
      <c r="G13" s="460"/>
      <c r="H13" s="460"/>
      <c r="I13" s="366"/>
      <c r="J13" s="62"/>
    </row>
    <row r="14" spans="1:12" s="52" customFormat="1" ht="15.75">
      <c r="B14" s="216"/>
      <c r="C14" s="125" t="s">
        <v>85</v>
      </c>
      <c r="D14" s="126"/>
      <c r="E14" s="470"/>
      <c r="F14" s="471"/>
      <c r="G14" s="471"/>
      <c r="H14" s="471"/>
      <c r="I14" s="366"/>
      <c r="J14" s="62"/>
    </row>
    <row r="15" spans="1:12" s="52" customFormat="1" ht="15.75">
      <c r="B15" s="217"/>
      <c r="C15" s="127" t="s">
        <v>80</v>
      </c>
      <c r="D15" s="128" t="s">
        <v>81</v>
      </c>
      <c r="E15" s="472" t="s">
        <v>73</v>
      </c>
      <c r="F15" s="472" t="s">
        <v>82</v>
      </c>
      <c r="G15" s="472" t="s">
        <v>18</v>
      </c>
      <c r="H15" s="473" t="s">
        <v>19</v>
      </c>
      <c r="I15" s="137"/>
    </row>
    <row r="16" spans="1:12" s="52" customFormat="1" ht="15.75">
      <c r="B16" s="217"/>
      <c r="C16" s="118"/>
      <c r="D16" s="130"/>
      <c r="E16" s="474"/>
      <c r="F16" s="474"/>
      <c r="G16" s="474" t="s">
        <v>83</v>
      </c>
      <c r="H16" s="467" t="s">
        <v>83</v>
      </c>
      <c r="I16" s="137"/>
    </row>
    <row r="17" spans="2:10" s="52" customFormat="1" ht="31.5">
      <c r="B17" s="216"/>
      <c r="C17" s="132">
        <v>1</v>
      </c>
      <c r="D17" s="133" t="s">
        <v>86</v>
      </c>
      <c r="E17" s="475" t="s">
        <v>87</v>
      </c>
      <c r="F17" s="481">
        <v>6</v>
      </c>
      <c r="G17" s="481">
        <v>1964.8</v>
      </c>
      <c r="H17" s="476">
        <f>G17*F17</f>
        <v>11788.8</v>
      </c>
      <c r="I17" s="366"/>
      <c r="J17" s="62"/>
    </row>
    <row r="18" spans="2:10" s="52" customFormat="1" ht="15.75">
      <c r="B18" s="216"/>
      <c r="C18" s="134"/>
      <c r="D18" s="133" t="s">
        <v>88</v>
      </c>
      <c r="E18" s="475" t="s">
        <v>87</v>
      </c>
      <c r="F18" s="481">
        <v>6</v>
      </c>
      <c r="G18" s="481">
        <v>1570.3</v>
      </c>
      <c r="H18" s="476">
        <f>G18*F18</f>
        <v>9421.7999999999993</v>
      </c>
      <c r="I18" s="366"/>
      <c r="J18" s="62"/>
    </row>
    <row r="19" spans="2:10" s="52" customFormat="1" ht="15.75">
      <c r="B19" s="216"/>
      <c r="C19" s="134"/>
      <c r="D19" s="135" t="s">
        <v>89</v>
      </c>
      <c r="E19" s="477"/>
      <c r="F19" s="482"/>
      <c r="G19" s="483"/>
      <c r="H19" s="478">
        <f>SUM(H17:H18)</f>
        <v>21210.6</v>
      </c>
      <c r="I19" s="366"/>
      <c r="J19" s="62"/>
    </row>
    <row r="20" spans="2:10" s="52" customFormat="1" ht="15.75">
      <c r="B20" s="216"/>
      <c r="C20" s="136"/>
      <c r="D20" s="114"/>
      <c r="E20" s="459"/>
      <c r="F20" s="460"/>
      <c r="G20" s="460"/>
      <c r="H20" s="479"/>
      <c r="I20" s="366"/>
      <c r="J20" s="62"/>
    </row>
    <row r="21" spans="2:10" s="52" customFormat="1" ht="15.75">
      <c r="B21" s="216"/>
      <c r="C21" s="125" t="s">
        <v>90</v>
      </c>
      <c r="D21" s="126"/>
      <c r="E21" s="470"/>
      <c r="F21" s="471"/>
      <c r="G21" s="471"/>
      <c r="H21" s="471"/>
      <c r="I21" s="366"/>
      <c r="J21" s="62"/>
    </row>
    <row r="22" spans="2:10" s="52" customFormat="1" ht="15.75">
      <c r="B22" s="217"/>
      <c r="C22" s="127" t="s">
        <v>80</v>
      </c>
      <c r="D22" s="128" t="s">
        <v>81</v>
      </c>
      <c r="E22" s="472" t="s">
        <v>73</v>
      </c>
      <c r="F22" s="472" t="s">
        <v>82</v>
      </c>
      <c r="G22" s="472" t="s">
        <v>18</v>
      </c>
      <c r="H22" s="473" t="s">
        <v>19</v>
      </c>
      <c r="I22" s="137"/>
    </row>
    <row r="23" spans="2:10" s="52" customFormat="1" ht="15.75">
      <c r="B23" s="217"/>
      <c r="C23" s="118"/>
      <c r="D23" s="130"/>
      <c r="E23" s="474"/>
      <c r="F23" s="474"/>
      <c r="G23" s="474" t="s">
        <v>83</v>
      </c>
      <c r="H23" s="467" t="s">
        <v>83</v>
      </c>
      <c r="I23" s="137"/>
    </row>
    <row r="24" spans="2:10" s="52" customFormat="1" ht="15.75">
      <c r="B24" s="216"/>
      <c r="C24" s="132">
        <v>1</v>
      </c>
      <c r="D24" s="133" t="s">
        <v>91</v>
      </c>
      <c r="E24" s="475" t="s">
        <v>92</v>
      </c>
      <c r="F24" s="481">
        <v>0.32</v>
      </c>
      <c r="G24" s="481">
        <v>845</v>
      </c>
      <c r="H24" s="476">
        <f>G24*F24</f>
        <v>270.39999999999998</v>
      </c>
      <c r="I24" s="366"/>
      <c r="J24" s="62"/>
    </row>
    <row r="25" spans="2:10" s="52" customFormat="1" ht="15.75">
      <c r="B25" s="216"/>
      <c r="C25" s="132">
        <v>2</v>
      </c>
      <c r="D25" s="133" t="s">
        <v>93</v>
      </c>
      <c r="E25" s="475" t="s">
        <v>92</v>
      </c>
      <c r="F25" s="481">
        <v>8</v>
      </c>
      <c r="G25" s="481">
        <v>635</v>
      </c>
      <c r="H25" s="476">
        <f>G25*F25</f>
        <v>5080</v>
      </c>
      <c r="I25" s="366"/>
      <c r="J25" s="62"/>
    </row>
    <row r="26" spans="2:10" s="52" customFormat="1" ht="15.75">
      <c r="B26" s="216"/>
      <c r="C26" s="132">
        <v>3</v>
      </c>
      <c r="D26" s="133" t="s">
        <v>94</v>
      </c>
      <c r="E26" s="475" t="s">
        <v>87</v>
      </c>
      <c r="F26" s="481">
        <v>6</v>
      </c>
      <c r="G26" s="481">
        <v>392.6</v>
      </c>
      <c r="H26" s="476">
        <f>G26*F26</f>
        <v>2355.6000000000004</v>
      </c>
      <c r="I26" s="366"/>
      <c r="J26" s="62"/>
    </row>
    <row r="27" spans="2:10" s="52" customFormat="1" ht="15.75">
      <c r="B27" s="216"/>
      <c r="C27" s="132"/>
      <c r="D27" s="133" t="s">
        <v>89</v>
      </c>
      <c r="E27" s="475"/>
      <c r="F27" s="481"/>
      <c r="G27" s="481"/>
      <c r="H27" s="478">
        <f>SUM(H24:H26)</f>
        <v>7706</v>
      </c>
      <c r="I27" s="366"/>
      <c r="J27" s="62"/>
    </row>
    <row r="28" spans="2:10" s="52" customFormat="1" ht="15.75">
      <c r="B28" s="216"/>
      <c r="C28" s="138" t="s">
        <v>95</v>
      </c>
      <c r="D28" s="113"/>
      <c r="E28" s="455"/>
      <c r="F28" s="449">
        <f>H27/240</f>
        <v>32.108333333333334</v>
      </c>
      <c r="G28" s="455"/>
      <c r="H28" s="455"/>
      <c r="I28" s="366"/>
      <c r="J28" s="62"/>
    </row>
    <row r="29" spans="2:10" s="52" customFormat="1" ht="15.75">
      <c r="B29" s="216"/>
      <c r="C29" s="138" t="s">
        <v>96</v>
      </c>
      <c r="D29" s="113"/>
      <c r="E29" s="486">
        <v>0.13614999999999999</v>
      </c>
      <c r="F29" s="449">
        <f>E29*F28</f>
        <v>4.3715495833333335</v>
      </c>
      <c r="G29" s="455"/>
      <c r="H29" s="455"/>
      <c r="I29" s="366"/>
      <c r="J29" s="62"/>
    </row>
    <row r="30" spans="2:10" s="52" customFormat="1" ht="15.75">
      <c r="B30" s="216"/>
      <c r="C30" s="138" t="s">
        <v>97</v>
      </c>
      <c r="D30" s="113"/>
      <c r="E30" s="455"/>
      <c r="F30" s="487">
        <f>SUM(F28:F29)</f>
        <v>36.479882916666668</v>
      </c>
      <c r="G30" s="455"/>
      <c r="H30" s="455"/>
      <c r="I30" s="366"/>
      <c r="J30" s="62"/>
    </row>
    <row r="31" spans="2:10" s="52" customFormat="1" ht="15.75">
      <c r="B31" s="216"/>
      <c r="C31" s="136"/>
      <c r="D31" s="114"/>
      <c r="E31" s="459"/>
      <c r="F31" s="460"/>
      <c r="G31" s="460"/>
      <c r="H31" s="460"/>
      <c r="I31" s="366"/>
      <c r="J31" s="62"/>
    </row>
    <row r="32" spans="2:10" s="52" customFormat="1" ht="15.75">
      <c r="B32" s="216"/>
      <c r="C32" s="112" t="s">
        <v>98</v>
      </c>
      <c r="D32" s="113"/>
      <c r="E32" s="459"/>
      <c r="F32" s="460"/>
      <c r="G32" s="460"/>
      <c r="H32" s="460"/>
      <c r="I32" s="366"/>
      <c r="J32" s="62"/>
    </row>
    <row r="33" spans="1:10" s="52" customFormat="1" ht="15.75">
      <c r="B33" s="216"/>
      <c r="C33" s="113" t="s">
        <v>99</v>
      </c>
      <c r="D33" s="113"/>
      <c r="E33" s="459"/>
      <c r="F33" s="460"/>
      <c r="G33" s="460" t="s">
        <v>100</v>
      </c>
      <c r="H33" s="460">
        <v>0</v>
      </c>
      <c r="I33" s="366"/>
      <c r="J33" s="62"/>
    </row>
    <row r="34" spans="1:10" s="52" customFormat="1" ht="15.75">
      <c r="B34" s="216"/>
      <c r="C34" s="113" t="s">
        <v>101</v>
      </c>
      <c r="D34" s="113"/>
      <c r="E34" s="459"/>
      <c r="F34" s="460"/>
      <c r="G34" s="460" t="s">
        <v>100</v>
      </c>
      <c r="H34" s="460">
        <f>H19</f>
        <v>21210.6</v>
      </c>
      <c r="I34" s="366"/>
      <c r="J34" s="62"/>
    </row>
    <row r="35" spans="1:10" s="52" customFormat="1" ht="15.75">
      <c r="B35" s="216"/>
      <c r="C35" s="113" t="s">
        <v>102</v>
      </c>
      <c r="D35" s="113"/>
      <c r="E35" s="459"/>
      <c r="F35" s="460"/>
      <c r="G35" s="460" t="s">
        <v>100</v>
      </c>
      <c r="H35" s="460">
        <f>H27</f>
        <v>7706</v>
      </c>
      <c r="I35" s="366"/>
      <c r="J35" s="62"/>
    </row>
    <row r="36" spans="1:10" s="52" customFormat="1" ht="15.75">
      <c r="B36" s="216"/>
      <c r="C36" s="113" t="s">
        <v>103</v>
      </c>
      <c r="D36" s="113"/>
      <c r="E36" s="459"/>
      <c r="F36" s="460"/>
      <c r="G36" s="460" t="s">
        <v>100</v>
      </c>
      <c r="H36" s="482">
        <f>SUM(H33:H35)</f>
        <v>28916.6</v>
      </c>
      <c r="I36" s="366"/>
      <c r="J36" s="62"/>
    </row>
    <row r="37" spans="1:10" s="52" customFormat="1" ht="15.75">
      <c r="B37" s="216"/>
      <c r="C37" s="138" t="s">
        <v>104</v>
      </c>
      <c r="D37" s="138"/>
      <c r="E37" s="455"/>
      <c r="F37" s="486">
        <v>0.13614999999999999</v>
      </c>
      <c r="G37" s="455" t="s">
        <v>105</v>
      </c>
      <c r="H37" s="449">
        <f>F37*H36</f>
        <v>3936.9950899999994</v>
      </c>
      <c r="I37" s="366"/>
      <c r="J37" s="62"/>
    </row>
    <row r="38" spans="1:10" s="52" customFormat="1" ht="15.75">
      <c r="B38" s="216"/>
      <c r="C38" s="138" t="s">
        <v>106</v>
      </c>
      <c r="D38" s="138"/>
      <c r="E38" s="449">
        <v>240</v>
      </c>
      <c r="F38" s="449" t="s">
        <v>74</v>
      </c>
      <c r="G38" s="455" t="s">
        <v>105</v>
      </c>
      <c r="H38" s="479">
        <f>SUM(H36:H37)</f>
        <v>32853.595089999995</v>
      </c>
      <c r="I38" s="366"/>
      <c r="J38" s="62"/>
    </row>
    <row r="39" spans="1:10" s="52" customFormat="1" ht="15.75">
      <c r="B39" s="216"/>
      <c r="C39" s="141" t="s">
        <v>215</v>
      </c>
      <c r="D39" s="142"/>
      <c r="E39" s="455" t="s">
        <v>108</v>
      </c>
      <c r="F39" s="455"/>
      <c r="G39" s="455" t="s">
        <v>109</v>
      </c>
      <c r="H39" s="186">
        <f>H38/240</f>
        <v>136.88997954166663</v>
      </c>
      <c r="I39" s="137"/>
      <c r="J39" s="62"/>
    </row>
    <row r="40" spans="1:10" ht="20.25" customHeight="1">
      <c r="A40" s="192"/>
      <c r="B40" s="218"/>
      <c r="C40" s="108"/>
      <c r="D40" s="108"/>
      <c r="E40" s="108"/>
      <c r="F40" s="108"/>
      <c r="G40" s="108" t="s">
        <v>110</v>
      </c>
      <c r="H40" s="144">
        <f>ROUND(H39,1)</f>
        <v>136.9</v>
      </c>
      <c r="I40" s="108"/>
    </row>
    <row r="41" spans="1:10" ht="12.75" customHeight="1">
      <c r="A41" s="558">
        <v>2</v>
      </c>
      <c r="B41" s="564" t="s">
        <v>23</v>
      </c>
      <c r="C41" s="568" t="s">
        <v>50</v>
      </c>
      <c r="D41" s="568"/>
      <c r="E41" s="568"/>
      <c r="F41" s="568"/>
      <c r="G41" s="568"/>
      <c r="H41" s="568"/>
      <c r="I41" s="145"/>
    </row>
    <row r="42" spans="1:10" ht="15.75">
      <c r="A42" s="558"/>
      <c r="B42" s="564"/>
      <c r="C42" s="568"/>
      <c r="D42" s="568"/>
      <c r="E42" s="568"/>
      <c r="F42" s="568"/>
      <c r="G42" s="568"/>
      <c r="H42" s="568"/>
      <c r="I42" s="145"/>
    </row>
    <row r="43" spans="1:10" ht="15.75">
      <c r="A43" s="558"/>
      <c r="B43" s="564"/>
      <c r="C43" s="568"/>
      <c r="D43" s="568"/>
      <c r="E43" s="568"/>
      <c r="F43" s="568"/>
      <c r="G43" s="568"/>
      <c r="H43" s="568"/>
      <c r="I43" s="145"/>
    </row>
    <row r="44" spans="1:10" ht="15.75">
      <c r="A44" s="558"/>
      <c r="B44" s="564"/>
      <c r="C44" s="568"/>
      <c r="D44" s="568"/>
      <c r="E44" s="568"/>
      <c r="F44" s="568"/>
      <c r="G44" s="568"/>
      <c r="H44" s="568"/>
      <c r="I44" s="145"/>
    </row>
    <row r="45" spans="1:10" ht="15.75">
      <c r="A45" s="558"/>
      <c r="B45" s="564"/>
      <c r="C45" s="568"/>
      <c r="D45" s="568"/>
      <c r="E45" s="568"/>
      <c r="F45" s="568"/>
      <c r="G45" s="568"/>
      <c r="H45" s="568"/>
      <c r="I45" s="145"/>
    </row>
    <row r="46" spans="1:10" ht="15.75">
      <c r="A46" s="558"/>
      <c r="B46" s="564"/>
      <c r="C46" s="568"/>
      <c r="D46" s="568"/>
      <c r="E46" s="568"/>
      <c r="F46" s="568"/>
      <c r="G46" s="568"/>
      <c r="H46" s="568"/>
      <c r="I46" s="145"/>
    </row>
    <row r="47" spans="1:10" ht="15.75">
      <c r="B47" s="219"/>
      <c r="C47" s="568"/>
      <c r="D47" s="568"/>
      <c r="E47" s="568"/>
      <c r="F47" s="568"/>
      <c r="G47" s="568"/>
      <c r="H47" s="568"/>
      <c r="I47" s="145"/>
    </row>
    <row r="48" spans="1:10" ht="15.75">
      <c r="B48" s="219"/>
      <c r="C48" s="568"/>
      <c r="D48" s="568"/>
      <c r="E48" s="568"/>
      <c r="F48" s="568"/>
      <c r="G48" s="568"/>
      <c r="H48" s="568"/>
      <c r="I48" s="145"/>
    </row>
    <row r="49" spans="2:12" ht="20.25" customHeight="1">
      <c r="B49" s="219" t="s">
        <v>75</v>
      </c>
      <c r="C49" s="146"/>
      <c r="D49" s="147"/>
      <c r="E49" s="145"/>
      <c r="F49" s="148"/>
      <c r="G49" s="149"/>
      <c r="H49" s="146"/>
      <c r="I49" s="145"/>
    </row>
    <row r="50" spans="2:12" ht="20.25" customHeight="1">
      <c r="B50" s="220"/>
      <c r="C50" s="146"/>
      <c r="D50" s="147" t="s">
        <v>76</v>
      </c>
      <c r="E50" s="146"/>
      <c r="F50" s="146" t="s">
        <v>111</v>
      </c>
      <c r="G50" s="170">
        <v>15.38</v>
      </c>
      <c r="H50" s="146" t="s">
        <v>74</v>
      </c>
      <c r="I50" s="145"/>
    </row>
    <row r="51" spans="2:12" ht="20.25" customHeight="1">
      <c r="B51" s="220"/>
      <c r="C51" s="150" t="s">
        <v>112</v>
      </c>
      <c r="D51" s="145"/>
      <c r="E51" s="146"/>
      <c r="F51" s="146"/>
      <c r="G51" s="146"/>
      <c r="H51" s="146"/>
      <c r="I51" s="145"/>
    </row>
    <row r="52" spans="2:12" ht="13.5" customHeight="1">
      <c r="B52" s="220"/>
      <c r="C52" s="151" t="s">
        <v>80</v>
      </c>
      <c r="D52" s="151" t="s">
        <v>113</v>
      </c>
      <c r="E52" s="151" t="s">
        <v>73</v>
      </c>
      <c r="F52" s="151" t="s">
        <v>82</v>
      </c>
      <c r="G52" s="151" t="s">
        <v>18</v>
      </c>
      <c r="H52" s="355" t="s">
        <v>19</v>
      </c>
      <c r="I52" s="108"/>
      <c r="L52" s="49"/>
    </row>
    <row r="53" spans="2:12" ht="13.5" customHeight="1">
      <c r="B53" s="220"/>
      <c r="C53" s="151"/>
      <c r="D53" s="152"/>
      <c r="E53" s="151"/>
      <c r="F53" s="151"/>
      <c r="G53" s="151" t="s">
        <v>83</v>
      </c>
      <c r="H53" s="355" t="s">
        <v>83</v>
      </c>
      <c r="I53" s="153"/>
      <c r="J53" s="65"/>
      <c r="L53" s="49"/>
    </row>
    <row r="54" spans="2:12" ht="13.5" customHeight="1">
      <c r="B54" s="220"/>
      <c r="C54" s="151">
        <v>1</v>
      </c>
      <c r="D54" s="154" t="s">
        <v>114</v>
      </c>
      <c r="E54" s="151" t="s">
        <v>31</v>
      </c>
      <c r="F54" s="492">
        <v>3998.8</v>
      </c>
      <c r="G54" s="492">
        <v>5.2</v>
      </c>
      <c r="H54" s="356">
        <f>F54*G54</f>
        <v>20793.760000000002</v>
      </c>
      <c r="I54" s="153">
        <f>F54*G54</f>
        <v>20793.760000000002</v>
      </c>
      <c r="J54" s="65">
        <f>F54*5.2</f>
        <v>20793.760000000002</v>
      </c>
      <c r="L54" s="49"/>
    </row>
    <row r="55" spans="2:12" ht="13.5" customHeight="1">
      <c r="B55" s="220"/>
      <c r="C55" s="155"/>
      <c r="D55" s="154" t="s">
        <v>115</v>
      </c>
      <c r="E55" s="151" t="s">
        <v>31</v>
      </c>
      <c r="F55" s="492">
        <v>46.14</v>
      </c>
      <c r="G55" s="492">
        <v>5.2</v>
      </c>
      <c r="H55" s="356">
        <f>F55*G55</f>
        <v>239.928</v>
      </c>
      <c r="I55" s="153">
        <f>F55*G55</f>
        <v>239.928</v>
      </c>
      <c r="J55" s="65">
        <f>F55*5.2</f>
        <v>239.928</v>
      </c>
      <c r="L55" s="49"/>
    </row>
    <row r="56" spans="2:12" ht="15.75">
      <c r="B56" s="220"/>
      <c r="C56" s="151">
        <v>2</v>
      </c>
      <c r="D56" s="154" t="s">
        <v>116</v>
      </c>
      <c r="E56" s="151" t="s">
        <v>74</v>
      </c>
      <c r="F56" s="492">
        <v>6.92</v>
      </c>
      <c r="G56" s="492">
        <v>1107</v>
      </c>
      <c r="H56" s="356">
        <f t="shared" ref="H56:H62" si="0">F56*G56</f>
        <v>7660.44</v>
      </c>
      <c r="I56" s="145">
        <f>SUM(I54:I55)</f>
        <v>21033.688000000002</v>
      </c>
      <c r="J56" s="58">
        <f>SUM(J54:J55)</f>
        <v>21033.688000000002</v>
      </c>
    </row>
    <row r="57" spans="2:12" ht="15.75">
      <c r="B57" s="220"/>
      <c r="C57" s="155"/>
      <c r="D57" s="154" t="s">
        <v>117</v>
      </c>
      <c r="E57" s="151" t="s">
        <v>74</v>
      </c>
      <c r="F57" s="492">
        <v>4.1500000000000004</v>
      </c>
      <c r="G57" s="492">
        <v>1230</v>
      </c>
      <c r="H57" s="356">
        <f t="shared" si="0"/>
        <v>5104.5</v>
      </c>
      <c r="I57" s="145">
        <f>I56-J56</f>
        <v>0</v>
      </c>
    </row>
    <row r="58" spans="2:12" ht="15.75">
      <c r="B58" s="220"/>
      <c r="C58" s="155"/>
      <c r="D58" s="154" t="s">
        <v>118</v>
      </c>
      <c r="E58" s="151" t="s">
        <v>74</v>
      </c>
      <c r="F58" s="492">
        <v>2.77</v>
      </c>
      <c r="G58" s="492">
        <v>945</v>
      </c>
      <c r="H58" s="356">
        <f t="shared" si="0"/>
        <v>2617.65</v>
      </c>
      <c r="I58" s="145"/>
    </row>
    <row r="59" spans="2:12" ht="15.75">
      <c r="B59" s="220"/>
      <c r="C59" s="151">
        <v>3</v>
      </c>
      <c r="D59" s="154" t="s">
        <v>119</v>
      </c>
      <c r="E59" s="151" t="s">
        <v>74</v>
      </c>
      <c r="F59" s="492">
        <f>6.15/2</f>
        <v>3.0750000000000002</v>
      </c>
      <c r="G59" s="492">
        <v>777</v>
      </c>
      <c r="H59" s="356">
        <f t="shared" si="0"/>
        <v>2389.2750000000001</v>
      </c>
      <c r="I59" s="145"/>
    </row>
    <row r="60" spans="2:12" ht="15.75">
      <c r="B60" s="220"/>
      <c r="C60" s="151"/>
      <c r="D60" s="154" t="s">
        <v>328</v>
      </c>
      <c r="E60" s="151" t="s">
        <v>74</v>
      </c>
      <c r="F60" s="492">
        <f>6.15/2</f>
        <v>3.0750000000000002</v>
      </c>
      <c r="G60" s="492">
        <v>727</v>
      </c>
      <c r="H60" s="356">
        <f t="shared" si="0"/>
        <v>2235.5250000000001</v>
      </c>
      <c r="I60" s="145"/>
    </row>
    <row r="61" spans="2:12" ht="15.75">
      <c r="B61" s="220"/>
      <c r="C61" s="151">
        <v>4</v>
      </c>
      <c r="D61" s="154" t="s">
        <v>120</v>
      </c>
      <c r="E61" s="151" t="s">
        <v>31</v>
      </c>
      <c r="F61" s="492">
        <v>16</v>
      </c>
      <c r="G61" s="492">
        <v>78</v>
      </c>
      <c r="H61" s="356">
        <f t="shared" si="0"/>
        <v>1248</v>
      </c>
      <c r="I61" s="156"/>
      <c r="J61" s="65"/>
    </row>
    <row r="62" spans="2:12" ht="15.75">
      <c r="B62" s="220"/>
      <c r="C62" s="151">
        <v>5</v>
      </c>
      <c r="D62" s="154" t="s">
        <v>121</v>
      </c>
      <c r="E62" s="151" t="s">
        <v>122</v>
      </c>
      <c r="F62" s="492">
        <v>15.38</v>
      </c>
      <c r="G62" s="492">
        <v>352.32</v>
      </c>
      <c r="H62" s="356">
        <f t="shared" si="0"/>
        <v>5418.6815999999999</v>
      </c>
      <c r="I62" s="145"/>
    </row>
    <row r="63" spans="2:12" ht="15.75">
      <c r="B63" s="220"/>
      <c r="C63" s="155"/>
      <c r="D63" s="154" t="s">
        <v>123</v>
      </c>
      <c r="E63" s="157">
        <v>0.1</v>
      </c>
      <c r="F63" s="492"/>
      <c r="G63" s="492"/>
      <c r="H63" s="356">
        <f>H62*0.1</f>
        <v>541.86815999999999</v>
      </c>
      <c r="I63" s="145"/>
    </row>
    <row r="64" spans="2:12" ht="15.75">
      <c r="B64" s="220"/>
      <c r="C64" s="151">
        <v>6</v>
      </c>
      <c r="D64" s="154" t="s">
        <v>124</v>
      </c>
      <c r="E64" s="151" t="s">
        <v>125</v>
      </c>
      <c r="F64" s="492">
        <v>0.5</v>
      </c>
      <c r="G64" s="492">
        <v>29</v>
      </c>
      <c r="H64" s="356">
        <f>G64*F64</f>
        <v>14.5</v>
      </c>
      <c r="I64" s="145"/>
    </row>
    <row r="65" spans="2:9" ht="15.75">
      <c r="B65" s="220"/>
      <c r="C65" s="151"/>
      <c r="D65" s="158" t="s">
        <v>126</v>
      </c>
      <c r="E65" s="151"/>
      <c r="F65" s="151"/>
      <c r="G65" s="151" t="s">
        <v>105</v>
      </c>
      <c r="H65" s="357">
        <f>SUM(H54:H64)</f>
        <v>48264.127760000003</v>
      </c>
      <c r="I65" s="145"/>
    </row>
    <row r="66" spans="2:9" ht="15.75">
      <c r="B66" s="220"/>
      <c r="C66" s="150" t="s">
        <v>127</v>
      </c>
      <c r="D66" s="145"/>
      <c r="E66" s="146"/>
      <c r="F66" s="146"/>
      <c r="G66" s="146"/>
      <c r="H66" s="146"/>
      <c r="I66" s="145"/>
    </row>
    <row r="67" spans="2:9" ht="15.75">
      <c r="B67" s="220"/>
      <c r="C67" s="159" t="s">
        <v>80</v>
      </c>
      <c r="D67" s="159" t="s">
        <v>81</v>
      </c>
      <c r="E67" s="159" t="s">
        <v>73</v>
      </c>
      <c r="F67" s="159" t="s">
        <v>82</v>
      </c>
      <c r="G67" s="159" t="s">
        <v>18</v>
      </c>
      <c r="H67" s="358" t="s">
        <v>19</v>
      </c>
      <c r="I67" s="145"/>
    </row>
    <row r="68" spans="2:9" ht="15.75">
      <c r="B68" s="220"/>
      <c r="C68" s="160"/>
      <c r="D68" s="161"/>
      <c r="E68" s="160"/>
      <c r="F68" s="160"/>
      <c r="G68" s="160" t="s">
        <v>83</v>
      </c>
      <c r="H68" s="359" t="s">
        <v>83</v>
      </c>
      <c r="I68" s="145"/>
    </row>
    <row r="69" spans="2:9" ht="15.75">
      <c r="B69" s="220"/>
      <c r="C69" s="151">
        <v>1</v>
      </c>
      <c r="D69" s="154" t="s">
        <v>128</v>
      </c>
      <c r="E69" s="151" t="s">
        <v>129</v>
      </c>
      <c r="F69" s="492">
        <v>8</v>
      </c>
      <c r="G69" s="492">
        <v>67.2</v>
      </c>
      <c r="H69" s="356">
        <f t="shared" ref="H69:H76" si="1">F69*G69</f>
        <v>537.6</v>
      </c>
      <c r="I69" s="145"/>
    </row>
    <row r="70" spans="2:9" ht="15.75">
      <c r="B70" s="220"/>
      <c r="C70" s="155"/>
      <c r="D70" s="154" t="s">
        <v>130</v>
      </c>
      <c r="E70" s="151" t="s">
        <v>129</v>
      </c>
      <c r="F70" s="492">
        <v>8</v>
      </c>
      <c r="G70" s="492">
        <v>142.80000000000001</v>
      </c>
      <c r="H70" s="356">
        <f t="shared" si="1"/>
        <v>1142.4000000000001</v>
      </c>
      <c r="I70" s="145"/>
    </row>
    <row r="71" spans="2:9" ht="15.75">
      <c r="B71" s="220"/>
      <c r="C71" s="151">
        <v>2</v>
      </c>
      <c r="D71" s="154" t="s">
        <v>131</v>
      </c>
      <c r="E71" s="151" t="s">
        <v>129</v>
      </c>
      <c r="F71" s="492">
        <v>0.5</v>
      </c>
      <c r="G71" s="492">
        <v>10.7</v>
      </c>
      <c r="H71" s="356">
        <f t="shared" si="1"/>
        <v>5.35</v>
      </c>
      <c r="I71" s="145"/>
    </row>
    <row r="72" spans="2:9" ht="15.75">
      <c r="B72" s="220"/>
      <c r="C72" s="155"/>
      <c r="D72" s="154" t="s">
        <v>130</v>
      </c>
      <c r="E72" s="151" t="s">
        <v>129</v>
      </c>
      <c r="F72" s="492">
        <v>0.5</v>
      </c>
      <c r="G72" s="492">
        <v>142.80000000000001</v>
      </c>
      <c r="H72" s="356">
        <f t="shared" si="1"/>
        <v>71.400000000000006</v>
      </c>
      <c r="I72" s="145"/>
    </row>
    <row r="73" spans="2:9" ht="15.75">
      <c r="B73" s="220"/>
      <c r="C73" s="151">
        <v>3</v>
      </c>
      <c r="D73" s="154" t="s">
        <v>132</v>
      </c>
      <c r="E73" s="151" t="s">
        <v>129</v>
      </c>
      <c r="F73" s="492">
        <v>1</v>
      </c>
      <c r="G73" s="492">
        <v>495.6</v>
      </c>
      <c r="H73" s="356">
        <f t="shared" si="1"/>
        <v>495.6</v>
      </c>
      <c r="I73" s="145"/>
    </row>
    <row r="74" spans="2:9" ht="15.75">
      <c r="B74" s="220"/>
      <c r="C74" s="155"/>
      <c r="D74" s="154" t="s">
        <v>130</v>
      </c>
      <c r="E74" s="151" t="s">
        <v>129</v>
      </c>
      <c r="F74" s="492">
        <v>1</v>
      </c>
      <c r="G74" s="492">
        <v>539.6</v>
      </c>
      <c r="H74" s="356">
        <f t="shared" si="1"/>
        <v>539.6</v>
      </c>
      <c r="I74" s="145"/>
    </row>
    <row r="75" spans="2:9" ht="15.75">
      <c r="B75" s="220"/>
      <c r="C75" s="151">
        <v>4</v>
      </c>
      <c r="D75" s="154" t="s">
        <v>133</v>
      </c>
      <c r="E75" s="151" t="s">
        <v>129</v>
      </c>
      <c r="F75" s="492">
        <v>8</v>
      </c>
      <c r="G75" s="492">
        <v>7.3</v>
      </c>
      <c r="H75" s="356">
        <f t="shared" si="1"/>
        <v>58.4</v>
      </c>
      <c r="I75" s="145"/>
    </row>
    <row r="76" spans="2:9" ht="15.75">
      <c r="B76" s="220"/>
      <c r="C76" s="158"/>
      <c r="D76" s="154" t="s">
        <v>130</v>
      </c>
      <c r="E76" s="151" t="s">
        <v>129</v>
      </c>
      <c r="F76" s="492">
        <v>8</v>
      </c>
      <c r="G76" s="492">
        <v>31.8</v>
      </c>
      <c r="H76" s="356">
        <f t="shared" si="1"/>
        <v>254.4</v>
      </c>
      <c r="I76" s="145"/>
    </row>
    <row r="77" spans="2:9" ht="15.75">
      <c r="B77" s="220"/>
      <c r="C77" s="151"/>
      <c r="D77" s="158" t="s">
        <v>134</v>
      </c>
      <c r="E77" s="151"/>
      <c r="F77" s="151"/>
      <c r="G77" s="151" t="s">
        <v>105</v>
      </c>
      <c r="H77" s="357">
        <f>SUM(H69:H76)</f>
        <v>3104.75</v>
      </c>
      <c r="I77" s="145"/>
    </row>
    <row r="78" spans="2:9" ht="15.75">
      <c r="B78" s="220"/>
      <c r="C78" s="150" t="s">
        <v>135</v>
      </c>
      <c r="D78" s="145"/>
      <c r="E78" s="146"/>
      <c r="F78" s="146"/>
      <c r="G78" s="146"/>
      <c r="H78" s="146"/>
      <c r="I78" s="145"/>
    </row>
    <row r="79" spans="2:9" ht="15.75">
      <c r="B79" s="220"/>
      <c r="C79" s="151" t="s">
        <v>80</v>
      </c>
      <c r="D79" s="151" t="s">
        <v>81</v>
      </c>
      <c r="E79" s="151" t="s">
        <v>73</v>
      </c>
      <c r="F79" s="151" t="s">
        <v>82</v>
      </c>
      <c r="G79" s="151" t="s">
        <v>18</v>
      </c>
      <c r="H79" s="355" t="s">
        <v>19</v>
      </c>
      <c r="I79" s="145"/>
    </row>
    <row r="80" spans="2:9" ht="15.75">
      <c r="B80" s="220"/>
      <c r="C80" s="151"/>
      <c r="D80" s="152"/>
      <c r="E80" s="151"/>
      <c r="F80" s="151"/>
      <c r="G80" s="151" t="s">
        <v>83</v>
      </c>
      <c r="H80" s="355" t="s">
        <v>83</v>
      </c>
      <c r="I80" s="145"/>
    </row>
    <row r="81" spans="2:9" ht="15.75">
      <c r="B81" s="220"/>
      <c r="C81" s="151">
        <v>1</v>
      </c>
      <c r="D81" s="154" t="s">
        <v>136</v>
      </c>
      <c r="E81" s="151" t="s">
        <v>129</v>
      </c>
      <c r="F81" s="492">
        <v>8</v>
      </c>
      <c r="G81" s="492">
        <v>375.7</v>
      </c>
      <c r="H81" s="356">
        <f t="shared" ref="H81:H93" si="2">F81*G81</f>
        <v>3005.6</v>
      </c>
      <c r="I81" s="145"/>
    </row>
    <row r="82" spans="2:9" ht="15.75">
      <c r="B82" s="220"/>
      <c r="C82" s="151">
        <v>2</v>
      </c>
      <c r="D82" s="154" t="s">
        <v>137</v>
      </c>
      <c r="E82" s="151" t="s">
        <v>129</v>
      </c>
      <c r="F82" s="492">
        <v>0.5</v>
      </c>
      <c r="G82" s="492">
        <v>187.2</v>
      </c>
      <c r="H82" s="356">
        <f t="shared" si="2"/>
        <v>93.6</v>
      </c>
      <c r="I82" s="145"/>
    </row>
    <row r="83" spans="2:9" ht="15.75">
      <c r="B83" s="220"/>
      <c r="C83" s="151">
        <v>3</v>
      </c>
      <c r="D83" s="154" t="s">
        <v>138</v>
      </c>
      <c r="E83" s="151" t="s">
        <v>129</v>
      </c>
      <c r="F83" s="492">
        <v>1</v>
      </c>
      <c r="G83" s="492">
        <v>293.5</v>
      </c>
      <c r="H83" s="356">
        <f t="shared" si="2"/>
        <v>293.5</v>
      </c>
      <c r="I83" s="145"/>
    </row>
    <row r="84" spans="2:9" ht="15.75">
      <c r="B84" s="220"/>
      <c r="C84" s="151">
        <v>4</v>
      </c>
      <c r="D84" s="154" t="s">
        <v>139</v>
      </c>
      <c r="E84" s="151" t="s">
        <v>129</v>
      </c>
      <c r="F84" s="492">
        <v>8</v>
      </c>
      <c r="G84" s="492">
        <v>270.39999999999998</v>
      </c>
      <c r="H84" s="356">
        <f t="shared" si="2"/>
        <v>2163.1999999999998</v>
      </c>
      <c r="I84" s="145"/>
    </row>
    <row r="85" spans="2:9" ht="15.75">
      <c r="B85" s="220"/>
      <c r="C85" s="151">
        <v>5</v>
      </c>
      <c r="D85" s="154" t="s">
        <v>140</v>
      </c>
      <c r="E85" s="151" t="s">
        <v>141</v>
      </c>
      <c r="F85" s="492">
        <v>1</v>
      </c>
      <c r="G85" s="492">
        <v>845</v>
      </c>
      <c r="H85" s="356">
        <f t="shared" si="2"/>
        <v>845</v>
      </c>
      <c r="I85" s="145"/>
    </row>
    <row r="86" spans="2:9" ht="15.75">
      <c r="B86" s="220"/>
      <c r="C86" s="151">
        <v>6</v>
      </c>
      <c r="D86" s="154" t="s">
        <v>91</v>
      </c>
      <c r="E86" s="151" t="s">
        <v>141</v>
      </c>
      <c r="F86" s="492">
        <v>1</v>
      </c>
      <c r="G86" s="492">
        <v>715</v>
      </c>
      <c r="H86" s="356">
        <f t="shared" si="2"/>
        <v>715</v>
      </c>
      <c r="I86" s="145"/>
    </row>
    <row r="87" spans="2:9" ht="15.75">
      <c r="B87" s="220"/>
      <c r="C87" s="151">
        <v>7</v>
      </c>
      <c r="D87" s="154" t="s">
        <v>142</v>
      </c>
      <c r="E87" s="151"/>
      <c r="F87" s="492"/>
      <c r="G87" s="492"/>
      <c r="H87" s="356"/>
      <c r="I87" s="145"/>
    </row>
    <row r="88" spans="2:9" ht="15.75">
      <c r="B88" s="220"/>
      <c r="C88" s="155"/>
      <c r="D88" s="154" t="s">
        <v>143</v>
      </c>
      <c r="E88" s="151" t="s">
        <v>141</v>
      </c>
      <c r="F88" s="492">
        <v>11</v>
      </c>
      <c r="G88" s="492">
        <v>635</v>
      </c>
      <c r="H88" s="356">
        <f t="shared" si="2"/>
        <v>6985</v>
      </c>
      <c r="I88" s="145"/>
    </row>
    <row r="89" spans="2:9" ht="15.75">
      <c r="B89" s="220"/>
      <c r="C89" s="155"/>
      <c r="D89" s="154" t="s">
        <v>144</v>
      </c>
      <c r="E89" s="151" t="s">
        <v>141</v>
      </c>
      <c r="F89" s="492">
        <v>4</v>
      </c>
      <c r="G89" s="492">
        <v>635</v>
      </c>
      <c r="H89" s="356">
        <f t="shared" si="2"/>
        <v>2540</v>
      </c>
      <c r="I89" s="145"/>
    </row>
    <row r="90" spans="2:9" ht="15.75">
      <c r="B90" s="220"/>
      <c r="C90" s="155"/>
      <c r="D90" s="154" t="s">
        <v>145</v>
      </c>
      <c r="E90" s="151" t="s">
        <v>141</v>
      </c>
      <c r="F90" s="492">
        <v>3</v>
      </c>
      <c r="G90" s="492">
        <v>635</v>
      </c>
      <c r="H90" s="356">
        <f t="shared" si="2"/>
        <v>1905</v>
      </c>
      <c r="I90" s="145"/>
    </row>
    <row r="91" spans="2:9" ht="15.75">
      <c r="B91" s="220"/>
      <c r="C91" s="155"/>
      <c r="D91" s="154" t="s">
        <v>146</v>
      </c>
      <c r="E91" s="151" t="s">
        <v>141</v>
      </c>
      <c r="F91" s="492">
        <v>15.38</v>
      </c>
      <c r="G91" s="492">
        <v>635</v>
      </c>
      <c r="H91" s="356">
        <f t="shared" si="2"/>
        <v>9766.3000000000011</v>
      </c>
      <c r="I91" s="145"/>
    </row>
    <row r="92" spans="2:9" ht="15.75">
      <c r="B92" s="220"/>
      <c r="C92" s="151">
        <v>8</v>
      </c>
      <c r="D92" s="154" t="s">
        <v>147</v>
      </c>
      <c r="E92" s="151" t="s">
        <v>141</v>
      </c>
      <c r="F92" s="492">
        <v>1</v>
      </c>
      <c r="G92" s="492">
        <v>635</v>
      </c>
      <c r="H92" s="356">
        <f t="shared" si="2"/>
        <v>635</v>
      </c>
      <c r="I92" s="145"/>
    </row>
    <row r="93" spans="2:9" ht="15.75">
      <c r="B93" s="220"/>
      <c r="C93" s="151">
        <v>9</v>
      </c>
      <c r="D93" s="154" t="s">
        <v>148</v>
      </c>
      <c r="E93" s="151" t="s">
        <v>122</v>
      </c>
      <c r="F93" s="492">
        <v>15.38</v>
      </c>
      <c r="G93" s="492">
        <v>156.9</v>
      </c>
      <c r="H93" s="356">
        <f t="shared" si="2"/>
        <v>2413.1220000000003</v>
      </c>
      <c r="I93" s="145"/>
    </row>
    <row r="94" spans="2:9" ht="12" customHeight="1">
      <c r="B94" s="220"/>
      <c r="C94" s="151"/>
      <c r="D94" s="154" t="s">
        <v>149</v>
      </c>
      <c r="E94" s="157">
        <v>0.1</v>
      </c>
      <c r="F94" s="492"/>
      <c r="G94" s="492"/>
      <c r="H94" s="356">
        <f>H93*10%</f>
        <v>241.31220000000005</v>
      </c>
      <c r="I94" s="145"/>
    </row>
    <row r="95" spans="2:9" ht="15.75">
      <c r="B95" s="220"/>
      <c r="C95" s="151"/>
      <c r="D95" s="158" t="s">
        <v>150</v>
      </c>
      <c r="E95" s="151"/>
      <c r="F95" s="151"/>
      <c r="G95" s="151" t="s">
        <v>105</v>
      </c>
      <c r="H95" s="357">
        <f>SUM(H81:H94)</f>
        <v>31601.634200000004</v>
      </c>
      <c r="I95" s="145"/>
    </row>
    <row r="96" spans="2:9" ht="15.75">
      <c r="B96" s="220"/>
      <c r="C96" s="145" t="s">
        <v>95</v>
      </c>
      <c r="D96" s="145"/>
      <c r="E96" s="146"/>
      <c r="F96" s="162">
        <f>ROUND(H95/G50,2)</f>
        <v>2054.7199999999998</v>
      </c>
      <c r="G96" s="146"/>
      <c r="H96" s="146"/>
      <c r="I96" s="145"/>
    </row>
    <row r="97" spans="1:12" ht="15.75">
      <c r="B97" s="220"/>
      <c r="C97" s="145" t="s">
        <v>96</v>
      </c>
      <c r="D97" s="145"/>
      <c r="E97" s="488">
        <v>0.13614999999999999</v>
      </c>
      <c r="F97" s="162">
        <f>F96*13.615%</f>
        <v>279.75012799999996</v>
      </c>
      <c r="G97" s="162"/>
      <c r="H97" s="146"/>
      <c r="I97" s="145"/>
    </row>
    <row r="98" spans="1:12" ht="15.75">
      <c r="B98" s="220"/>
      <c r="C98" s="145" t="s">
        <v>97</v>
      </c>
      <c r="D98" s="145"/>
      <c r="E98" s="146"/>
      <c r="F98" s="489">
        <f>F96+F97</f>
        <v>2334.4701279999999</v>
      </c>
      <c r="G98" s="146"/>
      <c r="H98" s="146"/>
      <c r="I98" s="145"/>
    </row>
    <row r="99" spans="1:12" ht="15.75">
      <c r="B99" s="220"/>
      <c r="C99" s="145" t="s">
        <v>151</v>
      </c>
      <c r="D99" s="145"/>
      <c r="E99" s="146"/>
      <c r="F99" s="146"/>
      <c r="G99" s="146" t="s">
        <v>105</v>
      </c>
      <c r="H99" s="162">
        <f>H65</f>
        <v>48264.127760000003</v>
      </c>
      <c r="I99" s="145"/>
    </row>
    <row r="100" spans="1:12" ht="15.75">
      <c r="B100" s="220"/>
      <c r="C100" s="145" t="s">
        <v>152</v>
      </c>
      <c r="D100" s="145"/>
      <c r="E100" s="146"/>
      <c r="F100" s="146"/>
      <c r="G100" s="146" t="s">
        <v>105</v>
      </c>
      <c r="H100" s="162">
        <f>H77</f>
        <v>3104.75</v>
      </c>
      <c r="I100" s="145"/>
    </row>
    <row r="101" spans="1:12" ht="15.75">
      <c r="B101" s="220"/>
      <c r="C101" s="145" t="s">
        <v>153</v>
      </c>
      <c r="D101" s="145"/>
      <c r="E101" s="146"/>
      <c r="F101" s="146"/>
      <c r="G101" s="146" t="s">
        <v>105</v>
      </c>
      <c r="H101" s="162">
        <f>H95</f>
        <v>31601.634200000004</v>
      </c>
      <c r="I101" s="145"/>
    </row>
    <row r="102" spans="1:12" ht="15.75">
      <c r="B102" s="220"/>
      <c r="C102" s="146"/>
      <c r="D102" s="145"/>
      <c r="E102" s="146"/>
      <c r="F102" s="146"/>
      <c r="G102" s="146" t="s">
        <v>154</v>
      </c>
      <c r="H102" s="163">
        <f>H99+H100+H101</f>
        <v>82970.511960000003</v>
      </c>
      <c r="I102" s="145"/>
      <c r="K102" s="65"/>
    </row>
    <row r="103" spans="1:12" ht="15.75">
      <c r="B103" s="220"/>
      <c r="C103" s="569" t="s">
        <v>104</v>
      </c>
      <c r="D103" s="569"/>
      <c r="E103" s="146"/>
      <c r="F103" s="488">
        <v>0.13614999999999999</v>
      </c>
      <c r="G103" s="146" t="s">
        <v>105</v>
      </c>
      <c r="H103" s="162">
        <f>H102*F103</f>
        <v>11296.435203354</v>
      </c>
      <c r="I103" s="145"/>
    </row>
    <row r="104" spans="1:12" ht="15.75">
      <c r="B104" s="220"/>
      <c r="C104" s="145" t="s">
        <v>106</v>
      </c>
      <c r="D104" s="145"/>
      <c r="E104" s="162">
        <v>15.38</v>
      </c>
      <c r="F104" s="162" t="s">
        <v>74</v>
      </c>
      <c r="G104" s="146" t="s">
        <v>105</v>
      </c>
      <c r="H104" s="162">
        <f>H102+H103</f>
        <v>94266.947163354009</v>
      </c>
      <c r="I104" s="145"/>
    </row>
    <row r="105" spans="1:12" s="52" customFormat="1" ht="15.75">
      <c r="B105" s="220"/>
      <c r="C105" s="145" t="s">
        <v>107</v>
      </c>
      <c r="D105" s="156" t="s">
        <v>74</v>
      </c>
      <c r="E105" s="146" t="s">
        <v>155</v>
      </c>
      <c r="F105" s="146"/>
      <c r="G105" s="146" t="s">
        <v>109</v>
      </c>
      <c r="H105" s="162">
        <f>H104/E104</f>
        <v>6129.190322714825</v>
      </c>
      <c r="I105" s="145"/>
    </row>
    <row r="106" spans="1:12" s="52" customFormat="1" ht="35.25" customHeight="1">
      <c r="B106" s="221"/>
      <c r="C106" s="565" t="s">
        <v>336</v>
      </c>
      <c r="D106" s="565"/>
      <c r="E106" s="490">
        <v>0.2</v>
      </c>
      <c r="F106" s="165">
        <f>'lead chart'!P7</f>
        <v>437.4</v>
      </c>
      <c r="G106" s="146" t="s">
        <v>109</v>
      </c>
      <c r="H106" s="165">
        <f>E106*F106</f>
        <v>87.48</v>
      </c>
      <c r="I106" s="166"/>
      <c r="J106" s="63"/>
      <c r="K106" s="63"/>
      <c r="L106" s="63"/>
    </row>
    <row r="107" spans="1:12" s="52" customFormat="1" ht="30" customHeight="1">
      <c r="B107" s="221"/>
      <c r="C107" s="565" t="s">
        <v>337</v>
      </c>
      <c r="D107" s="565"/>
      <c r="E107" s="490">
        <v>0.2</v>
      </c>
      <c r="F107" s="165">
        <f>'lead chart'!P8</f>
        <v>437.4</v>
      </c>
      <c r="G107" s="146"/>
      <c r="H107" s="165">
        <f>E107*F107</f>
        <v>87.48</v>
      </c>
      <c r="I107" s="166"/>
      <c r="J107" s="63"/>
      <c r="K107" s="63"/>
      <c r="L107" s="63"/>
    </row>
    <row r="108" spans="1:12" s="52" customFormat="1" ht="15.75">
      <c r="B108" s="221"/>
      <c r="C108" s="566" t="s">
        <v>338</v>
      </c>
      <c r="D108" s="566"/>
      <c r="E108" s="490">
        <f>0.9</f>
        <v>0.9</v>
      </c>
      <c r="F108" s="165">
        <f>'lead chart'!P9</f>
        <v>437.4</v>
      </c>
      <c r="G108" s="146" t="s">
        <v>109</v>
      </c>
      <c r="H108" s="165">
        <f>E108*F108</f>
        <v>393.65999999999997</v>
      </c>
      <c r="I108" s="164"/>
      <c r="J108" s="63"/>
      <c r="K108" s="63"/>
      <c r="L108" s="63"/>
    </row>
    <row r="109" spans="1:12" s="52" customFormat="1" ht="15.75">
      <c r="B109" s="221"/>
      <c r="C109" s="166"/>
      <c r="D109" s="166"/>
      <c r="E109" s="490"/>
      <c r="F109" s="490" t="s">
        <v>49</v>
      </c>
      <c r="G109" s="146" t="s">
        <v>109</v>
      </c>
      <c r="H109" s="165">
        <f>SUM(H105:H108)</f>
        <v>6697.810322714824</v>
      </c>
      <c r="I109" s="164"/>
      <c r="J109" s="63"/>
    </row>
    <row r="110" spans="1:12" s="52" customFormat="1" ht="15.75">
      <c r="B110" s="221"/>
      <c r="C110" s="166"/>
      <c r="D110" s="166"/>
      <c r="E110" s="490"/>
      <c r="F110" s="167"/>
      <c r="G110" s="167" t="s">
        <v>36</v>
      </c>
      <c r="H110" s="285">
        <f>ROUND(H109,0)</f>
        <v>6698</v>
      </c>
      <c r="I110" s="166"/>
    </row>
    <row r="111" spans="1:12" s="52" customFormat="1" ht="12.75" customHeight="1">
      <c r="A111" s="558">
        <v>3</v>
      </c>
      <c r="B111" s="564" t="s">
        <v>25</v>
      </c>
      <c r="C111" s="568" t="s">
        <v>159</v>
      </c>
      <c r="D111" s="568"/>
      <c r="E111" s="568"/>
      <c r="F111" s="568"/>
      <c r="G111" s="568"/>
      <c r="H111" s="568"/>
      <c r="I111" s="168"/>
    </row>
    <row r="112" spans="1:12" s="52" customFormat="1" ht="15.75">
      <c r="A112" s="558"/>
      <c r="B112" s="564"/>
      <c r="C112" s="568"/>
      <c r="D112" s="568"/>
      <c r="E112" s="568"/>
      <c r="F112" s="568"/>
      <c r="G112" s="568"/>
      <c r="H112" s="568"/>
      <c r="I112" s="168"/>
    </row>
    <row r="113" spans="1:10" s="52" customFormat="1" ht="15.75">
      <c r="A113" s="558"/>
      <c r="B113" s="564"/>
      <c r="C113" s="568"/>
      <c r="D113" s="568"/>
      <c r="E113" s="568"/>
      <c r="F113" s="568"/>
      <c r="G113" s="568"/>
      <c r="H113" s="568"/>
      <c r="I113" s="168"/>
    </row>
    <row r="114" spans="1:10" s="52" customFormat="1" ht="15.75">
      <c r="A114" s="558"/>
      <c r="B114" s="564"/>
      <c r="C114" s="568"/>
      <c r="D114" s="568"/>
      <c r="E114" s="568"/>
      <c r="F114" s="568"/>
      <c r="G114" s="568"/>
      <c r="H114" s="568"/>
      <c r="I114" s="168"/>
    </row>
    <row r="115" spans="1:10" s="52" customFormat="1" ht="15.75">
      <c r="A115" s="558"/>
      <c r="B115" s="564"/>
      <c r="C115" s="568"/>
      <c r="D115" s="568"/>
      <c r="E115" s="568"/>
      <c r="F115" s="568"/>
      <c r="G115" s="568"/>
      <c r="H115" s="568"/>
      <c r="I115" s="168"/>
    </row>
    <row r="116" spans="1:10" s="52" customFormat="1" ht="15.75">
      <c r="A116" s="558"/>
      <c r="B116" s="564"/>
      <c r="C116" s="568"/>
      <c r="D116" s="568"/>
      <c r="E116" s="568"/>
      <c r="F116" s="568"/>
      <c r="G116" s="568"/>
      <c r="H116" s="568"/>
      <c r="I116" s="168"/>
    </row>
    <row r="117" spans="1:10" s="52" customFormat="1" ht="15.75">
      <c r="B117" s="223"/>
      <c r="C117" s="568"/>
      <c r="D117" s="568"/>
      <c r="E117" s="568"/>
      <c r="F117" s="568"/>
      <c r="G117" s="568"/>
      <c r="H117" s="568"/>
      <c r="I117" s="168"/>
    </row>
    <row r="118" spans="1:10" s="52" customFormat="1" ht="15.75">
      <c r="B118" s="223"/>
      <c r="C118" s="568"/>
      <c r="D118" s="568"/>
      <c r="E118" s="568"/>
      <c r="F118" s="568"/>
      <c r="G118" s="568"/>
      <c r="H118" s="568"/>
      <c r="I118" s="168"/>
    </row>
    <row r="119" spans="1:10" s="52" customFormat="1" ht="15.75">
      <c r="B119" s="219" t="s">
        <v>75</v>
      </c>
      <c r="C119" s="146"/>
      <c r="D119" s="147"/>
      <c r="E119" s="145"/>
      <c r="F119" s="148"/>
      <c r="G119" s="149"/>
      <c r="H119" s="146"/>
      <c r="I119" s="168"/>
    </row>
    <row r="120" spans="1:10" s="52" customFormat="1" ht="15.75">
      <c r="B120" s="220"/>
      <c r="C120" s="146"/>
      <c r="D120" s="147" t="s">
        <v>76</v>
      </c>
      <c r="E120" s="450"/>
      <c r="F120" s="450" t="s">
        <v>111</v>
      </c>
      <c r="G120" s="491">
        <v>15</v>
      </c>
      <c r="H120" s="450" t="s">
        <v>74</v>
      </c>
      <c r="I120" s="168"/>
    </row>
    <row r="121" spans="1:10" s="52" customFormat="1" ht="15.75">
      <c r="B121" s="220"/>
      <c r="C121" s="150" t="s">
        <v>112</v>
      </c>
      <c r="D121" s="145"/>
      <c r="E121" s="450"/>
      <c r="F121" s="450"/>
      <c r="G121" s="450"/>
      <c r="H121" s="450"/>
      <c r="I121" s="168"/>
    </row>
    <row r="122" spans="1:10" s="52" customFormat="1" ht="15.75">
      <c r="B122" s="220"/>
      <c r="C122" s="151" t="s">
        <v>80</v>
      </c>
      <c r="D122" s="151" t="s">
        <v>113</v>
      </c>
      <c r="E122" s="439" t="s">
        <v>73</v>
      </c>
      <c r="F122" s="439" t="s">
        <v>82</v>
      </c>
      <c r="G122" s="439" t="s">
        <v>18</v>
      </c>
      <c r="H122" s="440" t="s">
        <v>19</v>
      </c>
      <c r="I122" s="168"/>
    </row>
    <row r="123" spans="1:10" s="52" customFormat="1" ht="15.75">
      <c r="B123" s="220"/>
      <c r="C123" s="151"/>
      <c r="D123" s="152"/>
      <c r="E123" s="439"/>
      <c r="F123" s="439"/>
      <c r="G123" s="439" t="s">
        <v>83</v>
      </c>
      <c r="H123" s="440" t="s">
        <v>83</v>
      </c>
      <c r="I123" s="367">
        <f>F124*G124</f>
        <v>21840</v>
      </c>
      <c r="J123" s="63">
        <f>F124*5.2</f>
        <v>21840</v>
      </c>
    </row>
    <row r="124" spans="1:10" s="52" customFormat="1" ht="15.75">
      <c r="B124" s="220"/>
      <c r="C124" s="151">
        <v>1</v>
      </c>
      <c r="D124" s="154" t="s">
        <v>114</v>
      </c>
      <c r="E124" s="439" t="s">
        <v>31</v>
      </c>
      <c r="F124" s="260">
        <v>4200</v>
      </c>
      <c r="G124" s="260">
        <v>5.2</v>
      </c>
      <c r="H124" s="441">
        <f t="shared" ref="H124:H132" si="3">F124*G124</f>
        <v>21840</v>
      </c>
      <c r="I124" s="367">
        <f>F125*G125</f>
        <v>390</v>
      </c>
      <c r="J124" s="63">
        <f>F125*5.2</f>
        <v>390</v>
      </c>
    </row>
    <row r="125" spans="1:10" s="52" customFormat="1" ht="15.75">
      <c r="B125" s="220"/>
      <c r="C125" s="155"/>
      <c r="D125" s="154" t="s">
        <v>115</v>
      </c>
      <c r="E125" s="439" t="s">
        <v>31</v>
      </c>
      <c r="F125" s="260">
        <v>75</v>
      </c>
      <c r="G125" s="260">
        <v>5.2</v>
      </c>
      <c r="H125" s="441">
        <f t="shared" si="3"/>
        <v>390</v>
      </c>
      <c r="I125" s="168">
        <f>SUM(I123:I124)</f>
        <v>22230</v>
      </c>
      <c r="J125" s="52">
        <f>SUM(J123:J124)</f>
        <v>22230</v>
      </c>
    </row>
    <row r="126" spans="1:10" s="52" customFormat="1" ht="15.75">
      <c r="B126" s="220"/>
      <c r="C126" s="151">
        <v>2</v>
      </c>
      <c r="D126" s="154" t="s">
        <v>116</v>
      </c>
      <c r="E126" s="439" t="s">
        <v>74</v>
      </c>
      <c r="F126" s="260">
        <v>6.75</v>
      </c>
      <c r="G126" s="260">
        <v>1107</v>
      </c>
      <c r="H126" s="441">
        <f t="shared" si="3"/>
        <v>7472.25</v>
      </c>
      <c r="I126" s="168">
        <f>I125-J125</f>
        <v>0</v>
      </c>
    </row>
    <row r="127" spans="1:10" s="52" customFormat="1" ht="15.75">
      <c r="B127" s="220"/>
      <c r="C127" s="155"/>
      <c r="D127" s="154" t="s">
        <v>117</v>
      </c>
      <c r="E127" s="439" t="s">
        <v>74</v>
      </c>
      <c r="F127" s="260">
        <v>4.05</v>
      </c>
      <c r="G127" s="260">
        <v>1230</v>
      </c>
      <c r="H127" s="441">
        <f t="shared" si="3"/>
        <v>4981.5</v>
      </c>
      <c r="I127" s="168"/>
    </row>
    <row r="128" spans="1:10" s="52" customFormat="1" ht="15.75">
      <c r="B128" s="220"/>
      <c r="C128" s="155"/>
      <c r="D128" s="154" t="s">
        <v>118</v>
      </c>
      <c r="E128" s="439" t="s">
        <v>74</v>
      </c>
      <c r="F128" s="260">
        <v>2.7</v>
      </c>
      <c r="G128" s="260">
        <v>945</v>
      </c>
      <c r="H128" s="441">
        <f t="shared" si="3"/>
        <v>2551.5</v>
      </c>
      <c r="I128" s="168"/>
    </row>
    <row r="129" spans="2:11" s="52" customFormat="1" ht="15.75">
      <c r="B129" s="220"/>
      <c r="C129" s="151">
        <v>3</v>
      </c>
      <c r="D129" s="154" t="s">
        <v>119</v>
      </c>
      <c r="E129" s="439" t="s">
        <v>74</v>
      </c>
      <c r="F129" s="260">
        <f>6/2</f>
        <v>3</v>
      </c>
      <c r="G129" s="260">
        <v>777</v>
      </c>
      <c r="H129" s="441">
        <f t="shared" si="3"/>
        <v>2331</v>
      </c>
      <c r="I129" s="168"/>
      <c r="K129" s="63">
        <f>H124-21420</f>
        <v>420</v>
      </c>
    </row>
    <row r="130" spans="2:11" s="52" customFormat="1" ht="15.75">
      <c r="B130" s="220"/>
      <c r="C130" s="151"/>
      <c r="D130" s="154" t="s">
        <v>328</v>
      </c>
      <c r="E130" s="439" t="s">
        <v>74</v>
      </c>
      <c r="F130" s="260">
        <f>6/2</f>
        <v>3</v>
      </c>
      <c r="G130" s="260">
        <v>727</v>
      </c>
      <c r="H130" s="441">
        <f t="shared" si="3"/>
        <v>2181</v>
      </c>
      <c r="I130" s="168"/>
      <c r="K130" s="63">
        <f>H135+K129</f>
        <v>51945.020000000004</v>
      </c>
    </row>
    <row r="131" spans="2:11" s="52" customFormat="1" ht="15.75">
      <c r="B131" s="220"/>
      <c r="C131" s="151">
        <v>4</v>
      </c>
      <c r="D131" s="154" t="s">
        <v>120</v>
      </c>
      <c r="E131" s="439" t="s">
        <v>31</v>
      </c>
      <c r="F131" s="260">
        <v>16.8</v>
      </c>
      <c r="G131" s="260">
        <v>78</v>
      </c>
      <c r="H131" s="441">
        <f t="shared" si="3"/>
        <v>1310.4000000000001</v>
      </c>
      <c r="I131" s="168"/>
      <c r="K131" s="52">
        <f>390-382.5</f>
        <v>7.5</v>
      </c>
    </row>
    <row r="132" spans="2:11" s="52" customFormat="1" ht="15.75">
      <c r="B132" s="220"/>
      <c r="C132" s="151">
        <v>5</v>
      </c>
      <c r="D132" s="154" t="s">
        <v>121</v>
      </c>
      <c r="E132" s="439" t="s">
        <v>122</v>
      </c>
      <c r="F132" s="260">
        <v>30</v>
      </c>
      <c r="G132" s="260">
        <v>225.53</v>
      </c>
      <c r="H132" s="441">
        <f t="shared" si="3"/>
        <v>6765.9</v>
      </c>
      <c r="I132" s="168"/>
    </row>
    <row r="133" spans="2:11" s="52" customFormat="1" ht="15.75">
      <c r="B133" s="220"/>
      <c r="C133" s="155"/>
      <c r="D133" s="154" t="s">
        <v>123</v>
      </c>
      <c r="E133" s="442">
        <v>0.25</v>
      </c>
      <c r="F133" s="260"/>
      <c r="G133" s="260"/>
      <c r="H133" s="441">
        <v>1691.47</v>
      </c>
      <c r="I133" s="168"/>
    </row>
    <row r="134" spans="2:11" s="52" customFormat="1" ht="15.75">
      <c r="B134" s="220"/>
      <c r="C134" s="151">
        <v>6</v>
      </c>
      <c r="D134" s="154" t="s">
        <v>124</v>
      </c>
      <c r="E134" s="439" t="s">
        <v>125</v>
      </c>
      <c r="F134" s="260">
        <v>0.5</v>
      </c>
      <c r="G134" s="260">
        <v>20</v>
      </c>
      <c r="H134" s="441">
        <f>F134*G134</f>
        <v>10</v>
      </c>
      <c r="I134" s="168"/>
    </row>
    <row r="135" spans="2:11" s="52" customFormat="1" ht="15.75">
      <c r="B135" s="220"/>
      <c r="C135" s="151"/>
      <c r="D135" s="158" t="s">
        <v>126</v>
      </c>
      <c r="E135" s="439"/>
      <c r="F135" s="439"/>
      <c r="G135" s="439" t="s">
        <v>105</v>
      </c>
      <c r="H135" s="443">
        <f>SUM(H124:H134)</f>
        <v>51525.020000000004</v>
      </c>
      <c r="I135" s="168"/>
    </row>
    <row r="136" spans="2:11" s="52" customFormat="1" ht="15.75">
      <c r="B136" s="220"/>
      <c r="C136" s="146"/>
      <c r="D136" s="148"/>
      <c r="E136" s="450"/>
      <c r="F136" s="450"/>
      <c r="G136" s="450"/>
      <c r="H136" s="491"/>
      <c r="I136" s="168"/>
    </row>
    <row r="137" spans="2:11" s="52" customFormat="1" ht="15.75">
      <c r="B137" s="220"/>
      <c r="C137" s="150" t="s">
        <v>127</v>
      </c>
      <c r="D137" s="145"/>
      <c r="E137" s="450"/>
      <c r="F137" s="450"/>
      <c r="G137" s="450"/>
      <c r="H137" s="450"/>
      <c r="I137" s="168"/>
    </row>
    <row r="138" spans="2:11" s="52" customFormat="1" ht="15.75">
      <c r="B138" s="220"/>
      <c r="C138" s="159" t="s">
        <v>80</v>
      </c>
      <c r="D138" s="159" t="s">
        <v>81</v>
      </c>
      <c r="E138" s="444" t="s">
        <v>73</v>
      </c>
      <c r="F138" s="444" t="s">
        <v>82</v>
      </c>
      <c r="G138" s="444" t="s">
        <v>18</v>
      </c>
      <c r="H138" s="445" t="s">
        <v>19</v>
      </c>
      <c r="I138" s="168"/>
    </row>
    <row r="139" spans="2:11" s="52" customFormat="1" ht="15.75">
      <c r="B139" s="220"/>
      <c r="C139" s="160"/>
      <c r="D139" s="161"/>
      <c r="E139" s="446"/>
      <c r="F139" s="446"/>
      <c r="G139" s="446" t="s">
        <v>83</v>
      </c>
      <c r="H139" s="447" t="s">
        <v>83</v>
      </c>
      <c r="I139" s="168"/>
    </row>
    <row r="140" spans="2:11" s="52" customFormat="1" ht="15.75">
      <c r="B140" s="220"/>
      <c r="C140" s="151">
        <v>1</v>
      </c>
      <c r="D140" s="154" t="s">
        <v>128</v>
      </c>
      <c r="E140" s="439" t="s">
        <v>129</v>
      </c>
      <c r="F140" s="260">
        <v>8</v>
      </c>
      <c r="G140" s="260">
        <v>67.2</v>
      </c>
      <c r="H140" s="441">
        <f t="shared" ref="H140:H147" si="4">F140*G140</f>
        <v>537.6</v>
      </c>
      <c r="I140" s="168"/>
    </row>
    <row r="141" spans="2:11" s="52" customFormat="1" ht="15.75">
      <c r="B141" s="220"/>
      <c r="C141" s="155"/>
      <c r="D141" s="154" t="s">
        <v>130</v>
      </c>
      <c r="E141" s="439" t="s">
        <v>129</v>
      </c>
      <c r="F141" s="260">
        <v>8</v>
      </c>
      <c r="G141" s="260">
        <v>142.80000000000001</v>
      </c>
      <c r="H141" s="441">
        <f t="shared" si="4"/>
        <v>1142.4000000000001</v>
      </c>
      <c r="I141" s="168"/>
    </row>
    <row r="142" spans="2:11" s="52" customFormat="1" ht="15.75">
      <c r="B142" s="220"/>
      <c r="C142" s="151">
        <v>2</v>
      </c>
      <c r="D142" s="154" t="s">
        <v>131</v>
      </c>
      <c r="E142" s="439" t="s">
        <v>129</v>
      </c>
      <c r="F142" s="260">
        <v>0.5</v>
      </c>
      <c r="G142" s="260">
        <v>10.7</v>
      </c>
      <c r="H142" s="441">
        <f t="shared" si="4"/>
        <v>5.35</v>
      </c>
      <c r="I142" s="168"/>
    </row>
    <row r="143" spans="2:11" s="52" customFormat="1" ht="15.75">
      <c r="B143" s="220"/>
      <c r="C143" s="155"/>
      <c r="D143" s="154" t="s">
        <v>130</v>
      </c>
      <c r="E143" s="439" t="s">
        <v>129</v>
      </c>
      <c r="F143" s="260">
        <v>0.5</v>
      </c>
      <c r="G143" s="260">
        <v>142.80000000000001</v>
      </c>
      <c r="H143" s="441">
        <f t="shared" si="4"/>
        <v>71.400000000000006</v>
      </c>
      <c r="I143" s="168"/>
    </row>
    <row r="144" spans="2:11" s="52" customFormat="1" ht="15.75">
      <c r="B144" s="220"/>
      <c r="C144" s="151">
        <v>3</v>
      </c>
      <c r="D144" s="154" t="s">
        <v>132</v>
      </c>
      <c r="E144" s="439" t="s">
        <v>129</v>
      </c>
      <c r="F144" s="260">
        <v>1</v>
      </c>
      <c r="G144" s="260">
        <v>495.6</v>
      </c>
      <c r="H144" s="441">
        <f t="shared" si="4"/>
        <v>495.6</v>
      </c>
      <c r="I144" s="168"/>
    </row>
    <row r="145" spans="2:9" s="52" customFormat="1" ht="15.75">
      <c r="B145" s="220"/>
      <c r="C145" s="155"/>
      <c r="D145" s="154" t="s">
        <v>130</v>
      </c>
      <c r="E145" s="439" t="s">
        <v>129</v>
      </c>
      <c r="F145" s="260">
        <v>1</v>
      </c>
      <c r="G145" s="260">
        <v>539.6</v>
      </c>
      <c r="H145" s="441">
        <f t="shared" si="4"/>
        <v>539.6</v>
      </c>
      <c r="I145" s="168"/>
    </row>
    <row r="146" spans="2:9" s="52" customFormat="1" ht="15.75">
      <c r="B146" s="223"/>
      <c r="C146" s="151">
        <v>4</v>
      </c>
      <c r="D146" s="154" t="s">
        <v>133</v>
      </c>
      <c r="E146" s="439" t="s">
        <v>129</v>
      </c>
      <c r="F146" s="260">
        <v>8</v>
      </c>
      <c r="G146" s="260">
        <v>7.3</v>
      </c>
      <c r="H146" s="441">
        <f t="shared" si="4"/>
        <v>58.4</v>
      </c>
      <c r="I146" s="168"/>
    </row>
    <row r="147" spans="2:9" s="52" customFormat="1" ht="15.75">
      <c r="B147" s="223"/>
      <c r="C147" s="158"/>
      <c r="D147" s="154" t="s">
        <v>130</v>
      </c>
      <c r="E147" s="439" t="s">
        <v>129</v>
      </c>
      <c r="F147" s="260">
        <v>8</v>
      </c>
      <c r="G147" s="260">
        <v>31.8</v>
      </c>
      <c r="H147" s="441">
        <f t="shared" si="4"/>
        <v>254.4</v>
      </c>
      <c r="I147" s="168"/>
    </row>
    <row r="148" spans="2:9" s="52" customFormat="1" ht="15.75">
      <c r="B148" s="223"/>
      <c r="C148" s="151"/>
      <c r="D148" s="158" t="s">
        <v>134</v>
      </c>
      <c r="E148" s="439"/>
      <c r="F148" s="439"/>
      <c r="G148" s="439" t="s">
        <v>105</v>
      </c>
      <c r="H148" s="443">
        <f>SUM(H140:H147)</f>
        <v>3104.75</v>
      </c>
      <c r="I148" s="168"/>
    </row>
    <row r="149" spans="2:9" s="52" customFormat="1" ht="15.75">
      <c r="B149" s="223"/>
      <c r="C149" s="168"/>
      <c r="D149" s="168"/>
      <c r="E149" s="448"/>
      <c r="F149" s="448"/>
      <c r="G149" s="455"/>
      <c r="H149" s="449"/>
      <c r="I149" s="168"/>
    </row>
    <row r="150" spans="2:9" s="52" customFormat="1" ht="15.75">
      <c r="B150" s="223"/>
      <c r="C150" s="150" t="s">
        <v>135</v>
      </c>
      <c r="D150" s="145"/>
      <c r="E150" s="450"/>
      <c r="F150" s="450"/>
      <c r="G150" s="450"/>
      <c r="H150" s="450"/>
      <c r="I150" s="168"/>
    </row>
    <row r="151" spans="2:9" s="52" customFormat="1" ht="15.75">
      <c r="B151" s="223"/>
      <c r="C151" s="151" t="s">
        <v>80</v>
      </c>
      <c r="D151" s="151" t="s">
        <v>81</v>
      </c>
      <c r="E151" s="439" t="s">
        <v>73</v>
      </c>
      <c r="F151" s="439" t="s">
        <v>82</v>
      </c>
      <c r="G151" s="439" t="s">
        <v>18</v>
      </c>
      <c r="H151" s="440" t="s">
        <v>19</v>
      </c>
      <c r="I151" s="168"/>
    </row>
    <row r="152" spans="2:9" s="52" customFormat="1" ht="15.75">
      <c r="B152" s="223"/>
      <c r="C152" s="151"/>
      <c r="D152" s="152"/>
      <c r="E152" s="439"/>
      <c r="F152" s="439"/>
      <c r="G152" s="439" t="s">
        <v>83</v>
      </c>
      <c r="H152" s="440" t="s">
        <v>83</v>
      </c>
      <c r="I152" s="168"/>
    </row>
    <row r="153" spans="2:9" s="52" customFormat="1" ht="15.75">
      <c r="B153" s="223"/>
      <c r="C153" s="151">
        <v>1</v>
      </c>
      <c r="D153" s="154" t="s">
        <v>136</v>
      </c>
      <c r="E153" s="439" t="s">
        <v>129</v>
      </c>
      <c r="F153" s="260">
        <v>8</v>
      </c>
      <c r="G153" s="260">
        <v>375.7</v>
      </c>
      <c r="H153" s="441">
        <f t="shared" ref="H153:H165" si="5">F153*G153</f>
        <v>3005.6</v>
      </c>
      <c r="I153" s="168"/>
    </row>
    <row r="154" spans="2:9" s="52" customFormat="1" ht="15.75">
      <c r="B154" s="223"/>
      <c r="C154" s="151">
        <v>2</v>
      </c>
      <c r="D154" s="154" t="s">
        <v>137</v>
      </c>
      <c r="E154" s="439" t="s">
        <v>129</v>
      </c>
      <c r="F154" s="260">
        <v>0.5</v>
      </c>
      <c r="G154" s="260">
        <v>187.2</v>
      </c>
      <c r="H154" s="441">
        <f t="shared" si="5"/>
        <v>93.6</v>
      </c>
      <c r="I154" s="168"/>
    </row>
    <row r="155" spans="2:9" s="52" customFormat="1" ht="15.75">
      <c r="B155" s="223"/>
      <c r="C155" s="151">
        <v>3</v>
      </c>
      <c r="D155" s="154" t="s">
        <v>138</v>
      </c>
      <c r="E155" s="439" t="s">
        <v>129</v>
      </c>
      <c r="F155" s="260">
        <v>1</v>
      </c>
      <c r="G155" s="260">
        <v>293.5</v>
      </c>
      <c r="H155" s="441">
        <f t="shared" si="5"/>
        <v>293.5</v>
      </c>
      <c r="I155" s="168"/>
    </row>
    <row r="156" spans="2:9" s="52" customFormat="1" ht="15.75">
      <c r="B156" s="223"/>
      <c r="C156" s="151">
        <v>4</v>
      </c>
      <c r="D156" s="154" t="s">
        <v>139</v>
      </c>
      <c r="E156" s="439" t="s">
        <v>129</v>
      </c>
      <c r="F156" s="260">
        <v>8</v>
      </c>
      <c r="G156" s="260">
        <v>270.39999999999998</v>
      </c>
      <c r="H156" s="441">
        <f t="shared" si="5"/>
        <v>2163.1999999999998</v>
      </c>
      <c r="I156" s="168"/>
    </row>
    <row r="157" spans="2:9" s="52" customFormat="1" ht="15.75">
      <c r="B157" s="223"/>
      <c r="C157" s="151">
        <v>5</v>
      </c>
      <c r="D157" s="154" t="s">
        <v>140</v>
      </c>
      <c r="E157" s="439" t="s">
        <v>141</v>
      </c>
      <c r="F157" s="260">
        <v>1</v>
      </c>
      <c r="G157" s="260">
        <v>715</v>
      </c>
      <c r="H157" s="441">
        <f t="shared" si="5"/>
        <v>715</v>
      </c>
      <c r="I157" s="168"/>
    </row>
    <row r="158" spans="2:9" s="52" customFormat="1" ht="15.75">
      <c r="B158" s="223"/>
      <c r="C158" s="151">
        <v>6</v>
      </c>
      <c r="D158" s="154" t="s">
        <v>91</v>
      </c>
      <c r="E158" s="439" t="s">
        <v>141</v>
      </c>
      <c r="F158" s="260">
        <v>1</v>
      </c>
      <c r="G158" s="260">
        <v>845</v>
      </c>
      <c r="H158" s="441">
        <f t="shared" si="5"/>
        <v>845</v>
      </c>
      <c r="I158" s="168"/>
    </row>
    <row r="159" spans="2:9" s="52" customFormat="1" ht="15.75">
      <c r="B159" s="223"/>
      <c r="C159" s="151">
        <v>7</v>
      </c>
      <c r="D159" s="154" t="s">
        <v>142</v>
      </c>
      <c r="E159" s="439"/>
      <c r="F159" s="260"/>
      <c r="G159" s="260"/>
      <c r="H159" s="441">
        <f t="shared" si="5"/>
        <v>0</v>
      </c>
      <c r="I159" s="168"/>
    </row>
    <row r="160" spans="2:9" s="52" customFormat="1" ht="15.75">
      <c r="B160" s="223"/>
      <c r="C160" s="155"/>
      <c r="D160" s="154" t="s">
        <v>143</v>
      </c>
      <c r="E160" s="439" t="s">
        <v>141</v>
      </c>
      <c r="F160" s="260">
        <v>11</v>
      </c>
      <c r="G160" s="260">
        <v>635</v>
      </c>
      <c r="H160" s="441">
        <f t="shared" si="5"/>
        <v>6985</v>
      </c>
      <c r="I160" s="168"/>
    </row>
    <row r="161" spans="2:9" s="52" customFormat="1" ht="15.75">
      <c r="B161" s="223"/>
      <c r="C161" s="155"/>
      <c r="D161" s="154" t="s">
        <v>144</v>
      </c>
      <c r="E161" s="439" t="s">
        <v>141</v>
      </c>
      <c r="F161" s="260">
        <v>4</v>
      </c>
      <c r="G161" s="260">
        <v>635</v>
      </c>
      <c r="H161" s="441">
        <f t="shared" si="5"/>
        <v>2540</v>
      </c>
      <c r="I161" s="168"/>
    </row>
    <row r="162" spans="2:9" s="52" customFormat="1" ht="15.75">
      <c r="B162" s="223"/>
      <c r="C162" s="155"/>
      <c r="D162" s="154" t="s">
        <v>145</v>
      </c>
      <c r="E162" s="439" t="s">
        <v>141</v>
      </c>
      <c r="F162" s="260">
        <v>4</v>
      </c>
      <c r="G162" s="260">
        <v>635</v>
      </c>
      <c r="H162" s="441">
        <f t="shared" si="5"/>
        <v>2540</v>
      </c>
      <c r="I162" s="168"/>
    </row>
    <row r="163" spans="2:9" s="52" customFormat="1" ht="15.75">
      <c r="B163" s="223"/>
      <c r="C163" s="155"/>
      <c r="D163" s="154" t="s">
        <v>146</v>
      </c>
      <c r="E163" s="439" t="s">
        <v>141</v>
      </c>
      <c r="F163" s="260">
        <v>15</v>
      </c>
      <c r="G163" s="260">
        <v>635</v>
      </c>
      <c r="H163" s="441">
        <f t="shared" si="5"/>
        <v>9525</v>
      </c>
      <c r="I163" s="168"/>
    </row>
    <row r="164" spans="2:9" s="52" customFormat="1" ht="15.75">
      <c r="B164" s="223"/>
      <c r="C164" s="151"/>
      <c r="D164" s="154" t="s">
        <v>147</v>
      </c>
      <c r="E164" s="439" t="s">
        <v>141</v>
      </c>
      <c r="F164" s="260">
        <v>1</v>
      </c>
      <c r="G164" s="260">
        <v>635</v>
      </c>
      <c r="H164" s="441">
        <f t="shared" si="5"/>
        <v>635</v>
      </c>
      <c r="I164" s="168"/>
    </row>
    <row r="165" spans="2:9" s="52" customFormat="1" ht="15.75">
      <c r="B165" s="223"/>
      <c r="C165" s="151">
        <v>8</v>
      </c>
      <c r="D165" s="154" t="s">
        <v>148</v>
      </c>
      <c r="E165" s="439" t="s">
        <v>122</v>
      </c>
      <c r="F165" s="260">
        <v>15</v>
      </c>
      <c r="G165" s="260">
        <v>79.8</v>
      </c>
      <c r="H165" s="441">
        <f t="shared" si="5"/>
        <v>1197</v>
      </c>
      <c r="I165" s="168"/>
    </row>
    <row r="166" spans="2:9" s="52" customFormat="1" ht="15.75">
      <c r="B166" s="223"/>
      <c r="C166" s="151"/>
      <c r="D166" s="154" t="s">
        <v>149</v>
      </c>
      <c r="E166" s="442">
        <v>0.25</v>
      </c>
      <c r="F166" s="260"/>
      <c r="G166" s="260"/>
      <c r="H166" s="441">
        <f>H165*25%</f>
        <v>299.25</v>
      </c>
      <c r="I166" s="168"/>
    </row>
    <row r="167" spans="2:9" s="52" customFormat="1" ht="15.75">
      <c r="B167" s="223"/>
      <c r="C167" s="151"/>
      <c r="D167" s="158" t="s">
        <v>150</v>
      </c>
      <c r="E167" s="439"/>
      <c r="F167" s="439"/>
      <c r="G167" s="439" t="s">
        <v>105</v>
      </c>
      <c r="H167" s="443">
        <f>SUM(H153:H166)</f>
        <v>30837.15</v>
      </c>
      <c r="I167" s="168"/>
    </row>
    <row r="168" spans="2:9" s="52" customFormat="1" ht="15.75">
      <c r="B168" s="223"/>
      <c r="C168" s="145" t="s">
        <v>95</v>
      </c>
      <c r="D168" s="145"/>
      <c r="E168" s="450"/>
      <c r="F168" s="451">
        <f>H167/15</f>
        <v>2055.81</v>
      </c>
      <c r="G168" s="450"/>
      <c r="H168" s="450"/>
      <c r="I168" s="168"/>
    </row>
    <row r="169" spans="2:9" s="52" customFormat="1" ht="15.75">
      <c r="B169" s="223"/>
      <c r="C169" s="145" t="s">
        <v>96</v>
      </c>
      <c r="D169" s="145"/>
      <c r="E169" s="456">
        <v>0.13614999999999999</v>
      </c>
      <c r="F169" s="451">
        <f>F168*13.615%</f>
        <v>279.89853149999999</v>
      </c>
      <c r="G169" s="451"/>
      <c r="H169" s="450"/>
      <c r="I169" s="168"/>
    </row>
    <row r="170" spans="2:9" s="52" customFormat="1" ht="15.75">
      <c r="B170" s="223"/>
      <c r="C170" s="145" t="s">
        <v>97</v>
      </c>
      <c r="D170" s="145"/>
      <c r="E170" s="450"/>
      <c r="F170" s="457">
        <f>SUM(F168:F169)</f>
        <v>2335.7085314999999</v>
      </c>
      <c r="G170" s="450"/>
      <c r="H170" s="450"/>
      <c r="I170" s="168"/>
    </row>
    <row r="171" spans="2:9" s="52" customFormat="1" ht="15.75">
      <c r="B171" s="223"/>
      <c r="C171" s="145" t="s">
        <v>151</v>
      </c>
      <c r="D171" s="145"/>
      <c r="E171" s="450"/>
      <c r="F171" s="450"/>
      <c r="G171" s="450" t="s">
        <v>105</v>
      </c>
      <c r="H171" s="451">
        <f>H135</f>
        <v>51525.020000000004</v>
      </c>
      <c r="I171" s="168"/>
    </row>
    <row r="172" spans="2:9" s="52" customFormat="1" ht="15.75">
      <c r="B172" s="223"/>
      <c r="C172" s="145" t="s">
        <v>152</v>
      </c>
      <c r="D172" s="145"/>
      <c r="E172" s="450"/>
      <c r="F172" s="450"/>
      <c r="G172" s="450" t="s">
        <v>105</v>
      </c>
      <c r="H172" s="451">
        <f>H148</f>
        <v>3104.75</v>
      </c>
      <c r="I172" s="168"/>
    </row>
    <row r="173" spans="2:9" s="52" customFormat="1" ht="15.75">
      <c r="B173" s="223"/>
      <c r="C173" s="145" t="s">
        <v>153</v>
      </c>
      <c r="D173" s="145"/>
      <c r="E173" s="450"/>
      <c r="F173" s="450"/>
      <c r="G173" s="450" t="s">
        <v>105</v>
      </c>
      <c r="H173" s="451">
        <f>H167</f>
        <v>30837.15</v>
      </c>
      <c r="I173" s="168"/>
    </row>
    <row r="174" spans="2:9" s="52" customFormat="1" ht="15.75">
      <c r="B174" s="223"/>
      <c r="C174" s="146"/>
      <c r="D174" s="145"/>
      <c r="E174" s="450"/>
      <c r="F174" s="450"/>
      <c r="G174" s="450" t="s">
        <v>154</v>
      </c>
      <c r="H174" s="452">
        <f>H171+H172+H173</f>
        <v>85466.920000000013</v>
      </c>
      <c r="I174" s="168"/>
    </row>
    <row r="175" spans="2:9" s="52" customFormat="1" ht="15.75">
      <c r="B175" s="223"/>
      <c r="C175" s="569" t="s">
        <v>104</v>
      </c>
      <c r="D175" s="569"/>
      <c r="E175" s="450"/>
      <c r="F175" s="456">
        <v>0.13614999999999999</v>
      </c>
      <c r="G175" s="450" t="s">
        <v>105</v>
      </c>
      <c r="H175" s="451">
        <f>H174*F175</f>
        <v>11636.321158000001</v>
      </c>
      <c r="I175" s="168"/>
    </row>
    <row r="176" spans="2:9" s="52" customFormat="1" ht="15.75">
      <c r="B176" s="223"/>
      <c r="C176" s="145" t="s">
        <v>106</v>
      </c>
      <c r="D176" s="145"/>
      <c r="E176" s="451">
        <v>15</v>
      </c>
      <c r="F176" s="451" t="s">
        <v>74</v>
      </c>
      <c r="G176" s="450" t="s">
        <v>105</v>
      </c>
      <c r="H176" s="451">
        <f>H174+H175</f>
        <v>97103.241158000019</v>
      </c>
      <c r="I176" s="168"/>
    </row>
    <row r="177" spans="1:9" s="52" customFormat="1" ht="15.75">
      <c r="B177" s="223"/>
      <c r="C177" s="145" t="s">
        <v>107</v>
      </c>
      <c r="D177" s="156" t="s">
        <v>74</v>
      </c>
      <c r="E177" s="450" t="s">
        <v>160</v>
      </c>
      <c r="F177" s="450"/>
      <c r="G177" s="450" t="s">
        <v>109</v>
      </c>
      <c r="H177" s="451">
        <f>H176/15</f>
        <v>6473.5494105333346</v>
      </c>
      <c r="I177" s="168"/>
    </row>
    <row r="178" spans="1:9" s="52" customFormat="1" ht="30" customHeight="1">
      <c r="B178" s="223"/>
      <c r="C178" s="565" t="s">
        <v>336</v>
      </c>
      <c r="D178" s="565"/>
      <c r="E178" s="458">
        <v>0.2</v>
      </c>
      <c r="F178" s="453">
        <f>'lead chart'!P8</f>
        <v>437.4</v>
      </c>
      <c r="G178" s="450" t="s">
        <v>109</v>
      </c>
      <c r="H178" s="453">
        <f>E178*F178</f>
        <v>87.48</v>
      </c>
      <c r="I178" s="168"/>
    </row>
    <row r="179" spans="1:9" s="52" customFormat="1" ht="29.25" customHeight="1">
      <c r="B179" s="223"/>
      <c r="C179" s="565" t="s">
        <v>337</v>
      </c>
      <c r="D179" s="565"/>
      <c r="E179" s="458">
        <v>0.2</v>
      </c>
      <c r="F179" s="453">
        <f>'lead chart'!P8</f>
        <v>437.4</v>
      </c>
      <c r="G179" s="450"/>
      <c r="H179" s="453">
        <f>E179*F179</f>
        <v>87.48</v>
      </c>
      <c r="I179" s="168"/>
    </row>
    <row r="180" spans="1:9" s="52" customFormat="1" ht="15.75">
      <c r="B180" s="223"/>
      <c r="C180" s="566" t="s">
        <v>338</v>
      </c>
      <c r="D180" s="566"/>
      <c r="E180" s="458">
        <f>0.9</f>
        <v>0.9</v>
      </c>
      <c r="F180" s="453">
        <f>'lead chart'!P9</f>
        <v>437.4</v>
      </c>
      <c r="G180" s="450" t="s">
        <v>109</v>
      </c>
      <c r="H180" s="453">
        <f>E180*F180</f>
        <v>393.65999999999997</v>
      </c>
      <c r="I180" s="168"/>
    </row>
    <row r="181" spans="1:9" s="52" customFormat="1" ht="15.75">
      <c r="B181" s="223"/>
      <c r="C181" s="166"/>
      <c r="D181" s="166"/>
      <c r="E181" s="458"/>
      <c r="F181" s="458" t="s">
        <v>49</v>
      </c>
      <c r="G181" s="450" t="s">
        <v>109</v>
      </c>
      <c r="H181" s="453">
        <f>SUM(H177:H180)</f>
        <v>7042.1694105333336</v>
      </c>
      <c r="I181" s="168"/>
    </row>
    <row r="182" spans="1:9" s="52" customFormat="1" ht="15.75">
      <c r="B182" s="223"/>
      <c r="C182" s="166"/>
      <c r="D182" s="166"/>
      <c r="E182" s="458"/>
      <c r="F182" s="455"/>
      <c r="G182" s="455" t="s">
        <v>36</v>
      </c>
      <c r="H182" s="454">
        <f>ROUND(H181,0)</f>
        <v>7042</v>
      </c>
      <c r="I182" s="168"/>
    </row>
    <row r="183" spans="1:9" s="52" customFormat="1" ht="0.75" customHeight="1">
      <c r="B183" s="223"/>
      <c r="C183" s="168"/>
      <c r="D183" s="168"/>
      <c r="E183" s="168"/>
      <c r="F183" s="169"/>
      <c r="G183" s="137"/>
      <c r="H183" s="139"/>
      <c r="I183" s="168"/>
    </row>
    <row r="184" spans="1:9" s="52" customFormat="1" ht="12.75" customHeight="1">
      <c r="A184" s="558">
        <v>4</v>
      </c>
      <c r="B184" s="564" t="s">
        <v>27</v>
      </c>
      <c r="C184" s="573" t="s">
        <v>161</v>
      </c>
      <c r="D184" s="573"/>
      <c r="E184" s="573"/>
      <c r="F184" s="573"/>
      <c r="G184" s="573"/>
      <c r="H184" s="573"/>
      <c r="I184" s="137"/>
    </row>
    <row r="185" spans="1:9" s="52" customFormat="1" ht="15.75">
      <c r="A185" s="558"/>
      <c r="B185" s="564"/>
      <c r="C185" s="573"/>
      <c r="D185" s="573"/>
      <c r="E185" s="573"/>
      <c r="F185" s="573"/>
      <c r="G185" s="573"/>
      <c r="H185" s="573"/>
      <c r="I185" s="137"/>
    </row>
    <row r="186" spans="1:9" s="52" customFormat="1" ht="15.75">
      <c r="A186" s="558"/>
      <c r="B186" s="564"/>
      <c r="C186" s="573"/>
      <c r="D186" s="573"/>
      <c r="E186" s="573"/>
      <c r="F186" s="573"/>
      <c r="G186" s="573"/>
      <c r="H186" s="573"/>
      <c r="I186" s="137"/>
    </row>
    <row r="187" spans="1:9" s="52" customFormat="1" ht="15.75">
      <c r="A187" s="558"/>
      <c r="B187" s="564"/>
      <c r="C187" s="573"/>
      <c r="D187" s="573"/>
      <c r="E187" s="573"/>
      <c r="F187" s="573"/>
      <c r="G187" s="573"/>
      <c r="H187" s="573"/>
      <c r="I187" s="137"/>
    </row>
    <row r="188" spans="1:9" s="52" customFormat="1" ht="15.75">
      <c r="A188" s="558"/>
      <c r="B188" s="564"/>
      <c r="C188" s="573"/>
      <c r="D188" s="573"/>
      <c r="E188" s="573"/>
      <c r="F188" s="573"/>
      <c r="G188" s="573"/>
      <c r="H188" s="573"/>
      <c r="I188" s="137"/>
    </row>
    <row r="189" spans="1:9" s="52" customFormat="1" ht="15.75">
      <c r="A189" s="558"/>
      <c r="B189" s="564"/>
      <c r="C189" s="573"/>
      <c r="D189" s="573"/>
      <c r="E189" s="573"/>
      <c r="F189" s="573"/>
      <c r="G189" s="573"/>
      <c r="H189" s="573"/>
      <c r="I189" s="137"/>
    </row>
    <row r="190" spans="1:9" s="52" customFormat="1" ht="15.75">
      <c r="B190" s="222" t="s">
        <v>162</v>
      </c>
      <c r="C190" s="573"/>
      <c r="D190" s="573"/>
      <c r="E190" s="573"/>
      <c r="F190" s="573"/>
      <c r="G190" s="573"/>
      <c r="H190" s="573"/>
      <c r="I190" s="137"/>
    </row>
    <row r="191" spans="1:9" s="52" customFormat="1" ht="15.75">
      <c r="B191" s="222"/>
      <c r="C191" s="573"/>
      <c r="D191" s="573"/>
      <c r="E191" s="573"/>
      <c r="F191" s="573"/>
      <c r="G191" s="573"/>
      <c r="H191" s="573"/>
      <c r="I191" s="137"/>
    </row>
    <row r="192" spans="1:9" s="52" customFormat="1" ht="15.75">
      <c r="B192" s="222"/>
      <c r="C192" s="573"/>
      <c r="D192" s="573"/>
      <c r="E192" s="573"/>
      <c r="F192" s="573"/>
      <c r="G192" s="573"/>
      <c r="H192" s="573"/>
      <c r="I192" s="137"/>
    </row>
    <row r="193" spans="2:9" s="52" customFormat="1" ht="22.5" customHeight="1">
      <c r="B193" s="222"/>
      <c r="C193" s="573"/>
      <c r="D193" s="573"/>
      <c r="E193" s="573"/>
      <c r="F193" s="573"/>
      <c r="G193" s="573"/>
      <c r="H193" s="573"/>
      <c r="I193" s="137"/>
    </row>
    <row r="194" spans="2:9" s="52" customFormat="1" ht="15.75">
      <c r="B194" s="222"/>
      <c r="C194" s="137"/>
      <c r="D194" s="137"/>
      <c r="E194" s="137"/>
      <c r="F194" s="137"/>
      <c r="G194" s="137"/>
      <c r="H194" s="167"/>
      <c r="I194" s="137"/>
    </row>
    <row r="195" spans="2:9" s="52" customFormat="1" ht="15.75" hidden="1">
      <c r="B195" s="222" t="s">
        <v>75</v>
      </c>
      <c r="C195" s="137" t="s">
        <v>156</v>
      </c>
      <c r="D195" s="137"/>
      <c r="E195" s="137"/>
      <c r="F195" s="137"/>
      <c r="G195" s="137"/>
      <c r="H195" s="167"/>
      <c r="I195" s="137"/>
    </row>
    <row r="196" spans="2:9" s="52" customFormat="1" ht="15.75" hidden="1">
      <c r="B196" s="222"/>
      <c r="C196" s="137" t="s">
        <v>163</v>
      </c>
      <c r="D196" s="137"/>
      <c r="E196" s="137"/>
      <c r="F196" s="137"/>
      <c r="G196" s="137"/>
      <c r="H196" s="167"/>
      <c r="I196" s="137"/>
    </row>
    <row r="197" spans="2:9" s="52" customFormat="1" ht="15.75" hidden="1">
      <c r="B197" s="222"/>
      <c r="C197" s="137" t="s">
        <v>164</v>
      </c>
      <c r="D197" s="137"/>
      <c r="E197" s="137"/>
      <c r="F197" s="137"/>
      <c r="G197" s="137"/>
      <c r="H197" s="167"/>
      <c r="I197" s="137"/>
    </row>
    <row r="198" spans="2:9" s="52" customFormat="1" ht="15.75" hidden="1">
      <c r="B198" s="222"/>
      <c r="C198" s="137" t="s">
        <v>165</v>
      </c>
      <c r="D198" s="137"/>
      <c r="E198" s="137"/>
      <c r="F198" s="137"/>
      <c r="G198" s="137"/>
      <c r="H198" s="167"/>
      <c r="I198" s="137"/>
    </row>
    <row r="199" spans="2:9" s="52" customFormat="1" ht="15.75" hidden="1">
      <c r="B199" s="222"/>
      <c r="C199" s="137" t="s">
        <v>166</v>
      </c>
      <c r="D199" s="137"/>
      <c r="E199" s="137"/>
      <c r="F199" s="137">
        <v>15.38</v>
      </c>
      <c r="G199" s="137"/>
      <c r="H199" s="167" t="s">
        <v>157</v>
      </c>
      <c r="I199" s="137"/>
    </row>
    <row r="200" spans="2:9" s="52" customFormat="1" ht="15.75" hidden="1">
      <c r="B200" s="222"/>
      <c r="C200" s="137" t="s">
        <v>158</v>
      </c>
      <c r="D200" s="137"/>
      <c r="E200" s="137"/>
      <c r="F200" s="137"/>
      <c r="G200" s="137"/>
      <c r="H200" s="167"/>
      <c r="I200" s="137"/>
    </row>
    <row r="201" spans="2:9" s="52" customFormat="1" ht="15.75" hidden="1">
      <c r="B201" s="222"/>
      <c r="C201" s="137" t="s">
        <v>167</v>
      </c>
      <c r="D201" s="137"/>
      <c r="E201" s="137"/>
      <c r="F201" s="137"/>
      <c r="G201" s="137"/>
      <c r="H201" s="167"/>
      <c r="I201" s="137"/>
    </row>
    <row r="202" spans="2:9" s="52" customFormat="1" ht="15.75" hidden="1">
      <c r="B202" s="222"/>
      <c r="C202" s="137" t="s">
        <v>168</v>
      </c>
      <c r="D202" s="137"/>
      <c r="E202" s="137"/>
      <c r="F202" s="137"/>
      <c r="G202" s="140">
        <v>209.74503232999999</v>
      </c>
      <c r="H202" s="167" t="s">
        <v>169</v>
      </c>
      <c r="I202" s="137"/>
    </row>
    <row r="203" spans="2:9" s="52" customFormat="1" ht="15.75" hidden="1">
      <c r="B203" s="222"/>
      <c r="C203" s="137" t="s">
        <v>170</v>
      </c>
      <c r="D203" s="137"/>
      <c r="E203" s="137"/>
      <c r="F203" s="137"/>
      <c r="G203" s="137"/>
      <c r="H203" s="167"/>
      <c r="I203" s="137"/>
    </row>
    <row r="204" spans="2:9" s="52" customFormat="1" ht="15.75" hidden="1">
      <c r="B204" s="222"/>
      <c r="C204" s="137" t="s">
        <v>171</v>
      </c>
      <c r="D204" s="137"/>
      <c r="E204" s="137"/>
      <c r="F204" s="137"/>
      <c r="G204" s="140">
        <v>98.7</v>
      </c>
      <c r="H204" s="167" t="s">
        <v>169</v>
      </c>
      <c r="I204" s="137"/>
    </row>
    <row r="205" spans="2:9" s="52" customFormat="1" ht="15.75" hidden="1">
      <c r="B205" s="222"/>
      <c r="C205" s="137" t="s">
        <v>172</v>
      </c>
      <c r="D205" s="137"/>
      <c r="E205" s="137"/>
      <c r="F205" s="137"/>
      <c r="G205" s="137"/>
      <c r="H205" s="167"/>
      <c r="I205" s="137"/>
    </row>
    <row r="206" spans="2:9" s="52" customFormat="1" ht="15.75" hidden="1">
      <c r="B206" s="222"/>
      <c r="C206" s="137" t="s">
        <v>173</v>
      </c>
      <c r="D206" s="137"/>
      <c r="E206" s="137">
        <v>18.09</v>
      </c>
      <c r="F206" s="137" t="s">
        <v>157</v>
      </c>
      <c r="G206" s="137"/>
      <c r="H206" s="167"/>
      <c r="I206" s="137"/>
    </row>
    <row r="207" spans="2:9" s="52" customFormat="1" ht="15.75" hidden="1">
      <c r="B207" s="222"/>
      <c r="C207" s="137" t="s">
        <v>174</v>
      </c>
      <c r="D207" s="137"/>
      <c r="E207" s="137"/>
      <c r="F207" s="137"/>
      <c r="G207" s="137"/>
      <c r="H207" s="167"/>
      <c r="I207" s="137"/>
    </row>
    <row r="208" spans="2:9" s="52" customFormat="1" ht="15.75" hidden="1">
      <c r="B208" s="222"/>
      <c r="C208" s="137" t="s">
        <v>175</v>
      </c>
      <c r="D208" s="137"/>
      <c r="E208" s="137"/>
      <c r="F208" s="137"/>
      <c r="G208" s="137"/>
      <c r="H208" s="167"/>
      <c r="I208" s="137"/>
    </row>
    <row r="209" spans="2:11" s="52" customFormat="1" ht="15.75" hidden="1">
      <c r="B209" s="222"/>
      <c r="C209" s="137" t="s">
        <v>176</v>
      </c>
      <c r="D209" s="137"/>
      <c r="E209" s="137"/>
      <c r="F209" s="137"/>
      <c r="G209" s="137"/>
      <c r="H209" s="167"/>
      <c r="I209" s="137"/>
    </row>
    <row r="210" spans="2:11" s="52" customFormat="1" ht="15.75">
      <c r="B210" s="224"/>
      <c r="C210" s="167"/>
      <c r="D210" s="137"/>
      <c r="E210" s="137"/>
      <c r="F210" s="137"/>
      <c r="G210" s="137"/>
      <c r="H210" s="167"/>
      <c r="I210" s="137"/>
    </row>
    <row r="211" spans="2:11" s="52" customFormat="1" ht="15.75">
      <c r="B211" s="222" t="s">
        <v>75</v>
      </c>
      <c r="C211" s="167"/>
      <c r="D211" s="171" t="s">
        <v>76</v>
      </c>
      <c r="E211" s="455"/>
      <c r="F211" s="455" t="s">
        <v>111</v>
      </c>
      <c r="G211" s="186">
        <v>18.09</v>
      </c>
      <c r="H211" s="455" t="s">
        <v>74</v>
      </c>
      <c r="I211" s="137"/>
    </row>
    <row r="212" spans="2:11" s="52" customFormat="1" ht="15.75">
      <c r="B212" s="224"/>
      <c r="C212" s="141" t="s">
        <v>112</v>
      </c>
      <c r="D212" s="137"/>
      <c r="E212" s="455"/>
      <c r="F212" s="455"/>
      <c r="G212" s="455"/>
      <c r="H212" s="455"/>
      <c r="I212" s="137"/>
    </row>
    <row r="213" spans="2:11" s="52" customFormat="1" ht="15.75">
      <c r="B213" s="224"/>
      <c r="C213" s="117" t="s">
        <v>80</v>
      </c>
      <c r="D213" s="172" t="s">
        <v>113</v>
      </c>
      <c r="E213" s="427" t="s">
        <v>73</v>
      </c>
      <c r="F213" s="427" t="s">
        <v>82</v>
      </c>
      <c r="G213" s="427" t="s">
        <v>18</v>
      </c>
      <c r="H213" s="464" t="s">
        <v>19</v>
      </c>
      <c r="I213" s="137"/>
    </row>
    <row r="214" spans="2:11" s="52" customFormat="1" ht="15.75">
      <c r="B214" s="224"/>
      <c r="C214" s="122"/>
      <c r="D214" s="173"/>
      <c r="E214" s="474"/>
      <c r="F214" s="474"/>
      <c r="G214" s="474" t="s">
        <v>83</v>
      </c>
      <c r="H214" s="467" t="s">
        <v>83</v>
      </c>
      <c r="I214" s="137"/>
    </row>
    <row r="215" spans="2:11" s="52" customFormat="1" ht="15.75">
      <c r="B215" s="224"/>
      <c r="C215" s="117">
        <v>1</v>
      </c>
      <c r="D215" s="128" t="s">
        <v>114</v>
      </c>
      <c r="E215" s="427" t="s">
        <v>31</v>
      </c>
      <c r="F215" s="498">
        <v>4703.3999999999996</v>
      </c>
      <c r="G215" s="498">
        <v>5.2</v>
      </c>
      <c r="H215" s="364">
        <f t="shared" ref="H215:H224" si="6">F215*G215</f>
        <v>24457.68</v>
      </c>
      <c r="I215" s="140">
        <f>F215*G215</f>
        <v>24457.68</v>
      </c>
      <c r="J215" s="63">
        <f>F215*5.24</f>
        <v>24645.815999999999</v>
      </c>
      <c r="K215" s="52">
        <v>27044.160000000003</v>
      </c>
    </row>
    <row r="216" spans="2:11" s="52" customFormat="1" ht="15.75">
      <c r="B216" s="224"/>
      <c r="C216" s="174"/>
      <c r="D216" s="128" t="s">
        <v>177</v>
      </c>
      <c r="E216" s="472" t="s">
        <v>31</v>
      </c>
      <c r="F216" s="498">
        <v>72.36</v>
      </c>
      <c r="G216" s="498">
        <v>5.2</v>
      </c>
      <c r="H216" s="364">
        <f t="shared" si="6"/>
        <v>376.27199999999999</v>
      </c>
      <c r="I216" s="140">
        <f>F216*G216</f>
        <v>376.27199999999999</v>
      </c>
      <c r="J216" s="63">
        <f>F216*5.2</f>
        <v>376.27199999999999</v>
      </c>
      <c r="K216" s="52">
        <v>409.76</v>
      </c>
    </row>
    <row r="217" spans="2:11" s="52" customFormat="1" ht="15.75">
      <c r="B217" s="224"/>
      <c r="C217" s="129">
        <v>2</v>
      </c>
      <c r="D217" s="128" t="s">
        <v>116</v>
      </c>
      <c r="E217" s="472" t="s">
        <v>74</v>
      </c>
      <c r="F217" s="498">
        <v>6.9194250000000004</v>
      </c>
      <c r="G217" s="498">
        <v>1107</v>
      </c>
      <c r="H217" s="364">
        <f t="shared" si="6"/>
        <v>7659.8034750000006</v>
      </c>
      <c r="I217" s="137">
        <f>SUM(I215:I216)</f>
        <v>24833.952000000001</v>
      </c>
      <c r="J217" s="52">
        <f>SUM(J215:J216)</f>
        <v>25022.088</v>
      </c>
      <c r="K217" s="63">
        <v>10080.096</v>
      </c>
    </row>
    <row r="218" spans="2:11" s="52" customFormat="1" ht="15.75">
      <c r="B218" s="224"/>
      <c r="C218" s="174"/>
      <c r="D218" s="128" t="s">
        <v>117</v>
      </c>
      <c r="E218" s="472" t="s">
        <v>74</v>
      </c>
      <c r="F218" s="498">
        <v>4.1516549999999999</v>
      </c>
      <c r="G218" s="498">
        <v>1230</v>
      </c>
      <c r="H218" s="364">
        <f t="shared" si="6"/>
        <v>5106.5356499999998</v>
      </c>
      <c r="I218" s="137">
        <f>I217-J217</f>
        <v>-188.1359999999986</v>
      </c>
      <c r="K218" s="63">
        <v>4170.0959999999995</v>
      </c>
    </row>
    <row r="219" spans="2:11" s="52" customFormat="1" ht="15.75">
      <c r="B219" s="224"/>
      <c r="C219" s="174"/>
      <c r="D219" s="128" t="s">
        <v>118</v>
      </c>
      <c r="E219" s="472" t="s">
        <v>74</v>
      </c>
      <c r="F219" s="498">
        <v>2.7677700000000001</v>
      </c>
      <c r="G219" s="498">
        <v>945</v>
      </c>
      <c r="H219" s="364">
        <f t="shared" si="6"/>
        <v>2615.5426499999999</v>
      </c>
      <c r="I219" s="137"/>
      <c r="K219" s="52">
        <v>2755.2419999999997</v>
      </c>
    </row>
    <row r="220" spans="2:11" s="52" customFormat="1" ht="15.75">
      <c r="B220" s="224"/>
      <c r="C220" s="129">
        <v>3</v>
      </c>
      <c r="D220" s="128" t="s">
        <v>178</v>
      </c>
      <c r="E220" s="472" t="s">
        <v>74</v>
      </c>
      <c r="F220" s="498">
        <v>4.5225</v>
      </c>
      <c r="G220" s="498">
        <v>665</v>
      </c>
      <c r="H220" s="364">
        <f t="shared" si="6"/>
        <v>3007.4625000000001</v>
      </c>
      <c r="I220" s="137"/>
      <c r="K220" s="52">
        <v>2577.2150000000001</v>
      </c>
    </row>
    <row r="221" spans="2:11" s="52" customFormat="1" ht="15.75">
      <c r="B221" s="224"/>
      <c r="C221" s="129">
        <v>4</v>
      </c>
      <c r="D221" s="128" t="s">
        <v>179</v>
      </c>
      <c r="E221" s="472" t="s">
        <v>74</v>
      </c>
      <c r="F221" s="498">
        <f>6.1506/2</f>
        <v>3.0752999999999999</v>
      </c>
      <c r="G221" s="498">
        <v>777</v>
      </c>
      <c r="H221" s="364">
        <f t="shared" si="6"/>
        <v>2389.5081</v>
      </c>
      <c r="I221" s="137"/>
      <c r="K221" s="63">
        <v>1622.6496</v>
      </c>
    </row>
    <row r="222" spans="2:11" s="52" customFormat="1" ht="15.75">
      <c r="B222" s="224"/>
      <c r="C222" s="129"/>
      <c r="D222" s="154" t="s">
        <v>328</v>
      </c>
      <c r="E222" s="439" t="s">
        <v>74</v>
      </c>
      <c r="F222" s="260">
        <f>6.15/2</f>
        <v>3.0750000000000002</v>
      </c>
      <c r="G222" s="260">
        <v>727</v>
      </c>
      <c r="H222" s="364">
        <f t="shared" si="6"/>
        <v>2235.5250000000001</v>
      </c>
      <c r="I222" s="137"/>
      <c r="J222" s="63"/>
      <c r="K222" s="52">
        <v>11105.126399999999</v>
      </c>
    </row>
    <row r="223" spans="2:11" s="52" customFormat="1" ht="15.75">
      <c r="B223" s="224"/>
      <c r="C223" s="129">
        <v>5</v>
      </c>
      <c r="D223" s="128" t="s">
        <v>120</v>
      </c>
      <c r="E223" s="472" t="s">
        <v>31</v>
      </c>
      <c r="F223" s="498">
        <v>18.813600000000001</v>
      </c>
      <c r="G223" s="498">
        <v>78</v>
      </c>
      <c r="H223" s="364">
        <f t="shared" si="6"/>
        <v>1467.4608000000001</v>
      </c>
      <c r="I223" s="137"/>
      <c r="K223" s="63">
        <v>2776.2815999999998</v>
      </c>
    </row>
    <row r="224" spans="2:11" s="52" customFormat="1" ht="15.75">
      <c r="B224" s="224"/>
      <c r="C224" s="174"/>
      <c r="D224" s="128" t="s">
        <v>121</v>
      </c>
      <c r="E224" s="472" t="s">
        <v>122</v>
      </c>
      <c r="F224" s="498">
        <v>49.747500000000002</v>
      </c>
      <c r="G224" s="498">
        <v>352.32</v>
      </c>
      <c r="H224" s="364">
        <f t="shared" si="6"/>
        <v>17527.039199999999</v>
      </c>
      <c r="I224" s="137"/>
      <c r="K224" s="63">
        <v>14.5</v>
      </c>
    </row>
    <row r="225" spans="2:11" s="52" customFormat="1" ht="15.75">
      <c r="B225" s="224"/>
      <c r="C225" s="122">
        <v>6</v>
      </c>
      <c r="D225" s="130" t="s">
        <v>123</v>
      </c>
      <c r="E225" s="499">
        <v>0.3</v>
      </c>
      <c r="F225" s="500"/>
      <c r="G225" s="500"/>
      <c r="H225" s="364">
        <f>H224*30%</f>
        <v>5258.1117599999998</v>
      </c>
      <c r="I225" s="137"/>
      <c r="K225" s="63">
        <v>62555.126600000003</v>
      </c>
    </row>
    <row r="226" spans="2:11" s="52" customFormat="1" ht="15.75">
      <c r="B226" s="224"/>
      <c r="C226" s="175"/>
      <c r="D226" s="176" t="s">
        <v>126</v>
      </c>
      <c r="E226" s="501"/>
      <c r="F226" s="502"/>
      <c r="G226" s="289" t="s">
        <v>105</v>
      </c>
      <c r="H226" s="503">
        <f>SUM(H215:H225)</f>
        <v>72100.941135000001</v>
      </c>
      <c r="I226" s="137"/>
    </row>
    <row r="227" spans="2:11" s="52" customFormat="1" ht="15.75">
      <c r="B227" s="224"/>
      <c r="C227" s="167"/>
      <c r="D227" s="137"/>
      <c r="E227" s="455"/>
      <c r="F227" s="455"/>
      <c r="G227" s="455"/>
      <c r="H227" s="455"/>
      <c r="I227" s="137"/>
    </row>
    <row r="228" spans="2:11" s="52" customFormat="1" ht="15.75">
      <c r="B228" s="224"/>
      <c r="C228" s="141" t="s">
        <v>127</v>
      </c>
      <c r="D228" s="137"/>
      <c r="E228" s="455"/>
      <c r="F228" s="455"/>
      <c r="G228" s="455"/>
      <c r="H228" s="455"/>
      <c r="I228" s="137"/>
      <c r="K228" s="52" t="s">
        <v>19</v>
      </c>
    </row>
    <row r="229" spans="2:11" s="52" customFormat="1" ht="15.75">
      <c r="B229" s="224"/>
      <c r="C229" s="117" t="s">
        <v>80</v>
      </c>
      <c r="D229" s="172" t="s">
        <v>81</v>
      </c>
      <c r="E229" s="427" t="s">
        <v>73</v>
      </c>
      <c r="F229" s="427" t="s">
        <v>82</v>
      </c>
      <c r="G229" s="427" t="s">
        <v>18</v>
      </c>
      <c r="H229" s="464" t="s">
        <v>19</v>
      </c>
      <c r="I229" s="137"/>
      <c r="K229" s="52" t="s">
        <v>83</v>
      </c>
    </row>
    <row r="230" spans="2:11" s="52" customFormat="1" ht="15.75">
      <c r="B230" s="224"/>
      <c r="C230" s="122"/>
      <c r="D230" s="173"/>
      <c r="E230" s="474"/>
      <c r="F230" s="474"/>
      <c r="G230" s="474" t="s">
        <v>83</v>
      </c>
      <c r="H230" s="467" t="s">
        <v>83</v>
      </c>
      <c r="I230" s="137"/>
      <c r="K230" s="52">
        <v>537.6</v>
      </c>
    </row>
    <row r="231" spans="2:11" s="52" customFormat="1" ht="15.75">
      <c r="B231" s="224"/>
      <c r="C231" s="117">
        <v>1</v>
      </c>
      <c r="D231" s="115" t="s">
        <v>128</v>
      </c>
      <c r="E231" s="463" t="s">
        <v>129</v>
      </c>
      <c r="F231" s="426">
        <v>8</v>
      </c>
      <c r="G231" s="498">
        <v>67.2</v>
      </c>
      <c r="H231" s="364">
        <f t="shared" ref="H231:H236" si="7">G231*F231</f>
        <v>537.6</v>
      </c>
      <c r="I231" s="137"/>
      <c r="K231" s="52">
        <v>1142.4000000000001</v>
      </c>
    </row>
    <row r="232" spans="2:11" s="52" customFormat="1" ht="15.75">
      <c r="B232" s="224"/>
      <c r="C232" s="174"/>
      <c r="D232" s="127" t="s">
        <v>130</v>
      </c>
      <c r="E232" s="455" t="s">
        <v>129</v>
      </c>
      <c r="F232" s="498">
        <v>8</v>
      </c>
      <c r="G232" s="498">
        <v>142.80000000000001</v>
      </c>
      <c r="H232" s="364">
        <f t="shared" si="7"/>
        <v>1142.4000000000001</v>
      </c>
      <c r="I232" s="137"/>
      <c r="K232" s="52">
        <v>5.35</v>
      </c>
    </row>
    <row r="233" spans="2:11" s="52" customFormat="1" ht="15.75">
      <c r="B233" s="224"/>
      <c r="C233" s="129">
        <v>2</v>
      </c>
      <c r="D233" s="127" t="s">
        <v>131</v>
      </c>
      <c r="E233" s="455" t="s">
        <v>129</v>
      </c>
      <c r="F233" s="498">
        <v>0.5</v>
      </c>
      <c r="G233" s="498">
        <v>10.7</v>
      </c>
      <c r="H233" s="364">
        <f t="shared" si="7"/>
        <v>5.35</v>
      </c>
      <c r="I233" s="137"/>
      <c r="K233" s="52">
        <v>71.400000000000006</v>
      </c>
    </row>
    <row r="234" spans="2:11" s="52" customFormat="1" ht="15.75">
      <c r="B234" s="224"/>
      <c r="C234" s="174"/>
      <c r="D234" s="127" t="s">
        <v>130</v>
      </c>
      <c r="E234" s="455" t="s">
        <v>129</v>
      </c>
      <c r="F234" s="498">
        <v>0.5</v>
      </c>
      <c r="G234" s="498">
        <v>142.80000000000001</v>
      </c>
      <c r="H234" s="364">
        <f t="shared" si="7"/>
        <v>71.400000000000006</v>
      </c>
      <c r="I234" s="137"/>
      <c r="K234" s="52">
        <v>495.6</v>
      </c>
    </row>
    <row r="235" spans="2:11" s="52" customFormat="1" ht="15.75">
      <c r="B235" s="224"/>
      <c r="C235" s="129">
        <v>3</v>
      </c>
      <c r="D235" s="127" t="s">
        <v>180</v>
      </c>
      <c r="E235" s="455" t="s">
        <v>129</v>
      </c>
      <c r="F235" s="498">
        <v>8</v>
      </c>
      <c r="G235" s="498">
        <v>7.7</v>
      </c>
      <c r="H235" s="364">
        <f t="shared" si="7"/>
        <v>61.6</v>
      </c>
      <c r="I235" s="137"/>
      <c r="K235" s="52">
        <v>539.6</v>
      </c>
    </row>
    <row r="236" spans="2:11" s="52" customFormat="1" ht="15.75">
      <c r="B236" s="224"/>
      <c r="C236" s="177"/>
      <c r="D236" s="118" t="s">
        <v>130</v>
      </c>
      <c r="E236" s="455" t="s">
        <v>129</v>
      </c>
      <c r="F236" s="500">
        <v>8</v>
      </c>
      <c r="G236" s="504">
        <v>47.7</v>
      </c>
      <c r="H236" s="364">
        <f t="shared" si="7"/>
        <v>381.6</v>
      </c>
      <c r="I236" s="137"/>
      <c r="K236" s="52">
        <v>58.4</v>
      </c>
    </row>
    <row r="237" spans="2:11" s="52" customFormat="1" ht="15.75">
      <c r="B237" s="224"/>
      <c r="C237" s="131"/>
      <c r="D237" s="178" t="s">
        <v>134</v>
      </c>
      <c r="E237" s="466"/>
      <c r="F237" s="465"/>
      <c r="G237" s="289" t="s">
        <v>105</v>
      </c>
      <c r="H237" s="503">
        <f>SUM(H231:H236)</f>
        <v>2199.9499999999998</v>
      </c>
      <c r="I237" s="137"/>
      <c r="K237" s="52">
        <v>254.4</v>
      </c>
    </row>
    <row r="238" spans="2:11" s="52" customFormat="1" ht="15.75">
      <c r="B238" s="224"/>
      <c r="C238" s="167"/>
      <c r="D238" s="137"/>
      <c r="E238" s="455"/>
      <c r="F238" s="455"/>
      <c r="G238" s="455"/>
      <c r="H238" s="455"/>
      <c r="I238" s="137"/>
      <c r="K238" s="52">
        <v>3104.75</v>
      </c>
    </row>
    <row r="239" spans="2:11" s="52" customFormat="1" ht="15.75">
      <c r="B239" s="224"/>
      <c r="C239" s="141" t="s">
        <v>135</v>
      </c>
      <c r="D239" s="137"/>
      <c r="E239" s="455"/>
      <c r="F239" s="455"/>
      <c r="G239" s="455"/>
      <c r="H239" s="455"/>
      <c r="I239" s="137"/>
    </row>
    <row r="240" spans="2:11" s="52" customFormat="1" ht="15.75">
      <c r="B240" s="224"/>
      <c r="C240" s="117" t="s">
        <v>80</v>
      </c>
      <c r="D240" s="172" t="s">
        <v>81</v>
      </c>
      <c r="E240" s="427" t="s">
        <v>73</v>
      </c>
      <c r="F240" s="427" t="s">
        <v>82</v>
      </c>
      <c r="G240" s="427" t="s">
        <v>18</v>
      </c>
      <c r="H240" s="464" t="s">
        <v>19</v>
      </c>
      <c r="I240" s="137"/>
    </row>
    <row r="241" spans="2:11" s="52" customFormat="1" ht="15.75">
      <c r="B241" s="224"/>
      <c r="C241" s="122"/>
      <c r="D241" s="173"/>
      <c r="E241" s="472"/>
      <c r="F241" s="472"/>
      <c r="G241" s="472" t="s">
        <v>83</v>
      </c>
      <c r="H241" s="467" t="s">
        <v>83</v>
      </c>
      <c r="I241" s="137"/>
      <c r="K241" s="52" t="s">
        <v>19</v>
      </c>
    </row>
    <row r="242" spans="2:11" s="52" customFormat="1" ht="15.75">
      <c r="B242" s="224"/>
      <c r="C242" s="117">
        <v>1</v>
      </c>
      <c r="D242" s="138" t="s">
        <v>136</v>
      </c>
      <c r="E242" s="427" t="s">
        <v>129</v>
      </c>
      <c r="F242" s="426">
        <v>8</v>
      </c>
      <c r="G242" s="426">
        <v>375.7</v>
      </c>
      <c r="H242" s="449">
        <f t="shared" ref="H242:H255" si="8">G242*F242</f>
        <v>3005.6</v>
      </c>
      <c r="I242" s="137"/>
      <c r="K242" s="52" t="s">
        <v>83</v>
      </c>
    </row>
    <row r="243" spans="2:11" s="52" customFormat="1" ht="15.75">
      <c r="B243" s="224"/>
      <c r="C243" s="129">
        <v>2</v>
      </c>
      <c r="D243" s="138" t="s">
        <v>137</v>
      </c>
      <c r="E243" s="472" t="s">
        <v>129</v>
      </c>
      <c r="F243" s="498">
        <v>0.5</v>
      </c>
      <c r="G243" s="498">
        <v>187.2</v>
      </c>
      <c r="H243" s="449">
        <f t="shared" si="8"/>
        <v>93.6</v>
      </c>
      <c r="I243" s="137"/>
      <c r="K243" s="52">
        <v>3005.6</v>
      </c>
    </row>
    <row r="244" spans="2:11" s="52" customFormat="1" ht="15.75">
      <c r="B244" s="224"/>
      <c r="C244" s="129">
        <v>3</v>
      </c>
      <c r="D244" s="138" t="s">
        <v>181</v>
      </c>
      <c r="E244" s="472" t="s">
        <v>129</v>
      </c>
      <c r="F244" s="498">
        <v>8</v>
      </c>
      <c r="G244" s="498">
        <v>270.39999999999998</v>
      </c>
      <c r="H244" s="449">
        <f t="shared" si="8"/>
        <v>2163.1999999999998</v>
      </c>
      <c r="I244" s="137"/>
      <c r="K244" s="52">
        <v>93.6</v>
      </c>
    </row>
    <row r="245" spans="2:11" s="52" customFormat="1" ht="15.75">
      <c r="B245" s="224"/>
      <c r="C245" s="129">
        <v>4</v>
      </c>
      <c r="D245" s="138" t="s">
        <v>140</v>
      </c>
      <c r="E245" s="472" t="s">
        <v>141</v>
      </c>
      <c r="F245" s="498">
        <v>1</v>
      </c>
      <c r="G245" s="498">
        <v>715</v>
      </c>
      <c r="H245" s="449">
        <f t="shared" si="8"/>
        <v>715</v>
      </c>
      <c r="I245" s="137"/>
      <c r="K245" s="52">
        <v>293.5</v>
      </c>
    </row>
    <row r="246" spans="2:11" s="52" customFormat="1" ht="15.75">
      <c r="B246" s="224"/>
      <c r="C246" s="129">
        <v>5</v>
      </c>
      <c r="D246" s="138" t="s">
        <v>91</v>
      </c>
      <c r="E246" s="472" t="s">
        <v>141</v>
      </c>
      <c r="F246" s="498">
        <v>1</v>
      </c>
      <c r="G246" s="498">
        <v>845</v>
      </c>
      <c r="H246" s="449">
        <f t="shared" si="8"/>
        <v>845</v>
      </c>
      <c r="I246" s="137"/>
      <c r="K246" s="52">
        <v>2163.1999999999998</v>
      </c>
    </row>
    <row r="247" spans="2:11" s="52" customFormat="1" ht="15.75">
      <c r="B247" s="224"/>
      <c r="C247" s="129">
        <v>6</v>
      </c>
      <c r="D247" s="138" t="s">
        <v>142</v>
      </c>
      <c r="E247" s="472"/>
      <c r="F247" s="498"/>
      <c r="G247" s="498"/>
      <c r="H247" s="449">
        <f t="shared" si="8"/>
        <v>0</v>
      </c>
      <c r="I247" s="137"/>
      <c r="K247" s="52">
        <v>715</v>
      </c>
    </row>
    <row r="248" spans="2:11" s="52" customFormat="1" ht="15.75">
      <c r="B248" s="224"/>
      <c r="C248" s="174"/>
      <c r="D248" s="138" t="s">
        <v>143</v>
      </c>
      <c r="E248" s="472" t="s">
        <v>141</v>
      </c>
      <c r="F248" s="498">
        <v>11</v>
      </c>
      <c r="G248" s="498">
        <v>635</v>
      </c>
      <c r="H248" s="449">
        <f t="shared" si="8"/>
        <v>6985</v>
      </c>
      <c r="I248" s="137"/>
      <c r="K248" s="52">
        <v>845</v>
      </c>
    </row>
    <row r="249" spans="2:11" s="52" customFormat="1" ht="15.75">
      <c r="B249" s="224"/>
      <c r="C249" s="174"/>
      <c r="D249" s="138" t="s">
        <v>144</v>
      </c>
      <c r="E249" s="472" t="s">
        <v>141</v>
      </c>
      <c r="F249" s="498">
        <v>4</v>
      </c>
      <c r="G249" s="498">
        <v>635</v>
      </c>
      <c r="H249" s="449">
        <f t="shared" si="8"/>
        <v>2540</v>
      </c>
      <c r="I249" s="137"/>
      <c r="K249" s="52">
        <v>0</v>
      </c>
    </row>
    <row r="250" spans="2:11" s="52" customFormat="1" ht="15.75">
      <c r="B250" s="224"/>
      <c r="C250" s="174"/>
      <c r="D250" s="138" t="s">
        <v>145</v>
      </c>
      <c r="E250" s="472" t="s">
        <v>141</v>
      </c>
      <c r="F250" s="498">
        <v>5</v>
      </c>
      <c r="G250" s="498">
        <v>635</v>
      </c>
      <c r="H250" s="449">
        <f t="shared" si="8"/>
        <v>3175</v>
      </c>
      <c r="I250" s="137"/>
      <c r="K250" s="52">
        <v>6985</v>
      </c>
    </row>
    <row r="251" spans="2:11" s="52" customFormat="1" ht="15.75">
      <c r="B251" s="224"/>
      <c r="C251" s="174"/>
      <c r="D251" s="138" t="s">
        <v>182</v>
      </c>
      <c r="E251" s="472" t="s">
        <v>141</v>
      </c>
      <c r="F251" s="498">
        <v>2</v>
      </c>
      <c r="G251" s="498">
        <v>635</v>
      </c>
      <c r="H251" s="449">
        <f t="shared" si="8"/>
        <v>1270</v>
      </c>
      <c r="I251" s="137"/>
      <c r="K251" s="52">
        <v>2540</v>
      </c>
    </row>
    <row r="252" spans="2:11" s="52" customFormat="1" ht="15.75">
      <c r="B252" s="224"/>
      <c r="C252" s="174"/>
      <c r="D252" s="138" t="s">
        <v>146</v>
      </c>
      <c r="E252" s="472" t="s">
        <v>141</v>
      </c>
      <c r="F252" s="498">
        <v>15.38</v>
      </c>
      <c r="G252" s="498">
        <v>635</v>
      </c>
      <c r="H252" s="449">
        <f t="shared" si="8"/>
        <v>9766.3000000000011</v>
      </c>
      <c r="I252" s="137"/>
      <c r="K252" s="52">
        <v>2540</v>
      </c>
    </row>
    <row r="253" spans="2:11" s="52" customFormat="1" ht="15.75">
      <c r="B253" s="224"/>
      <c r="C253" s="174"/>
      <c r="D253" s="138" t="s">
        <v>183</v>
      </c>
      <c r="E253" s="472" t="s">
        <v>141</v>
      </c>
      <c r="F253" s="498">
        <v>2</v>
      </c>
      <c r="G253" s="498">
        <v>635</v>
      </c>
      <c r="H253" s="449">
        <f t="shared" si="8"/>
        <v>1270</v>
      </c>
      <c r="I253" s="137"/>
      <c r="K253" s="52">
        <v>10007.6</v>
      </c>
    </row>
    <row r="254" spans="2:11" s="52" customFormat="1" ht="15.75">
      <c r="B254" s="224"/>
      <c r="C254" s="174"/>
      <c r="D254" s="138" t="s">
        <v>147</v>
      </c>
      <c r="E254" s="472" t="s">
        <v>141</v>
      </c>
      <c r="F254" s="498">
        <v>1</v>
      </c>
      <c r="G254" s="498">
        <v>635</v>
      </c>
      <c r="H254" s="449">
        <f t="shared" si="8"/>
        <v>635</v>
      </c>
      <c r="I254" s="137"/>
      <c r="K254" s="52">
        <v>635</v>
      </c>
    </row>
    <row r="255" spans="2:11" s="52" customFormat="1" ht="15.75">
      <c r="B255" s="224"/>
      <c r="C255" s="129">
        <v>7</v>
      </c>
      <c r="D255" s="138" t="s">
        <v>184</v>
      </c>
      <c r="E255" s="472" t="s">
        <v>122</v>
      </c>
      <c r="F255" s="498">
        <v>49.747500000000002</v>
      </c>
      <c r="G255" s="498">
        <v>156.9</v>
      </c>
      <c r="H255" s="449">
        <f t="shared" si="8"/>
        <v>7805.3827500000007</v>
      </c>
      <c r="I255" s="137"/>
      <c r="K255" s="52">
        <v>4945.4880000000003</v>
      </c>
    </row>
    <row r="256" spans="2:11" s="52" customFormat="1" ht="15.75">
      <c r="B256" s="224"/>
      <c r="C256" s="177"/>
      <c r="D256" s="138" t="s">
        <v>185</v>
      </c>
      <c r="E256" s="499">
        <v>0.3</v>
      </c>
      <c r="F256" s="500"/>
      <c r="G256" s="500"/>
      <c r="H256" s="449">
        <f>E256*H255</f>
        <v>2341.6148250000001</v>
      </c>
      <c r="I256" s="137"/>
      <c r="K256" s="52">
        <v>1236.3720000000001</v>
      </c>
    </row>
    <row r="257" spans="2:11" s="52" customFormat="1" ht="15.75">
      <c r="B257" s="224"/>
      <c r="C257" s="175"/>
      <c r="D257" s="176" t="s">
        <v>150</v>
      </c>
      <c r="E257" s="501"/>
      <c r="F257" s="502"/>
      <c r="G257" s="289" t="s">
        <v>105</v>
      </c>
      <c r="H257" s="503">
        <f>SUM(H242:H256)</f>
        <v>42610.697574999998</v>
      </c>
      <c r="I257" s="137"/>
      <c r="K257" s="52">
        <v>36005.360000000001</v>
      </c>
    </row>
    <row r="258" spans="2:11" s="52" customFormat="1" ht="15.75">
      <c r="B258" s="224"/>
      <c r="C258" s="137" t="s">
        <v>95</v>
      </c>
      <c r="D258" s="137"/>
      <c r="E258" s="455"/>
      <c r="F258" s="449">
        <f>H257/18.09</f>
        <v>2355.4835585959095</v>
      </c>
      <c r="G258" s="455"/>
      <c r="H258" s="455"/>
      <c r="I258" s="137"/>
    </row>
    <row r="259" spans="2:11" s="52" customFormat="1" ht="15.75">
      <c r="B259" s="224"/>
      <c r="C259" s="137" t="s">
        <v>96</v>
      </c>
      <c r="D259" s="137"/>
      <c r="E259" s="486">
        <v>0.13614999999999999</v>
      </c>
      <c r="F259" s="449">
        <f>E259*F258</f>
        <v>320.69908650283304</v>
      </c>
      <c r="G259" s="455"/>
      <c r="H259" s="455"/>
      <c r="I259" s="137"/>
    </row>
    <row r="260" spans="2:11" s="52" customFormat="1" ht="15.75">
      <c r="B260" s="224"/>
      <c r="C260" s="137" t="s">
        <v>97</v>
      </c>
      <c r="D260" s="137"/>
      <c r="E260" s="455"/>
      <c r="F260" s="487">
        <f>ROUND(SUM(F258:F259),1)</f>
        <v>2676.2</v>
      </c>
      <c r="G260" s="455"/>
      <c r="H260" s="455"/>
      <c r="I260" s="137"/>
    </row>
    <row r="261" spans="2:11" s="52" customFormat="1" ht="15.75">
      <c r="B261" s="224"/>
      <c r="C261" s="167"/>
      <c r="D261" s="137"/>
      <c r="E261" s="455"/>
      <c r="F261" s="455"/>
      <c r="G261" s="455"/>
      <c r="H261" s="455"/>
      <c r="I261" s="137"/>
    </row>
    <row r="262" spans="2:11" s="52" customFormat="1" ht="15.75">
      <c r="B262" s="224"/>
      <c r="C262" s="179" t="s">
        <v>186</v>
      </c>
      <c r="D262" s="137"/>
      <c r="E262" s="455"/>
      <c r="F262" s="455"/>
      <c r="G262" s="455"/>
      <c r="H262" s="455"/>
      <c r="I262" s="137"/>
    </row>
    <row r="263" spans="2:11" s="52" customFormat="1" ht="15.75">
      <c r="B263" s="224"/>
      <c r="C263" s="137" t="s">
        <v>151</v>
      </c>
      <c r="D263" s="137"/>
      <c r="E263" s="455"/>
      <c r="F263" s="455"/>
      <c r="G263" s="455" t="s">
        <v>105</v>
      </c>
      <c r="H263" s="449">
        <f>H226</f>
        <v>72100.941135000001</v>
      </c>
      <c r="I263" s="137"/>
      <c r="K263" s="52">
        <v>62555.126600000003</v>
      </c>
    </row>
    <row r="264" spans="2:11" s="52" customFormat="1" ht="15.75">
      <c r="B264" s="224"/>
      <c r="C264" s="137" t="s">
        <v>152</v>
      </c>
      <c r="D264" s="137"/>
      <c r="E264" s="455"/>
      <c r="F264" s="455"/>
      <c r="G264" s="455" t="s">
        <v>105</v>
      </c>
      <c r="H264" s="449">
        <f>H237</f>
        <v>2199.9499999999998</v>
      </c>
      <c r="I264" s="137"/>
      <c r="K264" s="52">
        <v>3104.75</v>
      </c>
    </row>
    <row r="265" spans="2:11" s="52" customFormat="1" ht="15.75">
      <c r="B265" s="224"/>
      <c r="C265" s="137" t="s">
        <v>153</v>
      </c>
      <c r="D265" s="137"/>
      <c r="E265" s="455"/>
      <c r="F265" s="455"/>
      <c r="G265" s="455" t="s">
        <v>105</v>
      </c>
      <c r="H265" s="449">
        <f>H257</f>
        <v>42610.697574999998</v>
      </c>
      <c r="I265" s="137"/>
      <c r="K265" s="52">
        <v>36005.360000000001</v>
      </c>
    </row>
    <row r="266" spans="2:11" s="52" customFormat="1" ht="15.75">
      <c r="B266" s="224"/>
      <c r="C266" s="167"/>
      <c r="D266" s="137"/>
      <c r="E266" s="455"/>
      <c r="F266" s="455"/>
      <c r="G266" s="455" t="s">
        <v>154</v>
      </c>
      <c r="H266" s="505">
        <f>SUM(H263:H265)</f>
        <v>116911.58871</v>
      </c>
      <c r="I266" s="137"/>
      <c r="K266" s="52">
        <v>101665.2366</v>
      </c>
    </row>
    <row r="267" spans="2:11" s="52" customFormat="1" ht="15.75">
      <c r="B267" s="224"/>
      <c r="C267" s="567" t="s">
        <v>104</v>
      </c>
      <c r="D267" s="567"/>
      <c r="E267" s="455"/>
      <c r="F267" s="486">
        <v>0.13614999999999999</v>
      </c>
      <c r="G267" s="455" t="s">
        <v>105</v>
      </c>
      <c r="H267" s="449">
        <f>H266*F267</f>
        <v>15917.512802866499</v>
      </c>
      <c r="I267" s="137"/>
      <c r="K267" s="52">
        <v>13841.72196309</v>
      </c>
    </row>
    <row r="268" spans="2:11" s="52" customFormat="1" ht="15.75">
      <c r="B268" s="224"/>
      <c r="C268" s="137" t="s">
        <v>106</v>
      </c>
      <c r="D268" s="137"/>
      <c r="E268" s="449">
        <v>18.09</v>
      </c>
      <c r="F268" s="449" t="s">
        <v>74</v>
      </c>
      <c r="G268" s="455" t="s">
        <v>105</v>
      </c>
      <c r="H268" s="186">
        <f>SUM(H266:H267)</f>
        <v>132829.1015128665</v>
      </c>
      <c r="I268" s="137"/>
      <c r="K268" s="52">
        <v>115506.95856309001</v>
      </c>
    </row>
    <row r="269" spans="2:11" s="52" customFormat="1" ht="15.75">
      <c r="B269" s="224"/>
      <c r="C269" s="179" t="s">
        <v>215</v>
      </c>
      <c r="D269" s="181"/>
      <c r="E269" s="137" t="s">
        <v>187</v>
      </c>
      <c r="F269" s="137"/>
      <c r="G269" s="137" t="s">
        <v>109</v>
      </c>
      <c r="H269" s="143">
        <f>H268/18.09</f>
        <v>7342.6811228781926</v>
      </c>
      <c r="I269" s="137"/>
      <c r="K269" s="52">
        <v>7329.121736236676</v>
      </c>
    </row>
    <row r="270" spans="2:11" s="52" customFormat="1" ht="21.75" customHeight="1">
      <c r="B270" s="224"/>
      <c r="C270" s="167"/>
      <c r="D270" s="565" t="s">
        <v>336</v>
      </c>
      <c r="E270" s="565"/>
      <c r="F270" s="108">
        <v>0.17</v>
      </c>
      <c r="G270" s="153">
        <f>'lead chart'!P7</f>
        <v>437.4</v>
      </c>
      <c r="H270" s="153">
        <f>F270*G270</f>
        <v>74.358000000000004</v>
      </c>
      <c r="I270" s="137"/>
      <c r="K270" s="52">
        <v>98.414999999999992</v>
      </c>
    </row>
    <row r="271" spans="2:11" s="52" customFormat="1" ht="34.5" customHeight="1">
      <c r="B271" s="224"/>
      <c r="C271" s="167"/>
      <c r="D271" s="565" t="s">
        <v>337</v>
      </c>
      <c r="E271" s="565"/>
      <c r="F271" s="108">
        <v>0.17</v>
      </c>
      <c r="G271" s="153">
        <f>'lead chart'!P8</f>
        <v>437.4</v>
      </c>
      <c r="H271" s="153">
        <f t="shared" ref="H271:H272" si="9">F271*G271</f>
        <v>74.358000000000004</v>
      </c>
      <c r="I271" s="137"/>
      <c r="K271" s="52">
        <v>98.414999999999992</v>
      </c>
    </row>
    <row r="272" spans="2:11" s="52" customFormat="1" ht="22.5" customHeight="1">
      <c r="B272" s="224"/>
      <c r="C272" s="167"/>
      <c r="D272" s="566" t="s">
        <v>338</v>
      </c>
      <c r="E272" s="566"/>
      <c r="F272" s="108">
        <v>0.76500000000000001</v>
      </c>
      <c r="G272" s="153">
        <f>'lead chart'!P9</f>
        <v>437.4</v>
      </c>
      <c r="H272" s="153">
        <f t="shared" si="9"/>
        <v>334.61099999999999</v>
      </c>
      <c r="I272" s="137"/>
      <c r="K272" s="52">
        <v>349.92</v>
      </c>
    </row>
    <row r="273" spans="1:11" s="52" customFormat="1" ht="15.75">
      <c r="B273" s="224"/>
      <c r="C273" s="167"/>
      <c r="D273" s="137"/>
      <c r="E273" s="137"/>
      <c r="F273" s="137"/>
      <c r="G273" s="137" t="s">
        <v>188</v>
      </c>
      <c r="H273" s="139">
        <f>SUM(H269:H272)</f>
        <v>7826.0081228781928</v>
      </c>
      <c r="I273" s="137"/>
      <c r="K273" s="52">
        <v>7875.871736236676</v>
      </c>
    </row>
    <row r="274" spans="1:11" s="52" customFormat="1" ht="17.25" customHeight="1">
      <c r="B274" s="224"/>
      <c r="C274" s="167"/>
      <c r="D274" s="137"/>
      <c r="E274" s="137"/>
      <c r="F274" s="137"/>
      <c r="G274" s="137" t="s">
        <v>36</v>
      </c>
      <c r="H274" s="143">
        <f>ROUND(H273,0)</f>
        <v>7826</v>
      </c>
      <c r="I274" s="137"/>
      <c r="K274" s="52">
        <v>7876</v>
      </c>
    </row>
    <row r="275" spans="1:11" s="52" customFormat="1" ht="17.25" customHeight="1">
      <c r="B275" s="224"/>
      <c r="C275" s="167"/>
      <c r="D275" s="137"/>
      <c r="E275" s="137"/>
      <c r="F275" s="137"/>
      <c r="G275" s="137"/>
      <c r="H275" s="143"/>
      <c r="I275" s="137"/>
    </row>
    <row r="276" spans="1:11" s="52" customFormat="1" ht="12.75" customHeight="1">
      <c r="A276" s="558">
        <v>5</v>
      </c>
      <c r="B276" s="564" t="s">
        <v>29</v>
      </c>
      <c r="C276" s="573" t="s">
        <v>189</v>
      </c>
      <c r="D276" s="573"/>
      <c r="E276" s="573"/>
      <c r="F276" s="573"/>
      <c r="G276" s="573"/>
      <c r="H276" s="573"/>
      <c r="I276" s="137"/>
    </row>
    <row r="277" spans="1:11" s="52" customFormat="1" ht="15.75">
      <c r="A277" s="558"/>
      <c r="B277" s="564"/>
      <c r="C277" s="573"/>
      <c r="D277" s="573"/>
      <c r="E277" s="573"/>
      <c r="F277" s="573"/>
      <c r="G277" s="573"/>
      <c r="H277" s="573"/>
      <c r="I277" s="137"/>
    </row>
    <row r="278" spans="1:11" s="52" customFormat="1" ht="15.75">
      <c r="A278" s="558"/>
      <c r="B278" s="564"/>
      <c r="C278" s="573"/>
      <c r="D278" s="573"/>
      <c r="E278" s="573"/>
      <c r="F278" s="573"/>
      <c r="G278" s="573"/>
      <c r="H278" s="573"/>
      <c r="I278" s="137"/>
    </row>
    <row r="279" spans="1:11" s="52" customFormat="1" ht="15.75">
      <c r="A279" s="558"/>
      <c r="B279" s="564"/>
      <c r="C279" s="573"/>
      <c r="D279" s="573"/>
      <c r="E279" s="573"/>
      <c r="F279" s="573"/>
      <c r="G279" s="573"/>
      <c r="H279" s="573"/>
      <c r="I279" s="137"/>
    </row>
    <row r="280" spans="1:11" s="52" customFormat="1" ht="15.75">
      <c r="A280" s="558"/>
      <c r="B280" s="564"/>
      <c r="C280" s="573"/>
      <c r="D280" s="573"/>
      <c r="E280" s="573"/>
      <c r="F280" s="573"/>
      <c r="G280" s="573"/>
      <c r="H280" s="573"/>
      <c r="I280" s="137"/>
    </row>
    <row r="281" spans="1:11" s="52" customFormat="1" ht="15.75">
      <c r="A281" s="558"/>
      <c r="B281" s="564" t="s">
        <v>75</v>
      </c>
      <c r="C281" s="138"/>
      <c r="D281" s="141" t="s">
        <v>76</v>
      </c>
      <c r="E281" s="455"/>
      <c r="F281" s="455" t="s">
        <v>111</v>
      </c>
      <c r="G281" s="186">
        <v>1000</v>
      </c>
      <c r="H281" s="455" t="s">
        <v>31</v>
      </c>
      <c r="I281" s="137"/>
    </row>
    <row r="282" spans="1:11" s="52" customFormat="1" ht="15.75">
      <c r="B282" s="217"/>
      <c r="C282" s="141" t="s">
        <v>112</v>
      </c>
      <c r="D282" s="138"/>
      <c r="E282" s="455"/>
      <c r="F282" s="455"/>
      <c r="G282" s="455"/>
      <c r="H282" s="455"/>
      <c r="I282" s="137"/>
    </row>
    <row r="283" spans="1:11" s="52" customFormat="1" ht="15.75">
      <c r="B283" s="217"/>
      <c r="C283" s="115" t="s">
        <v>80</v>
      </c>
      <c r="D283" s="182" t="s">
        <v>113</v>
      </c>
      <c r="E283" s="427" t="s">
        <v>73</v>
      </c>
      <c r="F283" s="427" t="s">
        <v>82</v>
      </c>
      <c r="G283" s="427" t="s">
        <v>18</v>
      </c>
      <c r="H283" s="464" t="s">
        <v>19</v>
      </c>
      <c r="I283" s="137"/>
    </row>
    <row r="284" spans="1:11" s="52" customFormat="1" ht="15.75">
      <c r="B284" s="217"/>
      <c r="C284" s="118"/>
      <c r="D284" s="130"/>
      <c r="E284" s="474"/>
      <c r="F284" s="474"/>
      <c r="G284" s="474" t="s">
        <v>83</v>
      </c>
      <c r="H284" s="467" t="s">
        <v>83</v>
      </c>
      <c r="I284" s="137"/>
    </row>
    <row r="285" spans="1:11" s="52" customFormat="1" ht="15.75">
      <c r="B285" s="217"/>
      <c r="C285" s="115">
        <v>1</v>
      </c>
      <c r="D285" s="128" t="s">
        <v>190</v>
      </c>
      <c r="E285" s="427" t="s">
        <v>31</v>
      </c>
      <c r="F285" s="498">
        <v>1050</v>
      </c>
      <c r="G285" s="498">
        <v>56</v>
      </c>
      <c r="H285" s="364">
        <f>F285*G285</f>
        <v>58800</v>
      </c>
      <c r="I285" s="137"/>
    </row>
    <row r="286" spans="1:11" s="52" customFormat="1" ht="15.75">
      <c r="B286" s="217"/>
      <c r="C286" s="127">
        <v>2</v>
      </c>
      <c r="D286" s="128" t="s">
        <v>191</v>
      </c>
      <c r="E286" s="472" t="s">
        <v>31</v>
      </c>
      <c r="F286" s="498">
        <v>8</v>
      </c>
      <c r="G286" s="498">
        <v>92</v>
      </c>
      <c r="H286" s="364">
        <f>F286*G286</f>
        <v>736</v>
      </c>
      <c r="I286" s="137"/>
    </row>
    <row r="287" spans="1:11" s="52" customFormat="1" ht="15.75">
      <c r="B287" s="217"/>
      <c r="C287" s="118">
        <v>3</v>
      </c>
      <c r="D287" s="128" t="s">
        <v>192</v>
      </c>
      <c r="E287" s="472" t="s">
        <v>125</v>
      </c>
      <c r="F287" s="498">
        <v>3</v>
      </c>
      <c r="G287" s="498">
        <v>29</v>
      </c>
      <c r="H287" s="364">
        <f>F287*G287</f>
        <v>87</v>
      </c>
      <c r="I287" s="137"/>
    </row>
    <row r="288" spans="1:11" s="52" customFormat="1" ht="15.75">
      <c r="B288" s="217"/>
      <c r="C288" s="183"/>
      <c r="D288" s="184" t="s">
        <v>126</v>
      </c>
      <c r="E288" s="501"/>
      <c r="F288" s="502"/>
      <c r="G288" s="289" t="s">
        <v>105</v>
      </c>
      <c r="H288" s="503">
        <f>SUM(H285:H287)</f>
        <v>59623</v>
      </c>
      <c r="I288" s="137"/>
    </row>
    <row r="289" spans="2:9" s="52" customFormat="1" ht="15.75">
      <c r="B289" s="217"/>
      <c r="C289" s="138"/>
      <c r="D289" s="138"/>
      <c r="E289" s="455"/>
      <c r="F289" s="455"/>
      <c r="G289" s="455"/>
      <c r="H289" s="455"/>
      <c r="I289" s="137"/>
    </row>
    <row r="290" spans="2:9" s="52" customFormat="1" ht="15.75">
      <c r="B290" s="217"/>
      <c r="C290" s="141" t="s">
        <v>127</v>
      </c>
      <c r="D290" s="138"/>
      <c r="E290" s="455"/>
      <c r="F290" s="455"/>
      <c r="G290" s="455"/>
      <c r="H290" s="455"/>
      <c r="I290" s="137"/>
    </row>
    <row r="291" spans="2:9" s="52" customFormat="1" ht="15.75">
      <c r="B291" s="217"/>
      <c r="C291" s="115" t="s">
        <v>80</v>
      </c>
      <c r="D291" s="182" t="s">
        <v>81</v>
      </c>
      <c r="E291" s="427" t="s">
        <v>73</v>
      </c>
      <c r="F291" s="427" t="s">
        <v>82</v>
      </c>
      <c r="G291" s="427" t="s">
        <v>18</v>
      </c>
      <c r="H291" s="464" t="s">
        <v>19</v>
      </c>
      <c r="I291" s="137"/>
    </row>
    <row r="292" spans="2:9" s="52" customFormat="1" ht="15.75">
      <c r="B292" s="217"/>
      <c r="C292" s="118"/>
      <c r="D292" s="130"/>
      <c r="E292" s="474"/>
      <c r="F292" s="474"/>
      <c r="G292" s="474" t="s">
        <v>83</v>
      </c>
      <c r="H292" s="467" t="s">
        <v>83</v>
      </c>
      <c r="I292" s="137"/>
    </row>
    <row r="293" spans="2:9" s="52" customFormat="1" ht="15.75">
      <c r="B293" s="217"/>
      <c r="C293" s="115">
        <v>1</v>
      </c>
      <c r="D293" s="128" t="s">
        <v>193</v>
      </c>
      <c r="E293" s="427"/>
      <c r="F293" s="498">
        <v>0</v>
      </c>
      <c r="G293" s="498">
        <v>0</v>
      </c>
      <c r="H293" s="364">
        <v>0</v>
      </c>
      <c r="I293" s="137"/>
    </row>
    <row r="294" spans="2:9" s="52" customFormat="1" ht="15.75">
      <c r="B294" s="217"/>
      <c r="C294" s="127"/>
      <c r="D294" s="128"/>
      <c r="E294" s="472"/>
      <c r="F294" s="498">
        <v>0</v>
      </c>
      <c r="G294" s="498">
        <v>0</v>
      </c>
      <c r="H294" s="364">
        <v>0</v>
      </c>
      <c r="I294" s="137"/>
    </row>
    <row r="295" spans="2:9" s="52" customFormat="1" ht="15.75">
      <c r="B295" s="217"/>
      <c r="C295" s="130"/>
      <c r="D295" s="185" t="s">
        <v>134</v>
      </c>
      <c r="E295" s="466"/>
      <c r="F295" s="465"/>
      <c r="G295" s="289" t="s">
        <v>105</v>
      </c>
      <c r="H295" s="503">
        <v>0</v>
      </c>
      <c r="I295" s="137"/>
    </row>
    <row r="296" spans="2:9" s="52" customFormat="1" ht="15.75">
      <c r="B296" s="217"/>
      <c r="C296" s="138"/>
      <c r="D296" s="138"/>
      <c r="E296" s="455"/>
      <c r="F296" s="455"/>
      <c r="G296" s="455"/>
      <c r="H296" s="455"/>
      <c r="I296" s="137"/>
    </row>
    <row r="297" spans="2:9" s="52" customFormat="1" ht="15.75">
      <c r="B297" s="217"/>
      <c r="C297" s="141" t="s">
        <v>135</v>
      </c>
      <c r="D297" s="138"/>
      <c r="E297" s="455"/>
      <c r="F297" s="455"/>
      <c r="G297" s="455"/>
      <c r="H297" s="455"/>
      <c r="I297" s="137"/>
    </row>
    <row r="298" spans="2:9" s="52" customFormat="1" ht="15.75">
      <c r="B298" s="217"/>
      <c r="C298" s="115" t="s">
        <v>80</v>
      </c>
      <c r="D298" s="182" t="s">
        <v>81</v>
      </c>
      <c r="E298" s="427" t="s">
        <v>73</v>
      </c>
      <c r="F298" s="427" t="s">
        <v>82</v>
      </c>
      <c r="G298" s="427" t="s">
        <v>18</v>
      </c>
      <c r="H298" s="464" t="s">
        <v>19</v>
      </c>
      <c r="I298" s="137"/>
    </row>
    <row r="299" spans="2:9" s="52" customFormat="1" ht="15.75">
      <c r="B299" s="217"/>
      <c r="C299" s="118"/>
      <c r="D299" s="130"/>
      <c r="E299" s="474"/>
      <c r="F299" s="474"/>
      <c r="G299" s="474" t="s">
        <v>83</v>
      </c>
      <c r="H299" s="467" t="s">
        <v>83</v>
      </c>
      <c r="I299" s="137"/>
    </row>
    <row r="300" spans="2:9" s="52" customFormat="1" ht="15.75">
      <c r="B300" s="217"/>
      <c r="C300" s="127">
        <v>1</v>
      </c>
      <c r="D300" s="138" t="s">
        <v>91</v>
      </c>
      <c r="E300" s="472" t="s">
        <v>141</v>
      </c>
      <c r="F300" s="504">
        <v>1</v>
      </c>
      <c r="G300" s="498">
        <v>845</v>
      </c>
      <c r="H300" s="364">
        <f>G300*F300</f>
        <v>845</v>
      </c>
      <c r="I300" s="137"/>
    </row>
    <row r="301" spans="2:9" s="52" customFormat="1" ht="15.75">
      <c r="B301" s="217"/>
      <c r="C301" s="127">
        <v>2</v>
      </c>
      <c r="D301" s="138" t="s">
        <v>194</v>
      </c>
      <c r="E301" s="472" t="s">
        <v>141</v>
      </c>
      <c r="F301" s="504">
        <v>6</v>
      </c>
      <c r="G301" s="498">
        <v>845</v>
      </c>
      <c r="H301" s="364">
        <f>G301*F301</f>
        <v>5070</v>
      </c>
      <c r="I301" s="137"/>
    </row>
    <row r="302" spans="2:9" s="52" customFormat="1" ht="15.75">
      <c r="B302" s="217"/>
      <c r="C302" s="127">
        <v>3</v>
      </c>
      <c r="D302" s="138" t="s">
        <v>142</v>
      </c>
      <c r="E302" s="472" t="s">
        <v>141</v>
      </c>
      <c r="F302" s="504">
        <v>11</v>
      </c>
      <c r="G302" s="498">
        <v>635</v>
      </c>
      <c r="H302" s="364">
        <f>G302*F302</f>
        <v>6985</v>
      </c>
      <c r="I302" s="137"/>
    </row>
    <row r="303" spans="2:9" s="52" customFormat="1" ht="15.75">
      <c r="B303" s="217"/>
      <c r="C303" s="183"/>
      <c r="D303" s="184" t="s">
        <v>150</v>
      </c>
      <c r="E303" s="501"/>
      <c r="F303" s="502"/>
      <c r="G303" s="289" t="s">
        <v>105</v>
      </c>
      <c r="H303" s="503">
        <f>SUM(H300:H302)</f>
        <v>12900</v>
      </c>
      <c r="I303" s="137"/>
    </row>
    <row r="304" spans="2:9" s="52" customFormat="1" ht="15.75">
      <c r="B304" s="217"/>
      <c r="C304" s="138" t="s">
        <v>95</v>
      </c>
      <c r="D304" s="138"/>
      <c r="E304" s="455"/>
      <c r="F304" s="449">
        <f>H303/1000</f>
        <v>12.9</v>
      </c>
      <c r="G304" s="455"/>
      <c r="H304" s="455"/>
      <c r="I304" s="137"/>
    </row>
    <row r="305" spans="1:9" s="52" customFormat="1" ht="15.75">
      <c r="B305" s="217"/>
      <c r="C305" s="138" t="s">
        <v>96</v>
      </c>
      <c r="D305" s="138"/>
      <c r="E305" s="486">
        <v>0.13614999999999999</v>
      </c>
      <c r="F305" s="449">
        <f>E305*F304</f>
        <v>1.756335</v>
      </c>
      <c r="G305" s="455"/>
      <c r="H305" s="455"/>
      <c r="I305" s="137"/>
    </row>
    <row r="306" spans="1:9" s="52" customFormat="1" ht="15.75">
      <c r="B306" s="217"/>
      <c r="C306" s="138" t="s">
        <v>97</v>
      </c>
      <c r="D306" s="138"/>
      <c r="E306" s="455"/>
      <c r="F306" s="487">
        <f>SUM(F304:F305)</f>
        <v>14.656335</v>
      </c>
      <c r="G306" s="455"/>
      <c r="H306" s="455"/>
      <c r="I306" s="137"/>
    </row>
    <row r="307" spans="1:9" s="52" customFormat="1" ht="15.75">
      <c r="B307" s="217"/>
      <c r="C307" s="141" t="s">
        <v>186</v>
      </c>
      <c r="D307" s="138"/>
      <c r="E307" s="455"/>
      <c r="F307" s="455"/>
      <c r="G307" s="455"/>
      <c r="H307" s="455"/>
      <c r="I307" s="137"/>
    </row>
    <row r="308" spans="1:9" s="52" customFormat="1" ht="15.75">
      <c r="B308" s="217"/>
      <c r="C308" s="138" t="s">
        <v>151</v>
      </c>
      <c r="D308" s="138"/>
      <c r="E308" s="455"/>
      <c r="F308" s="455"/>
      <c r="G308" s="455" t="s">
        <v>105</v>
      </c>
      <c r="H308" s="449">
        <f>H288</f>
        <v>59623</v>
      </c>
      <c r="I308" s="137"/>
    </row>
    <row r="309" spans="1:9" s="52" customFormat="1" ht="15.75">
      <c r="B309" s="217"/>
      <c r="C309" s="138" t="s">
        <v>152</v>
      </c>
      <c r="D309" s="138"/>
      <c r="E309" s="455"/>
      <c r="F309" s="455"/>
      <c r="G309" s="455" t="s">
        <v>105</v>
      </c>
      <c r="H309" s="449">
        <v>0</v>
      </c>
      <c r="I309" s="137"/>
    </row>
    <row r="310" spans="1:9" s="52" customFormat="1" ht="15.75">
      <c r="B310" s="217"/>
      <c r="C310" s="138" t="s">
        <v>153</v>
      </c>
      <c r="D310" s="138"/>
      <c r="E310" s="455"/>
      <c r="F310" s="455"/>
      <c r="G310" s="455" t="s">
        <v>105</v>
      </c>
      <c r="H310" s="449">
        <f>H303</f>
        <v>12900</v>
      </c>
      <c r="I310" s="137"/>
    </row>
    <row r="311" spans="1:9" s="52" customFormat="1" ht="15.75">
      <c r="B311" s="217"/>
      <c r="C311" s="138"/>
      <c r="D311" s="138"/>
      <c r="E311" s="455"/>
      <c r="F311" s="455"/>
      <c r="G311" s="455" t="s">
        <v>154</v>
      </c>
      <c r="H311" s="505">
        <f>SUM(H308:H310)</f>
        <v>72523</v>
      </c>
      <c r="I311" s="137"/>
    </row>
    <row r="312" spans="1:9" s="52" customFormat="1" ht="15.75">
      <c r="B312" s="217"/>
      <c r="C312" s="567" t="s">
        <v>104</v>
      </c>
      <c r="D312" s="567"/>
      <c r="E312" s="455"/>
      <c r="F312" s="486">
        <v>0.13614999999999999</v>
      </c>
      <c r="G312" s="455" t="s">
        <v>105</v>
      </c>
      <c r="H312" s="449">
        <f>H311*F312</f>
        <v>9874.0064499999989</v>
      </c>
      <c r="I312" s="137"/>
    </row>
    <row r="313" spans="1:9" s="52" customFormat="1" ht="15.75">
      <c r="B313" s="217"/>
      <c r="C313" s="138" t="s">
        <v>106</v>
      </c>
      <c r="D313" s="138"/>
      <c r="E313" s="449">
        <v>1000</v>
      </c>
      <c r="F313" s="449" t="s">
        <v>31</v>
      </c>
      <c r="G313" s="455" t="s">
        <v>105</v>
      </c>
      <c r="H313" s="186">
        <f>SUM(H311:H312)</f>
        <v>82397.006450000001</v>
      </c>
      <c r="I313" s="137"/>
    </row>
    <row r="314" spans="1:9" s="52" customFormat="1" ht="15.75">
      <c r="B314" s="217"/>
      <c r="C314" s="141" t="s">
        <v>339</v>
      </c>
      <c r="D314" s="142"/>
      <c r="E314" s="455" t="s">
        <v>195</v>
      </c>
      <c r="F314" s="455"/>
      <c r="G314" s="455" t="s">
        <v>109</v>
      </c>
      <c r="H314" s="186">
        <f>ROUND(H313/1000,1)</f>
        <v>82.4</v>
      </c>
      <c r="I314" s="137"/>
    </row>
    <row r="315" spans="1:9" s="52" customFormat="1" ht="21.75" customHeight="1">
      <c r="A315" s="558">
        <v>6</v>
      </c>
      <c r="B315" s="564" t="s">
        <v>32</v>
      </c>
      <c r="C315" s="574" t="s">
        <v>196</v>
      </c>
      <c r="D315" s="574"/>
      <c r="E315" s="574"/>
      <c r="F315" s="574"/>
      <c r="G315" s="574"/>
      <c r="H315" s="574"/>
      <c r="I315" s="137"/>
    </row>
    <row r="316" spans="1:9" s="52" customFormat="1" ht="15.75">
      <c r="A316" s="558"/>
      <c r="B316" s="564"/>
      <c r="C316" s="574"/>
      <c r="D316" s="574"/>
      <c r="E316" s="574"/>
      <c r="F316" s="574"/>
      <c r="G316" s="574"/>
      <c r="H316" s="574"/>
      <c r="I316" s="137"/>
    </row>
    <row r="317" spans="1:9" s="52" customFormat="1" ht="15.75">
      <c r="A317" s="558"/>
      <c r="B317" s="564"/>
      <c r="C317" s="574"/>
      <c r="D317" s="574"/>
      <c r="E317" s="574"/>
      <c r="F317" s="574"/>
      <c r="G317" s="574"/>
      <c r="H317" s="574"/>
      <c r="I317" s="137"/>
    </row>
    <row r="318" spans="1:9" s="52" customFormat="1" ht="15.75">
      <c r="A318" s="558"/>
      <c r="B318" s="564"/>
      <c r="C318" s="574"/>
      <c r="D318" s="574"/>
      <c r="E318" s="574"/>
      <c r="F318" s="574"/>
      <c r="G318" s="574"/>
      <c r="H318" s="574"/>
      <c r="I318" s="137"/>
    </row>
    <row r="319" spans="1:9" s="52" customFormat="1" ht="15.75">
      <c r="A319" s="558"/>
      <c r="B319" s="564"/>
      <c r="C319" s="574"/>
      <c r="D319" s="574"/>
      <c r="E319" s="574"/>
      <c r="F319" s="574"/>
      <c r="G319" s="574"/>
      <c r="H319" s="574"/>
      <c r="I319" s="137"/>
    </row>
    <row r="320" spans="1:9" s="52" customFormat="1" ht="15.75">
      <c r="A320" s="558"/>
      <c r="B320" s="564"/>
      <c r="C320" s="574"/>
      <c r="D320" s="574"/>
      <c r="E320" s="574"/>
      <c r="F320" s="574"/>
      <c r="G320" s="574"/>
      <c r="H320" s="574"/>
      <c r="I320" s="137"/>
    </row>
    <row r="321" spans="2:11" s="52" customFormat="1" ht="15.75">
      <c r="B321" s="222"/>
      <c r="C321" s="574"/>
      <c r="D321" s="574"/>
      <c r="E321" s="574"/>
      <c r="F321" s="574"/>
      <c r="G321" s="574"/>
      <c r="H321" s="574"/>
      <c r="I321" s="137"/>
    </row>
    <row r="322" spans="2:11" s="52" customFormat="1" ht="15.75">
      <c r="B322" s="224"/>
      <c r="C322" s="167"/>
      <c r="D322" s="137"/>
      <c r="E322" s="137"/>
      <c r="F322" s="137"/>
      <c r="G322" s="137"/>
      <c r="H322" s="167"/>
      <c r="I322" s="137"/>
    </row>
    <row r="323" spans="2:11" s="52" customFormat="1" ht="15.75">
      <c r="B323" s="222" t="s">
        <v>75</v>
      </c>
      <c r="C323" s="167"/>
      <c r="D323" s="171" t="s">
        <v>76</v>
      </c>
      <c r="E323" s="167"/>
      <c r="F323" s="167" t="s">
        <v>111</v>
      </c>
      <c r="G323" s="143">
        <v>15.76</v>
      </c>
      <c r="H323" s="167" t="s">
        <v>74</v>
      </c>
      <c r="I323" s="137"/>
    </row>
    <row r="324" spans="2:11" s="52" customFormat="1" ht="15.75">
      <c r="B324" s="224"/>
      <c r="C324" s="141" t="s">
        <v>112</v>
      </c>
      <c r="D324" s="137"/>
      <c r="E324" s="167"/>
      <c r="F324" s="167"/>
      <c r="G324" s="167"/>
      <c r="H324" s="167"/>
      <c r="I324" s="137"/>
    </row>
    <row r="325" spans="2:11" s="52" customFormat="1" ht="15.75">
      <c r="B325" s="224"/>
      <c r="C325" s="117" t="s">
        <v>80</v>
      </c>
      <c r="D325" s="172" t="s">
        <v>113</v>
      </c>
      <c r="E325" s="117" t="s">
        <v>73</v>
      </c>
      <c r="F325" s="117" t="s">
        <v>82</v>
      </c>
      <c r="G325" s="117" t="s">
        <v>18</v>
      </c>
      <c r="H325" s="172" t="s">
        <v>19</v>
      </c>
      <c r="I325" s="137"/>
    </row>
    <row r="326" spans="2:11" s="52" customFormat="1" ht="15.75">
      <c r="B326" s="224"/>
      <c r="C326" s="122"/>
      <c r="D326" s="173"/>
      <c r="E326" s="122"/>
      <c r="F326" s="122"/>
      <c r="G326" s="122" t="s">
        <v>83</v>
      </c>
      <c r="H326" s="131" t="s">
        <v>83</v>
      </c>
      <c r="I326" s="137"/>
    </row>
    <row r="327" spans="2:11" s="52" customFormat="1" ht="15.75">
      <c r="B327" s="224"/>
      <c r="C327" s="117">
        <v>1</v>
      </c>
      <c r="D327" s="128" t="s">
        <v>114</v>
      </c>
      <c r="E327" s="117" t="s">
        <v>31</v>
      </c>
      <c r="F327" s="493">
        <v>5200.8</v>
      </c>
      <c r="G327" s="493">
        <v>5.2</v>
      </c>
      <c r="H327" s="360">
        <f t="shared" ref="H327:H336" si="10">F327*G327</f>
        <v>27044.160000000003</v>
      </c>
      <c r="I327" s="140">
        <f>F327*G327</f>
        <v>27044.160000000003</v>
      </c>
      <c r="J327" s="63">
        <f>F327*5.2</f>
        <v>27044.160000000003</v>
      </c>
    </row>
    <row r="328" spans="2:11" s="52" customFormat="1" ht="15.75">
      <c r="B328" s="224"/>
      <c r="C328" s="174"/>
      <c r="D328" s="128" t="s">
        <v>197</v>
      </c>
      <c r="E328" s="129" t="s">
        <v>31</v>
      </c>
      <c r="F328" s="493">
        <v>78.8</v>
      </c>
      <c r="G328" s="493">
        <v>5.2</v>
      </c>
      <c r="H328" s="360">
        <f t="shared" si="10"/>
        <v>409.76</v>
      </c>
      <c r="I328" s="140">
        <f>F328*G328</f>
        <v>409.76</v>
      </c>
      <c r="J328" s="63">
        <f>F328*5.2</f>
        <v>409.76</v>
      </c>
      <c r="K328" s="63"/>
    </row>
    <row r="329" spans="2:11" s="52" customFormat="1" ht="15.75">
      <c r="B329" s="224"/>
      <c r="C329" s="129">
        <v>2</v>
      </c>
      <c r="D329" s="128" t="s">
        <v>117</v>
      </c>
      <c r="E329" s="129" t="s">
        <v>74</v>
      </c>
      <c r="F329" s="493">
        <v>8.1951999999999998</v>
      </c>
      <c r="G329" s="493">
        <v>1230</v>
      </c>
      <c r="H329" s="360">
        <f t="shared" si="10"/>
        <v>10080.096</v>
      </c>
      <c r="I329" s="137">
        <f>SUM(I327:I328)</f>
        <v>27453.920000000002</v>
      </c>
      <c r="J329" s="63">
        <f>SUM(J327:J328)</f>
        <v>27453.920000000002</v>
      </c>
      <c r="K329" s="63"/>
    </row>
    <row r="330" spans="2:11" s="52" customFormat="1" ht="15.75">
      <c r="B330" s="224"/>
      <c r="C330" s="174"/>
      <c r="D330" s="128" t="s">
        <v>118</v>
      </c>
      <c r="E330" s="129" t="s">
        <v>74</v>
      </c>
      <c r="F330" s="493">
        <v>4.4127999999999998</v>
      </c>
      <c r="G330" s="493">
        <v>945</v>
      </c>
      <c r="H330" s="360">
        <f t="shared" si="10"/>
        <v>4170.0959999999995</v>
      </c>
      <c r="I330" s="140">
        <f>I329-J329</f>
        <v>0</v>
      </c>
    </row>
    <row r="331" spans="2:11" s="52" customFormat="1" ht="15.75">
      <c r="B331" s="224"/>
      <c r="C331" s="129">
        <v>3</v>
      </c>
      <c r="D331" s="128" t="s">
        <v>179</v>
      </c>
      <c r="E331" s="129" t="s">
        <v>74</v>
      </c>
      <c r="F331" s="493">
        <f>7.092/2</f>
        <v>3.5459999999999998</v>
      </c>
      <c r="G331" s="493">
        <v>777</v>
      </c>
      <c r="H331" s="360">
        <f t="shared" si="10"/>
        <v>2755.2419999999997</v>
      </c>
      <c r="I331" s="137"/>
    </row>
    <row r="332" spans="2:11" s="52" customFormat="1" ht="15.75">
      <c r="B332" s="224"/>
      <c r="C332" s="129"/>
      <c r="D332" s="154" t="s">
        <v>328</v>
      </c>
      <c r="E332" s="151" t="s">
        <v>74</v>
      </c>
      <c r="F332" s="492">
        <f>7.09/2</f>
        <v>3.5449999999999999</v>
      </c>
      <c r="G332" s="492">
        <v>727</v>
      </c>
      <c r="H332" s="360">
        <f t="shared" si="10"/>
        <v>2577.2150000000001</v>
      </c>
      <c r="I332" s="137"/>
    </row>
    <row r="333" spans="2:11" s="52" customFormat="1" ht="15.75">
      <c r="B333" s="224"/>
      <c r="C333" s="129">
        <v>4</v>
      </c>
      <c r="D333" s="128" t="s">
        <v>120</v>
      </c>
      <c r="E333" s="129" t="s">
        <v>31</v>
      </c>
      <c r="F333" s="493">
        <v>20.8032</v>
      </c>
      <c r="G333" s="493">
        <v>78</v>
      </c>
      <c r="H333" s="360">
        <f t="shared" si="10"/>
        <v>1622.6496</v>
      </c>
      <c r="I333" s="137"/>
    </row>
    <row r="334" spans="2:11" s="52" customFormat="1" ht="15.75">
      <c r="B334" s="224"/>
      <c r="C334" s="129">
        <v>5</v>
      </c>
      <c r="D334" s="128" t="s">
        <v>198</v>
      </c>
      <c r="E334" s="129" t="s">
        <v>122</v>
      </c>
      <c r="F334" s="493">
        <v>31.52</v>
      </c>
      <c r="G334" s="493">
        <v>352.32</v>
      </c>
      <c r="H334" s="360">
        <f t="shared" si="10"/>
        <v>11105.126399999999</v>
      </c>
      <c r="I334" s="137"/>
    </row>
    <row r="335" spans="2:11" s="52" customFormat="1" ht="15.75">
      <c r="B335" s="224"/>
      <c r="C335" s="174"/>
      <c r="D335" s="128" t="s">
        <v>199</v>
      </c>
      <c r="E335" s="187">
        <v>0.25</v>
      </c>
      <c r="F335" s="493"/>
      <c r="G335" s="493"/>
      <c r="H335" s="360">
        <f>E335*H334</f>
        <v>2776.2815999999998</v>
      </c>
      <c r="I335" s="137"/>
    </row>
    <row r="336" spans="2:11" s="52" customFormat="1" ht="15.75">
      <c r="B336" s="224"/>
      <c r="C336" s="122">
        <v>6</v>
      </c>
      <c r="D336" s="130" t="s">
        <v>124</v>
      </c>
      <c r="E336" s="122" t="s">
        <v>125</v>
      </c>
      <c r="F336" s="494">
        <v>0.5</v>
      </c>
      <c r="G336" s="494">
        <v>29</v>
      </c>
      <c r="H336" s="360">
        <f t="shared" si="10"/>
        <v>14.5</v>
      </c>
      <c r="I336" s="137"/>
    </row>
    <row r="337" spans="2:9" s="52" customFormat="1" ht="15.75">
      <c r="B337" s="224"/>
      <c r="C337" s="175"/>
      <c r="D337" s="176" t="s">
        <v>126</v>
      </c>
      <c r="E337" s="495"/>
      <c r="F337" s="496"/>
      <c r="G337" s="354" t="s">
        <v>105</v>
      </c>
      <c r="H337" s="361">
        <f>SUM(H327:H336)</f>
        <v>62555.126600000003</v>
      </c>
      <c r="I337" s="137"/>
    </row>
    <row r="338" spans="2:9" s="52" customFormat="1" ht="15.75">
      <c r="B338" s="224"/>
      <c r="C338" s="167"/>
      <c r="D338" s="137"/>
      <c r="E338" s="167"/>
      <c r="F338" s="167"/>
      <c r="G338" s="167"/>
      <c r="H338" s="167"/>
      <c r="I338" s="137"/>
    </row>
    <row r="339" spans="2:9" s="52" customFormat="1" ht="15.75">
      <c r="B339" s="224"/>
      <c r="C339" s="141" t="s">
        <v>127</v>
      </c>
      <c r="D339" s="137"/>
      <c r="E339" s="167"/>
      <c r="F339" s="167"/>
      <c r="G339" s="167"/>
      <c r="H339" s="167"/>
      <c r="I339" s="137"/>
    </row>
    <row r="340" spans="2:9" s="52" customFormat="1" ht="15.75">
      <c r="B340" s="224"/>
      <c r="C340" s="117" t="s">
        <v>80</v>
      </c>
      <c r="D340" s="172" t="s">
        <v>81</v>
      </c>
      <c r="E340" s="117" t="s">
        <v>73</v>
      </c>
      <c r="F340" s="117" t="s">
        <v>82</v>
      </c>
      <c r="G340" s="117" t="s">
        <v>18</v>
      </c>
      <c r="H340" s="172" t="s">
        <v>19</v>
      </c>
      <c r="I340" s="137"/>
    </row>
    <row r="341" spans="2:9" s="52" customFormat="1" ht="15.75">
      <c r="B341" s="224"/>
      <c r="C341" s="122"/>
      <c r="D341" s="173"/>
      <c r="E341" s="122"/>
      <c r="F341" s="122"/>
      <c r="G341" s="122" t="s">
        <v>83</v>
      </c>
      <c r="H341" s="131" t="s">
        <v>83</v>
      </c>
      <c r="I341" s="137"/>
    </row>
    <row r="342" spans="2:9" s="52" customFormat="1" ht="15.75">
      <c r="B342" s="224"/>
      <c r="C342" s="117">
        <v>1</v>
      </c>
      <c r="D342" s="128" t="s">
        <v>128</v>
      </c>
      <c r="E342" s="117" t="s">
        <v>129</v>
      </c>
      <c r="F342" s="493">
        <v>8</v>
      </c>
      <c r="G342" s="493">
        <v>67.2</v>
      </c>
      <c r="H342" s="360">
        <f t="shared" ref="H342:H349" si="11">G342*F342</f>
        <v>537.6</v>
      </c>
      <c r="I342" s="137"/>
    </row>
    <row r="343" spans="2:9" s="52" customFormat="1" ht="15.75">
      <c r="B343" s="224"/>
      <c r="C343" s="174"/>
      <c r="D343" s="128" t="s">
        <v>130</v>
      </c>
      <c r="E343" s="129" t="s">
        <v>129</v>
      </c>
      <c r="F343" s="493">
        <v>8</v>
      </c>
      <c r="G343" s="493">
        <v>142.80000000000001</v>
      </c>
      <c r="H343" s="360">
        <f t="shared" si="11"/>
        <v>1142.4000000000001</v>
      </c>
      <c r="I343" s="137"/>
    </row>
    <row r="344" spans="2:9" s="52" customFormat="1" ht="15.75">
      <c r="B344" s="224"/>
      <c r="C344" s="129">
        <v>2</v>
      </c>
      <c r="D344" s="128" t="s">
        <v>131</v>
      </c>
      <c r="E344" s="129" t="s">
        <v>129</v>
      </c>
      <c r="F344" s="493">
        <v>0.5</v>
      </c>
      <c r="G344" s="493">
        <v>10.7</v>
      </c>
      <c r="H344" s="360">
        <f t="shared" si="11"/>
        <v>5.35</v>
      </c>
      <c r="I344" s="137"/>
    </row>
    <row r="345" spans="2:9" s="52" customFormat="1" ht="15.75">
      <c r="B345" s="224"/>
      <c r="C345" s="174"/>
      <c r="D345" s="128" t="s">
        <v>130</v>
      </c>
      <c r="E345" s="129" t="s">
        <v>129</v>
      </c>
      <c r="F345" s="493">
        <v>0.5</v>
      </c>
      <c r="G345" s="493">
        <v>142.80000000000001</v>
      </c>
      <c r="H345" s="360">
        <f t="shared" si="11"/>
        <v>71.400000000000006</v>
      </c>
      <c r="I345" s="137"/>
    </row>
    <row r="346" spans="2:9" s="52" customFormat="1" ht="15.75">
      <c r="B346" s="224"/>
      <c r="C346" s="129">
        <v>3</v>
      </c>
      <c r="D346" s="128" t="s">
        <v>132</v>
      </c>
      <c r="E346" s="129" t="s">
        <v>129</v>
      </c>
      <c r="F346" s="493">
        <v>1</v>
      </c>
      <c r="G346" s="493">
        <v>495.6</v>
      </c>
      <c r="H346" s="360">
        <f t="shared" si="11"/>
        <v>495.6</v>
      </c>
      <c r="I346" s="137"/>
    </row>
    <row r="347" spans="2:9" s="52" customFormat="1" ht="15.75">
      <c r="B347" s="224"/>
      <c r="C347" s="174"/>
      <c r="D347" s="128" t="s">
        <v>130</v>
      </c>
      <c r="E347" s="129" t="s">
        <v>129</v>
      </c>
      <c r="F347" s="493">
        <v>1</v>
      </c>
      <c r="G347" s="493">
        <v>539.6</v>
      </c>
      <c r="H347" s="360">
        <f t="shared" si="11"/>
        <v>539.6</v>
      </c>
      <c r="I347" s="137"/>
    </row>
    <row r="348" spans="2:9" s="52" customFormat="1" ht="15.75">
      <c r="B348" s="224"/>
      <c r="C348" s="129">
        <v>4</v>
      </c>
      <c r="D348" s="128" t="s">
        <v>133</v>
      </c>
      <c r="E348" s="129" t="s">
        <v>129</v>
      </c>
      <c r="F348" s="493">
        <v>8</v>
      </c>
      <c r="G348" s="493">
        <v>7.3</v>
      </c>
      <c r="H348" s="360">
        <f t="shared" si="11"/>
        <v>58.4</v>
      </c>
      <c r="I348" s="137"/>
    </row>
    <row r="349" spans="2:9" s="52" customFormat="1" ht="15.75">
      <c r="B349" s="224"/>
      <c r="C349" s="188"/>
      <c r="D349" s="130" t="s">
        <v>130</v>
      </c>
      <c r="E349" s="122" t="s">
        <v>129</v>
      </c>
      <c r="F349" s="494">
        <v>8</v>
      </c>
      <c r="G349" s="494">
        <v>31.8</v>
      </c>
      <c r="H349" s="360">
        <f t="shared" si="11"/>
        <v>254.4</v>
      </c>
      <c r="I349" s="137"/>
    </row>
    <row r="350" spans="2:9" s="52" customFormat="1" ht="15.75">
      <c r="B350" s="224"/>
      <c r="C350" s="131"/>
      <c r="D350" s="178" t="s">
        <v>134</v>
      </c>
      <c r="E350" s="121"/>
      <c r="F350" s="120"/>
      <c r="G350" s="122" t="s">
        <v>105</v>
      </c>
      <c r="H350" s="362">
        <f>SUM(H342:H349)</f>
        <v>3104.75</v>
      </c>
      <c r="I350" s="137"/>
    </row>
    <row r="351" spans="2:9" s="52" customFormat="1" ht="15.75">
      <c r="B351" s="224"/>
      <c r="C351" s="167"/>
      <c r="D351" s="137"/>
      <c r="E351" s="167"/>
      <c r="F351" s="167"/>
      <c r="G351" s="167"/>
      <c r="H351" s="167"/>
      <c r="I351" s="137"/>
    </row>
    <row r="352" spans="2:9" s="52" customFormat="1" ht="15.75">
      <c r="B352" s="224"/>
      <c r="C352" s="141" t="s">
        <v>135</v>
      </c>
      <c r="D352" s="137"/>
      <c r="E352" s="167"/>
      <c r="F352" s="167"/>
      <c r="G352" s="167"/>
      <c r="H352" s="167"/>
      <c r="I352" s="137"/>
    </row>
    <row r="353" spans="2:9" s="52" customFormat="1" ht="15.75">
      <c r="B353" s="224"/>
      <c r="C353" s="117" t="s">
        <v>80</v>
      </c>
      <c r="D353" s="172" t="s">
        <v>81</v>
      </c>
      <c r="E353" s="117" t="s">
        <v>73</v>
      </c>
      <c r="F353" s="117" t="s">
        <v>82</v>
      </c>
      <c r="G353" s="117" t="s">
        <v>18</v>
      </c>
      <c r="H353" s="172" t="s">
        <v>19</v>
      </c>
      <c r="I353" s="137"/>
    </row>
    <row r="354" spans="2:9" s="52" customFormat="1" ht="15.75">
      <c r="B354" s="224"/>
      <c r="C354" s="122"/>
      <c r="D354" s="173"/>
      <c r="E354" s="122"/>
      <c r="F354" s="122"/>
      <c r="G354" s="122" t="s">
        <v>83</v>
      </c>
      <c r="H354" s="131" t="s">
        <v>83</v>
      </c>
      <c r="I354" s="137"/>
    </row>
    <row r="355" spans="2:9" s="52" customFormat="1" ht="15.75">
      <c r="B355" s="224"/>
      <c r="C355" s="129">
        <v>1</v>
      </c>
      <c r="D355" s="138" t="s">
        <v>136</v>
      </c>
      <c r="E355" s="129" t="s">
        <v>129</v>
      </c>
      <c r="F355" s="497">
        <v>8</v>
      </c>
      <c r="G355" s="493">
        <v>375.7</v>
      </c>
      <c r="H355" s="360">
        <f t="shared" ref="H355:H367" si="12">G355*F355</f>
        <v>3005.6</v>
      </c>
      <c r="I355" s="137"/>
    </row>
    <row r="356" spans="2:9" s="52" customFormat="1" ht="15.75">
      <c r="B356" s="224"/>
      <c r="C356" s="129">
        <v>2</v>
      </c>
      <c r="D356" s="138" t="s">
        <v>137</v>
      </c>
      <c r="E356" s="129" t="s">
        <v>129</v>
      </c>
      <c r="F356" s="497">
        <v>0.5</v>
      </c>
      <c r="G356" s="493">
        <v>187.2</v>
      </c>
      <c r="H356" s="360">
        <f t="shared" si="12"/>
        <v>93.6</v>
      </c>
      <c r="I356" s="137"/>
    </row>
    <row r="357" spans="2:9" s="52" customFormat="1" ht="15.75">
      <c r="B357" s="224"/>
      <c r="C357" s="129">
        <v>3</v>
      </c>
      <c r="D357" s="138" t="s">
        <v>138</v>
      </c>
      <c r="E357" s="129" t="s">
        <v>129</v>
      </c>
      <c r="F357" s="497">
        <v>1</v>
      </c>
      <c r="G357" s="493">
        <v>293.5</v>
      </c>
      <c r="H357" s="360">
        <f t="shared" si="12"/>
        <v>293.5</v>
      </c>
      <c r="I357" s="137"/>
    </row>
    <row r="358" spans="2:9" s="52" customFormat="1" ht="15.75">
      <c r="B358" s="224"/>
      <c r="C358" s="129">
        <v>4</v>
      </c>
      <c r="D358" s="138" t="s">
        <v>139</v>
      </c>
      <c r="E358" s="129" t="s">
        <v>129</v>
      </c>
      <c r="F358" s="497">
        <v>8</v>
      </c>
      <c r="G358" s="493">
        <v>270.39999999999998</v>
      </c>
      <c r="H358" s="360">
        <f t="shared" si="12"/>
        <v>2163.1999999999998</v>
      </c>
      <c r="I358" s="137"/>
    </row>
    <row r="359" spans="2:9" s="52" customFormat="1" ht="15.75">
      <c r="B359" s="224"/>
      <c r="C359" s="129">
        <v>5</v>
      </c>
      <c r="D359" s="138" t="s">
        <v>140</v>
      </c>
      <c r="E359" s="129" t="s">
        <v>141</v>
      </c>
      <c r="F359" s="497">
        <v>1</v>
      </c>
      <c r="G359" s="493">
        <v>715</v>
      </c>
      <c r="H359" s="360">
        <f t="shared" si="12"/>
        <v>715</v>
      </c>
      <c r="I359" s="137"/>
    </row>
    <row r="360" spans="2:9" s="52" customFormat="1" ht="15.75">
      <c r="B360" s="224"/>
      <c r="C360" s="129">
        <v>6</v>
      </c>
      <c r="D360" s="138" t="s">
        <v>91</v>
      </c>
      <c r="E360" s="129" t="s">
        <v>141</v>
      </c>
      <c r="F360" s="497">
        <v>1</v>
      </c>
      <c r="G360" s="493">
        <v>845</v>
      </c>
      <c r="H360" s="360">
        <f t="shared" si="12"/>
        <v>845</v>
      </c>
      <c r="I360" s="137"/>
    </row>
    <row r="361" spans="2:9" s="52" customFormat="1" ht="15.75">
      <c r="B361" s="224"/>
      <c r="C361" s="129">
        <v>7</v>
      </c>
      <c r="D361" s="138" t="s">
        <v>142</v>
      </c>
      <c r="E361" s="129"/>
      <c r="F361" s="497"/>
      <c r="G361" s="493"/>
      <c r="H361" s="360">
        <f t="shared" si="12"/>
        <v>0</v>
      </c>
      <c r="I361" s="137"/>
    </row>
    <row r="362" spans="2:9" s="52" customFormat="1" ht="15.75">
      <c r="B362" s="224"/>
      <c r="C362" s="174"/>
      <c r="D362" s="138" t="s">
        <v>143</v>
      </c>
      <c r="E362" s="129" t="s">
        <v>141</v>
      </c>
      <c r="F362" s="497">
        <v>11</v>
      </c>
      <c r="G362" s="493">
        <v>635</v>
      </c>
      <c r="H362" s="360">
        <f t="shared" si="12"/>
        <v>6985</v>
      </c>
      <c r="I362" s="137"/>
    </row>
    <row r="363" spans="2:9" s="52" customFormat="1" ht="15.75">
      <c r="B363" s="224"/>
      <c r="C363" s="174"/>
      <c r="D363" s="138" t="s">
        <v>144</v>
      </c>
      <c r="E363" s="129" t="s">
        <v>141</v>
      </c>
      <c r="F363" s="497">
        <v>4</v>
      </c>
      <c r="G363" s="493">
        <v>635</v>
      </c>
      <c r="H363" s="360">
        <f t="shared" si="12"/>
        <v>2540</v>
      </c>
      <c r="I363" s="137"/>
    </row>
    <row r="364" spans="2:9" s="52" customFormat="1" ht="15.75">
      <c r="B364" s="224"/>
      <c r="C364" s="174"/>
      <c r="D364" s="138" t="s">
        <v>145</v>
      </c>
      <c r="E364" s="129" t="s">
        <v>141</v>
      </c>
      <c r="F364" s="497">
        <v>4</v>
      </c>
      <c r="G364" s="493">
        <v>635</v>
      </c>
      <c r="H364" s="360">
        <f t="shared" si="12"/>
        <v>2540</v>
      </c>
      <c r="I364" s="137"/>
    </row>
    <row r="365" spans="2:9" s="52" customFormat="1" ht="15.75">
      <c r="B365" s="224"/>
      <c r="C365" s="174"/>
      <c r="D365" s="138" t="s">
        <v>146</v>
      </c>
      <c r="E365" s="129" t="s">
        <v>141</v>
      </c>
      <c r="F365" s="497">
        <v>15.76</v>
      </c>
      <c r="G365" s="493">
        <v>635</v>
      </c>
      <c r="H365" s="360">
        <f t="shared" si="12"/>
        <v>10007.6</v>
      </c>
      <c r="I365" s="137"/>
    </row>
    <row r="366" spans="2:9" s="52" customFormat="1" ht="15.75">
      <c r="B366" s="224"/>
      <c r="C366" s="174"/>
      <c r="D366" s="138" t="s">
        <v>147</v>
      </c>
      <c r="E366" s="129" t="s">
        <v>141</v>
      </c>
      <c r="F366" s="497">
        <v>1</v>
      </c>
      <c r="G366" s="493">
        <v>635</v>
      </c>
      <c r="H366" s="360">
        <f t="shared" si="12"/>
        <v>635</v>
      </c>
      <c r="I366" s="137"/>
    </row>
    <row r="367" spans="2:9" s="52" customFormat="1" ht="15.75">
      <c r="B367" s="224"/>
      <c r="C367" s="129">
        <v>8</v>
      </c>
      <c r="D367" s="138" t="s">
        <v>200</v>
      </c>
      <c r="E367" s="129" t="s">
        <v>122</v>
      </c>
      <c r="F367" s="497">
        <v>31.52</v>
      </c>
      <c r="G367" s="493">
        <v>156.9</v>
      </c>
      <c r="H367" s="360">
        <f t="shared" si="12"/>
        <v>4945.4880000000003</v>
      </c>
      <c r="I367" s="137"/>
    </row>
    <row r="368" spans="2:9" s="52" customFormat="1" ht="15.75">
      <c r="B368" s="224"/>
      <c r="C368" s="174"/>
      <c r="D368" s="138" t="s">
        <v>201</v>
      </c>
      <c r="E368" s="187">
        <v>0.25</v>
      </c>
      <c r="F368" s="497"/>
      <c r="G368" s="493"/>
      <c r="H368" s="360">
        <f>E368*H367</f>
        <v>1236.3720000000001</v>
      </c>
      <c r="I368" s="137"/>
    </row>
    <row r="369" spans="2:15" s="52" customFormat="1" ht="15.75">
      <c r="B369" s="224"/>
      <c r="C369" s="175"/>
      <c r="D369" s="176" t="s">
        <v>150</v>
      </c>
      <c r="E369" s="495"/>
      <c r="F369" s="496"/>
      <c r="G369" s="354" t="s">
        <v>105</v>
      </c>
      <c r="H369" s="361">
        <f>SUM(H355:H368)</f>
        <v>36005.360000000001</v>
      </c>
      <c r="I369" s="137"/>
    </row>
    <row r="370" spans="2:15" s="52" customFormat="1" ht="15.75">
      <c r="B370" s="224"/>
      <c r="C370" s="137" t="s">
        <v>95</v>
      </c>
      <c r="D370" s="137"/>
      <c r="E370" s="167"/>
      <c r="F370" s="139">
        <f>H369/15.76</f>
        <v>2284.6040609137058</v>
      </c>
      <c r="G370" s="167"/>
      <c r="H370" s="167"/>
      <c r="I370" s="137"/>
    </row>
    <row r="371" spans="2:15" s="52" customFormat="1" ht="15.75">
      <c r="B371" s="224"/>
      <c r="C371" s="137" t="s">
        <v>96</v>
      </c>
      <c r="D371" s="137"/>
      <c r="E371" s="484">
        <v>0.13614999999999999</v>
      </c>
      <c r="F371" s="139">
        <f>E371*F370</f>
        <v>311.048842893401</v>
      </c>
      <c r="G371" s="167"/>
      <c r="H371" s="167"/>
      <c r="I371" s="137"/>
    </row>
    <row r="372" spans="2:15" s="52" customFormat="1" ht="15.75">
      <c r="B372" s="224"/>
      <c r="C372" s="137" t="s">
        <v>97</v>
      </c>
      <c r="D372" s="137"/>
      <c r="E372" s="167"/>
      <c r="F372" s="485">
        <f>ROUND(SUM(F370:F371),1)</f>
        <v>2595.6999999999998</v>
      </c>
      <c r="G372" s="167"/>
      <c r="H372" s="167"/>
      <c r="I372" s="137"/>
    </row>
    <row r="373" spans="2:15" s="52" customFormat="1" ht="15.75">
      <c r="B373" s="224"/>
      <c r="C373" s="167"/>
      <c r="D373" s="137"/>
      <c r="E373" s="167"/>
      <c r="F373" s="167"/>
      <c r="G373" s="167"/>
      <c r="H373" s="167"/>
      <c r="I373" s="137"/>
    </row>
    <row r="374" spans="2:15" s="52" customFormat="1" ht="15.75">
      <c r="B374" s="224"/>
      <c r="C374" s="179" t="s">
        <v>186</v>
      </c>
      <c r="D374" s="137"/>
      <c r="E374" s="167"/>
      <c r="F374" s="167"/>
      <c r="G374" s="167"/>
      <c r="H374" s="167"/>
      <c r="I374" s="137"/>
    </row>
    <row r="375" spans="2:15" s="52" customFormat="1" ht="15.75">
      <c r="B375" s="224"/>
      <c r="C375" s="137" t="s">
        <v>151</v>
      </c>
      <c r="D375" s="137"/>
      <c r="E375" s="167"/>
      <c r="F375" s="167"/>
      <c r="G375" s="167" t="s">
        <v>105</v>
      </c>
      <c r="H375" s="139">
        <f>H337</f>
        <v>62555.126600000003</v>
      </c>
      <c r="I375" s="137"/>
    </row>
    <row r="376" spans="2:15" s="52" customFormat="1" ht="15.75">
      <c r="B376" s="224"/>
      <c r="C376" s="137" t="s">
        <v>152</v>
      </c>
      <c r="D376" s="137"/>
      <c r="E376" s="167"/>
      <c r="F376" s="167"/>
      <c r="G376" s="167" t="s">
        <v>105</v>
      </c>
      <c r="H376" s="139">
        <f>H350</f>
        <v>3104.75</v>
      </c>
      <c r="I376" s="137"/>
    </row>
    <row r="377" spans="2:15" s="52" customFormat="1" ht="15.75">
      <c r="B377" s="224"/>
      <c r="C377" s="137" t="s">
        <v>153</v>
      </c>
      <c r="D377" s="137"/>
      <c r="E377" s="167"/>
      <c r="F377" s="167"/>
      <c r="G377" s="167" t="s">
        <v>105</v>
      </c>
      <c r="H377" s="139">
        <f>H369</f>
        <v>36005.360000000001</v>
      </c>
      <c r="I377" s="137"/>
    </row>
    <row r="378" spans="2:15" s="52" customFormat="1" ht="15.75">
      <c r="B378" s="224"/>
      <c r="C378" s="167"/>
      <c r="D378" s="137"/>
      <c r="E378" s="167"/>
      <c r="F378" s="167"/>
      <c r="G378" s="167" t="s">
        <v>154</v>
      </c>
      <c r="H378" s="180">
        <f>SUM(H375:H377)</f>
        <v>101665.2366</v>
      </c>
      <c r="I378" s="137"/>
    </row>
    <row r="379" spans="2:15" s="52" customFormat="1" ht="15.75">
      <c r="B379" s="224"/>
      <c r="C379" s="567" t="s">
        <v>104</v>
      </c>
      <c r="D379" s="567"/>
      <c r="E379" s="167"/>
      <c r="F379" s="484">
        <v>0.13614999999999999</v>
      </c>
      <c r="G379" s="167" t="s">
        <v>105</v>
      </c>
      <c r="H379" s="139">
        <f>H378*F379</f>
        <v>13841.72196309</v>
      </c>
      <c r="I379" s="137"/>
    </row>
    <row r="380" spans="2:15" s="52" customFormat="1" ht="15.75">
      <c r="B380" s="224"/>
      <c r="C380" s="137" t="s">
        <v>106</v>
      </c>
      <c r="D380" s="137"/>
      <c r="E380" s="139">
        <v>15.76</v>
      </c>
      <c r="F380" s="139" t="s">
        <v>74</v>
      </c>
      <c r="G380" s="167" t="s">
        <v>105</v>
      </c>
      <c r="H380" s="143">
        <f>SUM(H378:H379)</f>
        <v>115506.95856309001</v>
      </c>
      <c r="I380" s="137"/>
    </row>
    <row r="381" spans="2:15" s="52" customFormat="1" ht="15.75">
      <c r="B381" s="224"/>
      <c r="C381" s="179" t="s">
        <v>215</v>
      </c>
      <c r="D381" s="181"/>
      <c r="E381" s="167" t="s">
        <v>202</v>
      </c>
      <c r="F381" s="167"/>
      <c r="G381" s="167" t="s">
        <v>109</v>
      </c>
      <c r="H381" s="143">
        <f>H380/15.76</f>
        <v>7329.121736236676</v>
      </c>
      <c r="I381" s="137"/>
      <c r="J381" s="67"/>
      <c r="K381" s="68"/>
      <c r="O381" s="68"/>
    </row>
    <row r="382" spans="2:15" s="52" customFormat="1" ht="27" customHeight="1">
      <c r="B382" s="224"/>
      <c r="C382" s="179"/>
      <c r="D382" s="565" t="s">
        <v>336</v>
      </c>
      <c r="E382" s="565"/>
      <c r="F382" s="108">
        <v>0.22500000000000001</v>
      </c>
      <c r="G382" s="153">
        <f>'lead chart'!P7</f>
        <v>437.4</v>
      </c>
      <c r="H382" s="153">
        <f>F382*G382</f>
        <v>98.414999999999992</v>
      </c>
      <c r="I382" s="137"/>
      <c r="J382" s="67"/>
      <c r="K382" s="570"/>
      <c r="L382" s="570"/>
      <c r="M382" s="58"/>
      <c r="N382" s="65"/>
      <c r="O382" s="65"/>
    </row>
    <row r="383" spans="2:15" s="52" customFormat="1" ht="33" customHeight="1">
      <c r="B383" s="224"/>
      <c r="C383" s="179"/>
      <c r="D383" s="565" t="s">
        <v>337</v>
      </c>
      <c r="E383" s="565"/>
      <c r="F383" s="108">
        <v>0.22500000000000001</v>
      </c>
      <c r="G383" s="153">
        <f>'lead chart'!P8</f>
        <v>437.4</v>
      </c>
      <c r="H383" s="153">
        <f>F383*G383</f>
        <v>98.414999999999992</v>
      </c>
      <c r="I383" s="137"/>
      <c r="J383" s="67"/>
      <c r="K383" s="69"/>
      <c r="L383" s="69"/>
      <c r="M383" s="58"/>
      <c r="N383" s="65"/>
      <c r="O383" s="65"/>
    </row>
    <row r="384" spans="2:15" s="52" customFormat="1" ht="15.75">
      <c r="B384" s="224"/>
      <c r="C384" s="179"/>
      <c r="D384" s="566" t="s">
        <v>338</v>
      </c>
      <c r="E384" s="566"/>
      <c r="F384" s="108">
        <v>0.8</v>
      </c>
      <c r="G384" s="153">
        <f>'lead chart'!P9</f>
        <v>437.4</v>
      </c>
      <c r="H384" s="153">
        <f>F384*G384</f>
        <v>349.92</v>
      </c>
      <c r="I384" s="137"/>
      <c r="J384" s="67"/>
      <c r="K384" s="570"/>
      <c r="L384" s="570"/>
      <c r="M384" s="58"/>
      <c r="N384" s="65"/>
      <c r="O384" s="65"/>
    </row>
    <row r="385" spans="1:15" s="52" customFormat="1" ht="15.75">
      <c r="B385" s="108"/>
      <c r="C385" s="179"/>
      <c r="D385" s="189"/>
      <c r="E385" s="189"/>
      <c r="F385" s="108"/>
      <c r="G385" s="153" t="s">
        <v>203</v>
      </c>
      <c r="H385" s="153">
        <f>SUM(H381:H384)</f>
        <v>7875.871736236676</v>
      </c>
      <c r="I385" s="108"/>
      <c r="J385" s="67"/>
      <c r="K385" s="69"/>
      <c r="L385" s="69"/>
      <c r="M385" s="58"/>
      <c r="N385" s="65"/>
      <c r="O385" s="65"/>
    </row>
    <row r="386" spans="1:15" s="52" customFormat="1" ht="17.25" customHeight="1">
      <c r="B386" s="217"/>
      <c r="C386" s="108"/>
      <c r="D386" s="108"/>
      <c r="E386" s="108"/>
      <c r="F386" s="108"/>
      <c r="G386" s="108" t="s">
        <v>36</v>
      </c>
      <c r="H386" s="144">
        <f>ROUND(H385,0)</f>
        <v>7876</v>
      </c>
      <c r="I386" s="137"/>
      <c r="J386" s="58"/>
      <c r="K386" s="58"/>
      <c r="L386" s="58"/>
      <c r="M386" s="58"/>
      <c r="N386" s="58"/>
      <c r="O386" s="64"/>
    </row>
    <row r="387" spans="1:15" s="52" customFormat="1" ht="12.75" customHeight="1">
      <c r="A387" s="558">
        <v>7</v>
      </c>
      <c r="B387" s="564" t="s">
        <v>34</v>
      </c>
      <c r="C387" s="571" t="s">
        <v>204</v>
      </c>
      <c r="D387" s="571"/>
      <c r="E387" s="571"/>
      <c r="F387" s="571"/>
      <c r="G387" s="571"/>
      <c r="H387" s="571"/>
      <c r="I387" s="137"/>
    </row>
    <row r="388" spans="1:15" s="52" customFormat="1" ht="15.75">
      <c r="A388" s="558"/>
      <c r="B388" s="564"/>
      <c r="C388" s="571"/>
      <c r="D388" s="571"/>
      <c r="E388" s="571"/>
      <c r="F388" s="571"/>
      <c r="G388" s="571"/>
      <c r="H388" s="571"/>
      <c r="I388" s="137"/>
    </row>
    <row r="389" spans="1:15" s="52" customFormat="1" ht="15.75">
      <c r="A389" s="558"/>
      <c r="B389" s="564"/>
      <c r="C389" s="571"/>
      <c r="D389" s="571"/>
      <c r="E389" s="571"/>
      <c r="F389" s="571"/>
      <c r="G389" s="571"/>
      <c r="H389" s="571"/>
      <c r="I389" s="137"/>
    </row>
    <row r="390" spans="1:15" s="52" customFormat="1" ht="15.75">
      <c r="A390" s="558"/>
      <c r="B390" s="564"/>
      <c r="C390" s="571"/>
      <c r="D390" s="571"/>
      <c r="E390" s="571"/>
      <c r="F390" s="571"/>
      <c r="G390" s="571"/>
      <c r="H390" s="571"/>
      <c r="I390" s="137"/>
    </row>
    <row r="391" spans="1:15" s="52" customFormat="1" ht="15.75">
      <c r="A391" s="558"/>
      <c r="B391" s="564"/>
      <c r="C391" s="571"/>
      <c r="D391" s="571"/>
      <c r="E391" s="571"/>
      <c r="F391" s="571"/>
      <c r="G391" s="571"/>
      <c r="H391" s="571"/>
      <c r="I391" s="137"/>
    </row>
    <row r="392" spans="1:15" s="52" customFormat="1" ht="15.75">
      <c r="A392" s="558"/>
      <c r="B392" s="564" t="s">
        <v>162</v>
      </c>
      <c r="C392" s="571"/>
      <c r="D392" s="571"/>
      <c r="E392" s="571"/>
      <c r="F392" s="571"/>
      <c r="G392" s="571"/>
      <c r="H392" s="571"/>
      <c r="I392" s="137"/>
    </row>
    <row r="393" spans="1:15" s="52" customFormat="1" ht="15.75">
      <c r="B393" s="222"/>
      <c r="C393" s="571"/>
      <c r="D393" s="571"/>
      <c r="E393" s="571"/>
      <c r="F393" s="571"/>
      <c r="G393" s="571"/>
      <c r="H393" s="571"/>
      <c r="I393" s="137"/>
    </row>
    <row r="394" spans="1:15" s="52" customFormat="1" ht="15.75">
      <c r="B394" s="222"/>
      <c r="C394" s="571"/>
      <c r="D394" s="571"/>
      <c r="E394" s="571"/>
      <c r="F394" s="571"/>
      <c r="G394" s="571"/>
      <c r="H394" s="571"/>
      <c r="I394" s="137"/>
    </row>
    <row r="395" spans="1:15" s="52" customFormat="1" ht="6.75" customHeight="1">
      <c r="B395" s="222"/>
      <c r="C395" s="571"/>
      <c r="D395" s="571"/>
      <c r="E395" s="571"/>
      <c r="F395" s="571"/>
      <c r="G395" s="571"/>
      <c r="H395" s="571"/>
      <c r="I395" s="137"/>
    </row>
    <row r="396" spans="1:15" s="52" customFormat="1" ht="15.75" hidden="1">
      <c r="B396" s="222" t="s">
        <v>75</v>
      </c>
      <c r="C396" s="137" t="s">
        <v>156</v>
      </c>
      <c r="D396" s="137"/>
      <c r="E396" s="137"/>
      <c r="F396" s="137"/>
      <c r="G396" s="137"/>
      <c r="H396" s="167"/>
      <c r="I396" s="137"/>
    </row>
    <row r="397" spans="1:15" s="52" customFormat="1" ht="15.75" hidden="1">
      <c r="B397" s="222"/>
      <c r="C397" s="137" t="s">
        <v>205</v>
      </c>
      <c r="D397" s="137"/>
      <c r="E397" s="137"/>
      <c r="F397" s="137"/>
      <c r="G397" s="137"/>
      <c r="H397" s="167"/>
      <c r="I397" s="137"/>
    </row>
    <row r="398" spans="1:15" s="52" customFormat="1" ht="15.75" hidden="1">
      <c r="B398" s="222"/>
      <c r="C398" s="137" t="s">
        <v>206</v>
      </c>
      <c r="D398" s="137"/>
      <c r="E398" s="137"/>
      <c r="F398" s="137"/>
      <c r="G398" s="137"/>
      <c r="H398" s="167"/>
      <c r="I398" s="137"/>
    </row>
    <row r="399" spans="1:15" s="52" customFormat="1" ht="15.75" hidden="1">
      <c r="B399" s="222"/>
      <c r="C399" s="137" t="s">
        <v>207</v>
      </c>
      <c r="D399" s="137"/>
      <c r="E399" s="137"/>
      <c r="F399" s="137">
        <v>15.76</v>
      </c>
      <c r="G399" s="137"/>
      <c r="H399" s="167" t="s">
        <v>157</v>
      </c>
      <c r="I399" s="137"/>
    </row>
    <row r="400" spans="1:15" s="52" customFormat="1" ht="15.75" hidden="1">
      <c r="B400" s="222"/>
      <c r="C400" s="137" t="s">
        <v>158</v>
      </c>
      <c r="D400" s="137"/>
      <c r="E400" s="137"/>
      <c r="F400" s="137"/>
      <c r="G400" s="137"/>
      <c r="H400" s="167"/>
      <c r="I400" s="137"/>
    </row>
    <row r="401" spans="2:10" s="52" customFormat="1" ht="15.75" hidden="1">
      <c r="B401" s="222"/>
      <c r="C401" s="137" t="s">
        <v>208</v>
      </c>
      <c r="D401" s="137"/>
      <c r="E401" s="137"/>
      <c r="F401" s="137"/>
      <c r="G401" s="137"/>
      <c r="H401" s="167"/>
      <c r="I401" s="137"/>
    </row>
    <row r="402" spans="2:10" s="52" customFormat="1" ht="15.75" hidden="1">
      <c r="B402" s="222"/>
      <c r="C402" s="137" t="s">
        <v>209</v>
      </c>
      <c r="D402" s="137"/>
      <c r="E402" s="137"/>
      <c r="F402" s="137"/>
      <c r="G402" s="140">
        <v>254.99337643999999</v>
      </c>
      <c r="H402" s="167" t="s">
        <v>169</v>
      </c>
      <c r="I402" s="137"/>
    </row>
    <row r="403" spans="2:10" s="52" customFormat="1" ht="15.75" hidden="1">
      <c r="B403" s="222"/>
      <c r="C403" s="137" t="s">
        <v>210</v>
      </c>
      <c r="D403" s="137"/>
      <c r="E403" s="137"/>
      <c r="F403" s="137"/>
      <c r="G403" s="137"/>
      <c r="H403" s="167"/>
      <c r="I403" s="137"/>
    </row>
    <row r="404" spans="2:10" s="52" customFormat="1" ht="15.75" hidden="1">
      <c r="B404" s="222"/>
      <c r="C404" s="137" t="s">
        <v>211</v>
      </c>
      <c r="D404" s="137"/>
      <c r="E404" s="137"/>
      <c r="F404" s="137"/>
      <c r="G404" s="140">
        <v>98.7</v>
      </c>
      <c r="H404" s="167" t="s">
        <v>169</v>
      </c>
      <c r="I404" s="137"/>
    </row>
    <row r="405" spans="2:10" s="52" customFormat="1" ht="15.75" hidden="1">
      <c r="B405" s="222"/>
      <c r="C405" s="137" t="s">
        <v>212</v>
      </c>
      <c r="D405" s="137"/>
      <c r="E405" s="137"/>
      <c r="F405" s="137"/>
      <c r="G405" s="137"/>
      <c r="H405" s="167"/>
      <c r="I405" s="137"/>
    </row>
    <row r="406" spans="2:10" s="52" customFormat="1" ht="15.75" hidden="1">
      <c r="B406" s="222"/>
      <c r="C406" s="137" t="s">
        <v>174</v>
      </c>
      <c r="D406" s="137"/>
      <c r="E406" s="137"/>
      <c r="F406" s="137"/>
      <c r="G406" s="137"/>
      <c r="H406" s="167"/>
      <c r="I406" s="137"/>
    </row>
    <row r="407" spans="2:10" s="52" customFormat="1" ht="15.75" hidden="1">
      <c r="B407" s="222"/>
      <c r="C407" s="137" t="s">
        <v>213</v>
      </c>
      <c r="D407" s="137"/>
      <c r="E407" s="137"/>
      <c r="F407" s="137"/>
      <c r="G407" s="137"/>
      <c r="H407" s="167"/>
      <c r="I407" s="137"/>
    </row>
    <row r="408" spans="2:10" s="52" customFormat="1" ht="15.75">
      <c r="B408" s="224"/>
      <c r="C408" s="167"/>
      <c r="D408" s="137"/>
      <c r="E408" s="137"/>
      <c r="F408" s="137"/>
      <c r="G408" s="137"/>
      <c r="H408" s="167"/>
      <c r="I408" s="137"/>
    </row>
    <row r="409" spans="2:10" s="52" customFormat="1" ht="15.75">
      <c r="B409" s="222" t="s">
        <v>75</v>
      </c>
      <c r="C409" s="167"/>
      <c r="D409" s="171" t="s">
        <v>76</v>
      </c>
      <c r="E409" s="455"/>
      <c r="F409" s="455" t="s">
        <v>111</v>
      </c>
      <c r="G409" s="186">
        <v>15.76</v>
      </c>
      <c r="H409" s="455" t="s">
        <v>74</v>
      </c>
      <c r="I409" s="137"/>
    </row>
    <row r="410" spans="2:10" s="52" customFormat="1" ht="15.75">
      <c r="B410" s="224"/>
      <c r="C410" s="141" t="s">
        <v>112</v>
      </c>
      <c r="D410" s="137"/>
      <c r="E410" s="455"/>
      <c r="F410" s="455"/>
      <c r="G410" s="455"/>
      <c r="H410" s="455"/>
      <c r="I410" s="137"/>
    </row>
    <row r="411" spans="2:10" s="52" customFormat="1" ht="15.75">
      <c r="B411" s="224"/>
      <c r="C411" s="117" t="s">
        <v>80</v>
      </c>
      <c r="D411" s="172" t="s">
        <v>113</v>
      </c>
      <c r="E411" s="427" t="s">
        <v>73</v>
      </c>
      <c r="F411" s="427" t="s">
        <v>82</v>
      </c>
      <c r="G411" s="427" t="s">
        <v>18</v>
      </c>
      <c r="H411" s="464" t="s">
        <v>19</v>
      </c>
      <c r="I411" s="137"/>
    </row>
    <row r="412" spans="2:10" s="52" customFormat="1" ht="15.75">
      <c r="B412" s="224"/>
      <c r="C412" s="122"/>
      <c r="D412" s="173"/>
      <c r="E412" s="474"/>
      <c r="F412" s="474"/>
      <c r="G412" s="474" t="s">
        <v>83</v>
      </c>
      <c r="H412" s="467" t="s">
        <v>83</v>
      </c>
      <c r="I412" s="140"/>
      <c r="J412" s="63"/>
    </row>
    <row r="413" spans="2:10" s="52" customFormat="1" ht="15.75">
      <c r="B413" s="224"/>
      <c r="C413" s="117">
        <v>1</v>
      </c>
      <c r="D413" s="128" t="s">
        <v>114</v>
      </c>
      <c r="E413" s="427" t="s">
        <v>31</v>
      </c>
      <c r="F413" s="498">
        <v>5200.8</v>
      </c>
      <c r="G413" s="498">
        <v>5.2</v>
      </c>
      <c r="H413" s="364">
        <f t="shared" ref="H413:H420" si="13">F413*G413</f>
        <v>27044.160000000003</v>
      </c>
      <c r="I413" s="140">
        <f>F413*G413</f>
        <v>27044.160000000003</v>
      </c>
      <c r="J413" s="63">
        <f>F413*5.2</f>
        <v>27044.160000000003</v>
      </c>
    </row>
    <row r="414" spans="2:10" s="52" customFormat="1" ht="15.75">
      <c r="B414" s="224"/>
      <c r="C414" s="174"/>
      <c r="D414" s="128" t="s">
        <v>197</v>
      </c>
      <c r="E414" s="472" t="s">
        <v>31</v>
      </c>
      <c r="F414" s="498">
        <v>78.8</v>
      </c>
      <c r="G414" s="498">
        <v>5.2</v>
      </c>
      <c r="H414" s="364">
        <f t="shared" si="13"/>
        <v>409.76</v>
      </c>
      <c r="I414" s="140">
        <f>F414*G414</f>
        <v>409.76</v>
      </c>
      <c r="J414" s="63">
        <f>F414*5.2</f>
        <v>409.76</v>
      </c>
    </row>
    <row r="415" spans="2:10" s="52" customFormat="1" ht="15.75">
      <c r="B415" s="224"/>
      <c r="C415" s="129">
        <v>2</v>
      </c>
      <c r="D415" s="128" t="s">
        <v>117</v>
      </c>
      <c r="E415" s="472" t="s">
        <v>74</v>
      </c>
      <c r="F415" s="498">
        <v>8.1951999999999998</v>
      </c>
      <c r="G415" s="498">
        <v>1230</v>
      </c>
      <c r="H415" s="364">
        <f t="shared" si="13"/>
        <v>10080.096</v>
      </c>
      <c r="I415" s="140">
        <f>SUM(I413:I414)</f>
        <v>27453.920000000002</v>
      </c>
      <c r="J415" s="63">
        <f>SUM(J413:J414)</f>
        <v>27453.920000000002</v>
      </c>
    </row>
    <row r="416" spans="2:10" s="52" customFormat="1" ht="15.75">
      <c r="B416" s="224"/>
      <c r="C416" s="174"/>
      <c r="D416" s="128" t="s">
        <v>118</v>
      </c>
      <c r="E416" s="472" t="s">
        <v>74</v>
      </c>
      <c r="F416" s="498">
        <v>4.4127999999999998</v>
      </c>
      <c r="G416" s="498">
        <v>945</v>
      </c>
      <c r="H416" s="364">
        <f t="shared" si="13"/>
        <v>4170.0959999999995</v>
      </c>
      <c r="I416" s="140">
        <f>I415-J415</f>
        <v>0</v>
      </c>
    </row>
    <row r="417" spans="2:9" s="52" customFormat="1" ht="15.75">
      <c r="B417" s="224"/>
      <c r="C417" s="129">
        <v>3</v>
      </c>
      <c r="D417" s="128" t="s">
        <v>179</v>
      </c>
      <c r="E417" s="472" t="s">
        <v>74</v>
      </c>
      <c r="F417" s="498">
        <f>7.092/2</f>
        <v>3.5459999999999998</v>
      </c>
      <c r="G417" s="498">
        <v>777</v>
      </c>
      <c r="H417" s="364">
        <f t="shared" si="13"/>
        <v>2755.2419999999997</v>
      </c>
      <c r="I417" s="140"/>
    </row>
    <row r="418" spans="2:9" s="52" customFormat="1" ht="15.75">
      <c r="B418" s="224"/>
      <c r="C418" s="129"/>
      <c r="D418" s="154" t="s">
        <v>328</v>
      </c>
      <c r="E418" s="439" t="s">
        <v>74</v>
      </c>
      <c r="F418" s="260">
        <f>7.09/2</f>
        <v>3.5449999999999999</v>
      </c>
      <c r="G418" s="260">
        <v>727</v>
      </c>
      <c r="H418" s="364">
        <f t="shared" si="13"/>
        <v>2577.2150000000001</v>
      </c>
      <c r="I418" s="140"/>
    </row>
    <row r="419" spans="2:9" s="52" customFormat="1" ht="15.75">
      <c r="B419" s="224"/>
      <c r="C419" s="129">
        <v>4</v>
      </c>
      <c r="D419" s="128" t="s">
        <v>120</v>
      </c>
      <c r="E419" s="472" t="s">
        <v>31</v>
      </c>
      <c r="F419" s="498">
        <v>20.8032</v>
      </c>
      <c r="G419" s="498">
        <v>78</v>
      </c>
      <c r="H419" s="364">
        <f t="shared" si="13"/>
        <v>1622.6496</v>
      </c>
      <c r="I419" s="140"/>
    </row>
    <row r="420" spans="2:9" s="52" customFormat="1" ht="15.75">
      <c r="B420" s="224"/>
      <c r="C420" s="129">
        <v>5</v>
      </c>
      <c r="D420" s="128" t="s">
        <v>214</v>
      </c>
      <c r="E420" s="472" t="s">
        <v>122</v>
      </c>
      <c r="F420" s="498">
        <v>39.4</v>
      </c>
      <c r="G420" s="498">
        <v>427.83</v>
      </c>
      <c r="H420" s="364">
        <f t="shared" si="13"/>
        <v>16856.502</v>
      </c>
      <c r="I420" s="137"/>
    </row>
    <row r="421" spans="2:9" s="52" customFormat="1" ht="15.75">
      <c r="B421" s="224"/>
      <c r="C421" s="174"/>
      <c r="D421" s="128" t="s">
        <v>123</v>
      </c>
      <c r="E421" s="506">
        <v>2.5</v>
      </c>
      <c r="F421" s="498"/>
      <c r="G421" s="498"/>
      <c r="H421" s="364">
        <f>E421*H420</f>
        <v>42141.255000000005</v>
      </c>
      <c r="I421" s="137"/>
    </row>
    <row r="422" spans="2:9" s="52" customFormat="1" ht="15.75">
      <c r="B422" s="224"/>
      <c r="C422" s="122">
        <v>6</v>
      </c>
      <c r="D422" s="130" t="s">
        <v>124</v>
      </c>
      <c r="E422" s="474" t="s">
        <v>125</v>
      </c>
      <c r="F422" s="500">
        <v>1</v>
      </c>
      <c r="G422" s="500">
        <v>29</v>
      </c>
      <c r="H422" s="364">
        <f>F422*G422</f>
        <v>29</v>
      </c>
      <c r="I422" s="137"/>
    </row>
    <row r="423" spans="2:9" s="52" customFormat="1" ht="15.75">
      <c r="B423" s="224"/>
      <c r="C423" s="175"/>
      <c r="D423" s="176" t="s">
        <v>126</v>
      </c>
      <c r="E423" s="501"/>
      <c r="F423" s="502"/>
      <c r="G423" s="289" t="s">
        <v>105</v>
      </c>
      <c r="H423" s="503">
        <f>SUM(H413:H422)</f>
        <v>107685.97560000001</v>
      </c>
      <c r="I423" s="137"/>
    </row>
    <row r="424" spans="2:9" s="52" customFormat="1" ht="15.75">
      <c r="B424" s="224"/>
      <c r="C424" s="167"/>
      <c r="D424" s="137"/>
      <c r="E424" s="455"/>
      <c r="F424" s="455"/>
      <c r="G424" s="455"/>
      <c r="H424" s="455"/>
      <c r="I424" s="137"/>
    </row>
    <row r="425" spans="2:9" s="52" customFormat="1" ht="15.75">
      <c r="B425" s="224"/>
      <c r="C425" s="141" t="s">
        <v>127</v>
      </c>
      <c r="D425" s="137"/>
      <c r="E425" s="455"/>
      <c r="F425" s="455"/>
      <c r="G425" s="455"/>
      <c r="H425" s="455"/>
      <c r="I425" s="137"/>
    </row>
    <row r="426" spans="2:9" s="52" customFormat="1" ht="15.75">
      <c r="B426" s="224"/>
      <c r="C426" s="117" t="s">
        <v>80</v>
      </c>
      <c r="D426" s="172" t="s">
        <v>81</v>
      </c>
      <c r="E426" s="427" t="s">
        <v>73</v>
      </c>
      <c r="F426" s="427" t="s">
        <v>82</v>
      </c>
      <c r="G426" s="427" t="s">
        <v>18</v>
      </c>
      <c r="H426" s="464" t="s">
        <v>19</v>
      </c>
      <c r="I426" s="137"/>
    </row>
    <row r="427" spans="2:9" s="52" customFormat="1" ht="15.75">
      <c r="B427" s="224"/>
      <c r="C427" s="122"/>
      <c r="D427" s="173"/>
      <c r="E427" s="474"/>
      <c r="F427" s="474"/>
      <c r="G427" s="474" t="s">
        <v>83</v>
      </c>
      <c r="H427" s="467" t="s">
        <v>83</v>
      </c>
      <c r="I427" s="137"/>
    </row>
    <row r="428" spans="2:9" s="52" customFormat="1" ht="15.75">
      <c r="B428" s="224"/>
      <c r="C428" s="117">
        <v>1</v>
      </c>
      <c r="D428" s="115" t="s">
        <v>128</v>
      </c>
      <c r="E428" s="463" t="s">
        <v>129</v>
      </c>
      <c r="F428" s="426">
        <v>8</v>
      </c>
      <c r="G428" s="498">
        <v>67.2</v>
      </c>
      <c r="H428" s="364">
        <f t="shared" ref="H428:H433" si="14">G428*F428</f>
        <v>537.6</v>
      </c>
      <c r="I428" s="137"/>
    </row>
    <row r="429" spans="2:9" s="52" customFormat="1" ht="15.75">
      <c r="B429" s="224"/>
      <c r="C429" s="174"/>
      <c r="D429" s="127" t="s">
        <v>130</v>
      </c>
      <c r="E429" s="455" t="s">
        <v>129</v>
      </c>
      <c r="F429" s="498">
        <v>8</v>
      </c>
      <c r="G429" s="498">
        <v>142.80000000000001</v>
      </c>
      <c r="H429" s="364">
        <f t="shared" si="14"/>
        <v>1142.4000000000001</v>
      </c>
      <c r="I429" s="137"/>
    </row>
    <row r="430" spans="2:9" s="52" customFormat="1" ht="15.75">
      <c r="B430" s="224"/>
      <c r="C430" s="129">
        <v>2</v>
      </c>
      <c r="D430" s="127" t="s">
        <v>131</v>
      </c>
      <c r="E430" s="455" t="s">
        <v>129</v>
      </c>
      <c r="F430" s="498">
        <v>0.5</v>
      </c>
      <c r="G430" s="498">
        <v>10.7</v>
      </c>
      <c r="H430" s="364">
        <f t="shared" si="14"/>
        <v>5.35</v>
      </c>
      <c r="I430" s="137"/>
    </row>
    <row r="431" spans="2:9" s="52" customFormat="1" ht="15.75">
      <c r="B431" s="224"/>
      <c r="C431" s="174"/>
      <c r="D431" s="127" t="s">
        <v>130</v>
      </c>
      <c r="E431" s="455" t="s">
        <v>129</v>
      </c>
      <c r="F431" s="498">
        <v>0.5</v>
      </c>
      <c r="G431" s="498">
        <v>142.80000000000001</v>
      </c>
      <c r="H431" s="364">
        <f t="shared" si="14"/>
        <v>71.400000000000006</v>
      </c>
      <c r="I431" s="137"/>
    </row>
    <row r="432" spans="2:9" s="52" customFormat="1" ht="15.75">
      <c r="B432" s="224"/>
      <c r="C432" s="129">
        <v>3</v>
      </c>
      <c r="D432" s="127" t="s">
        <v>133</v>
      </c>
      <c r="E432" s="455" t="s">
        <v>129</v>
      </c>
      <c r="F432" s="498">
        <v>8</v>
      </c>
      <c r="G432" s="498">
        <v>7.3</v>
      </c>
      <c r="H432" s="364">
        <f t="shared" si="14"/>
        <v>58.4</v>
      </c>
      <c r="I432" s="137"/>
    </row>
    <row r="433" spans="2:9" s="52" customFormat="1" ht="15.75">
      <c r="B433" s="224"/>
      <c r="C433" s="177"/>
      <c r="D433" s="118" t="s">
        <v>130</v>
      </c>
      <c r="E433" s="455" t="s">
        <v>129</v>
      </c>
      <c r="F433" s="500">
        <v>8</v>
      </c>
      <c r="G433" s="504">
        <v>31.8</v>
      </c>
      <c r="H433" s="364">
        <f t="shared" si="14"/>
        <v>254.4</v>
      </c>
      <c r="I433" s="137"/>
    </row>
    <row r="434" spans="2:9" s="52" customFormat="1" ht="15.75">
      <c r="B434" s="224"/>
      <c r="C434" s="131"/>
      <c r="D434" s="178" t="s">
        <v>134</v>
      </c>
      <c r="E434" s="466"/>
      <c r="F434" s="465"/>
      <c r="G434" s="289" t="s">
        <v>105</v>
      </c>
      <c r="H434" s="503">
        <f>SUM(H428:H433)</f>
        <v>2069.5500000000002</v>
      </c>
      <c r="I434" s="137"/>
    </row>
    <row r="435" spans="2:9" s="52" customFormat="1" ht="15.75">
      <c r="B435" s="224"/>
      <c r="C435" s="167"/>
      <c r="D435" s="137"/>
      <c r="E435" s="455"/>
      <c r="F435" s="455"/>
      <c r="G435" s="455"/>
      <c r="H435" s="455"/>
      <c r="I435" s="137"/>
    </row>
    <row r="436" spans="2:9" s="52" customFormat="1" ht="15.75">
      <c r="B436" s="224"/>
      <c r="C436" s="141" t="s">
        <v>135</v>
      </c>
      <c r="D436" s="137"/>
      <c r="E436" s="455"/>
      <c r="F436" s="455"/>
      <c r="G436" s="455"/>
      <c r="H436" s="455"/>
      <c r="I436" s="137"/>
    </row>
    <row r="437" spans="2:9" s="52" customFormat="1" ht="15.75">
      <c r="B437" s="224"/>
      <c r="C437" s="117" t="s">
        <v>80</v>
      </c>
      <c r="D437" s="172" t="s">
        <v>81</v>
      </c>
      <c r="E437" s="427" t="s">
        <v>73</v>
      </c>
      <c r="F437" s="427" t="s">
        <v>82</v>
      </c>
      <c r="G437" s="427" t="s">
        <v>18</v>
      </c>
      <c r="H437" s="464" t="s">
        <v>19</v>
      </c>
      <c r="I437" s="137"/>
    </row>
    <row r="438" spans="2:9" s="52" customFormat="1" ht="15.75">
      <c r="B438" s="224"/>
      <c r="C438" s="122"/>
      <c r="D438" s="173"/>
      <c r="E438" s="472"/>
      <c r="F438" s="472"/>
      <c r="G438" s="472" t="s">
        <v>83</v>
      </c>
      <c r="H438" s="467" t="s">
        <v>83</v>
      </c>
      <c r="I438" s="137"/>
    </row>
    <row r="439" spans="2:9" s="52" customFormat="1" ht="15.75">
      <c r="B439" s="224"/>
      <c r="C439" s="117">
        <v>1</v>
      </c>
      <c r="D439" s="138" t="s">
        <v>136</v>
      </c>
      <c r="E439" s="427" t="s">
        <v>129</v>
      </c>
      <c r="F439" s="426">
        <v>8</v>
      </c>
      <c r="G439" s="426">
        <v>375.7</v>
      </c>
      <c r="H439" s="449">
        <f t="shared" ref="H439:H450" si="15">G439*F439</f>
        <v>3005.6</v>
      </c>
      <c r="I439" s="137"/>
    </row>
    <row r="440" spans="2:9" s="52" customFormat="1" ht="15.75">
      <c r="B440" s="224"/>
      <c r="C440" s="129">
        <v>2</v>
      </c>
      <c r="D440" s="138" t="s">
        <v>137</v>
      </c>
      <c r="E440" s="472" t="s">
        <v>129</v>
      </c>
      <c r="F440" s="498">
        <v>0.5</v>
      </c>
      <c r="G440" s="498">
        <v>187.2</v>
      </c>
      <c r="H440" s="449">
        <f t="shared" si="15"/>
        <v>93.6</v>
      </c>
      <c r="I440" s="137"/>
    </row>
    <row r="441" spans="2:9" s="52" customFormat="1" ht="15.75">
      <c r="B441" s="224"/>
      <c r="C441" s="129">
        <v>3</v>
      </c>
      <c r="D441" s="138" t="s">
        <v>181</v>
      </c>
      <c r="E441" s="472" t="s">
        <v>129</v>
      </c>
      <c r="F441" s="498">
        <v>8</v>
      </c>
      <c r="G441" s="498">
        <v>270.39999999999998</v>
      </c>
      <c r="H441" s="449">
        <f t="shared" si="15"/>
        <v>2163.1999999999998</v>
      </c>
      <c r="I441" s="137"/>
    </row>
    <row r="442" spans="2:9" s="52" customFormat="1" ht="15.75">
      <c r="B442" s="224"/>
      <c r="C442" s="129">
        <v>4</v>
      </c>
      <c r="D442" s="138" t="s">
        <v>140</v>
      </c>
      <c r="E442" s="472" t="s">
        <v>141</v>
      </c>
      <c r="F442" s="498">
        <v>2</v>
      </c>
      <c r="G442" s="498">
        <v>715</v>
      </c>
      <c r="H442" s="449">
        <f t="shared" si="15"/>
        <v>1430</v>
      </c>
      <c r="I442" s="137"/>
    </row>
    <row r="443" spans="2:9" s="52" customFormat="1" ht="15.75">
      <c r="B443" s="224"/>
      <c r="C443" s="129">
        <v>5</v>
      </c>
      <c r="D443" s="138" t="s">
        <v>91</v>
      </c>
      <c r="E443" s="472" t="s">
        <v>141</v>
      </c>
      <c r="F443" s="498">
        <v>1</v>
      </c>
      <c r="G443" s="498">
        <v>845</v>
      </c>
      <c r="H443" s="449">
        <f t="shared" si="15"/>
        <v>845</v>
      </c>
      <c r="I443" s="137"/>
    </row>
    <row r="444" spans="2:9" s="52" customFormat="1" ht="15.75">
      <c r="B444" s="224"/>
      <c r="C444" s="129">
        <v>6</v>
      </c>
      <c r="D444" s="138" t="s">
        <v>142</v>
      </c>
      <c r="E444" s="472"/>
      <c r="F444" s="498"/>
      <c r="G444" s="498"/>
      <c r="H444" s="449">
        <f t="shared" si="15"/>
        <v>0</v>
      </c>
      <c r="I444" s="137"/>
    </row>
    <row r="445" spans="2:9" s="52" customFormat="1" ht="15.75">
      <c r="B445" s="224"/>
      <c r="C445" s="174"/>
      <c r="D445" s="138" t="s">
        <v>143</v>
      </c>
      <c r="E445" s="472" t="s">
        <v>141</v>
      </c>
      <c r="F445" s="498">
        <v>11</v>
      </c>
      <c r="G445" s="498">
        <v>635</v>
      </c>
      <c r="H445" s="449">
        <f t="shared" si="15"/>
        <v>6985</v>
      </c>
      <c r="I445" s="137"/>
    </row>
    <row r="446" spans="2:9" s="52" customFormat="1" ht="15.75">
      <c r="B446" s="224"/>
      <c r="C446" s="174"/>
      <c r="D446" s="138" t="s">
        <v>144</v>
      </c>
      <c r="E446" s="472" t="s">
        <v>141</v>
      </c>
      <c r="F446" s="498">
        <v>4</v>
      </c>
      <c r="G446" s="498">
        <v>635</v>
      </c>
      <c r="H446" s="449">
        <f t="shared" si="15"/>
        <v>2540</v>
      </c>
      <c r="I446" s="137"/>
    </row>
    <row r="447" spans="2:9" s="52" customFormat="1" ht="15.75">
      <c r="B447" s="224"/>
      <c r="C447" s="174"/>
      <c r="D447" s="138" t="s">
        <v>145</v>
      </c>
      <c r="E447" s="472" t="s">
        <v>141</v>
      </c>
      <c r="F447" s="498">
        <v>4</v>
      </c>
      <c r="G447" s="498">
        <v>635</v>
      </c>
      <c r="H447" s="449">
        <f t="shared" si="15"/>
        <v>2540</v>
      </c>
      <c r="I447" s="137"/>
    </row>
    <row r="448" spans="2:9" s="52" customFormat="1" ht="15.75">
      <c r="B448" s="224"/>
      <c r="C448" s="174"/>
      <c r="D448" s="138" t="s">
        <v>146</v>
      </c>
      <c r="E448" s="472" t="s">
        <v>141</v>
      </c>
      <c r="F448" s="498">
        <v>15.76</v>
      </c>
      <c r="G448" s="498">
        <v>635</v>
      </c>
      <c r="H448" s="449">
        <f t="shared" si="15"/>
        <v>10007.6</v>
      </c>
      <c r="I448" s="137"/>
    </row>
    <row r="449" spans="2:9" s="52" customFormat="1" ht="15.75">
      <c r="B449" s="224"/>
      <c r="C449" s="174"/>
      <c r="D449" s="138" t="s">
        <v>147</v>
      </c>
      <c r="E449" s="472" t="s">
        <v>141</v>
      </c>
      <c r="F449" s="498">
        <v>1</v>
      </c>
      <c r="G449" s="498">
        <v>635</v>
      </c>
      <c r="H449" s="449">
        <f t="shared" si="15"/>
        <v>635</v>
      </c>
      <c r="I449" s="137"/>
    </row>
    <row r="450" spans="2:9" s="52" customFormat="1" ht="15.75">
      <c r="B450" s="224"/>
      <c r="C450" s="129">
        <v>7</v>
      </c>
      <c r="D450" s="138" t="s">
        <v>200</v>
      </c>
      <c r="E450" s="472" t="s">
        <v>122</v>
      </c>
      <c r="F450" s="498">
        <v>39.4</v>
      </c>
      <c r="G450" s="498">
        <v>156.9</v>
      </c>
      <c r="H450" s="449">
        <f t="shared" si="15"/>
        <v>6181.86</v>
      </c>
      <c r="I450" s="137"/>
    </row>
    <row r="451" spans="2:9" s="52" customFormat="1" ht="15.75">
      <c r="B451" s="224"/>
      <c r="C451" s="177"/>
      <c r="D451" s="138" t="s">
        <v>201</v>
      </c>
      <c r="E451" s="499">
        <v>2.5</v>
      </c>
      <c r="F451" s="500"/>
      <c r="G451" s="500"/>
      <c r="H451" s="449">
        <f>E451*H450</f>
        <v>15454.65</v>
      </c>
      <c r="I451" s="137"/>
    </row>
    <row r="452" spans="2:9" s="52" customFormat="1" ht="15.75">
      <c r="B452" s="224"/>
      <c r="C452" s="175"/>
      <c r="D452" s="176" t="s">
        <v>150</v>
      </c>
      <c r="E452" s="501"/>
      <c r="F452" s="502"/>
      <c r="G452" s="289" t="s">
        <v>105</v>
      </c>
      <c r="H452" s="503">
        <f>SUM(H439:H451)</f>
        <v>51881.51</v>
      </c>
      <c r="I452" s="137"/>
    </row>
    <row r="453" spans="2:9" s="52" customFormat="1" ht="15.75">
      <c r="B453" s="224"/>
      <c r="C453" s="137" t="s">
        <v>95</v>
      </c>
      <c r="D453" s="137"/>
      <c r="E453" s="455"/>
      <c r="F453" s="449">
        <f>H452/15.76</f>
        <v>3291.9739847715737</v>
      </c>
      <c r="G453" s="455"/>
      <c r="H453" s="455"/>
      <c r="I453" s="137"/>
    </row>
    <row r="454" spans="2:9" s="52" customFormat="1" ht="15.75">
      <c r="B454" s="224"/>
      <c r="C454" s="137" t="s">
        <v>96</v>
      </c>
      <c r="D454" s="137"/>
      <c r="E454" s="486">
        <v>0.13614999999999999</v>
      </c>
      <c r="F454" s="449">
        <f>E454*F453</f>
        <v>448.20225802664976</v>
      </c>
      <c r="G454" s="455"/>
      <c r="H454" s="455"/>
      <c r="I454" s="137"/>
    </row>
    <row r="455" spans="2:9" s="52" customFormat="1" ht="15.75">
      <c r="B455" s="224"/>
      <c r="C455" s="137" t="s">
        <v>97</v>
      </c>
      <c r="D455" s="137"/>
      <c r="E455" s="455"/>
      <c r="F455" s="487">
        <f>SUM(F453:F454)</f>
        <v>3740.1762427982235</v>
      </c>
      <c r="G455" s="455"/>
      <c r="H455" s="455"/>
      <c r="I455" s="137"/>
    </row>
    <row r="456" spans="2:9" s="52" customFormat="1" ht="15.75">
      <c r="B456" s="224"/>
      <c r="C456" s="167"/>
      <c r="D456" s="137"/>
      <c r="E456" s="455"/>
      <c r="F456" s="455"/>
      <c r="G456" s="455"/>
      <c r="H456" s="455"/>
      <c r="I456" s="137"/>
    </row>
    <row r="457" spans="2:9" s="52" customFormat="1" ht="15.75">
      <c r="B457" s="224"/>
      <c r="C457" s="179" t="s">
        <v>186</v>
      </c>
      <c r="D457" s="137"/>
      <c r="E457" s="455"/>
      <c r="F457" s="455"/>
      <c r="G457" s="455"/>
      <c r="H457" s="455"/>
      <c r="I457" s="137"/>
    </row>
    <row r="458" spans="2:9" s="52" customFormat="1" ht="15.75">
      <c r="B458" s="224"/>
      <c r="C458" s="137" t="s">
        <v>151</v>
      </c>
      <c r="D458" s="137"/>
      <c r="E458" s="455"/>
      <c r="F458" s="455"/>
      <c r="G458" s="455" t="s">
        <v>105</v>
      </c>
      <c r="H458" s="449">
        <f>H423</f>
        <v>107685.97560000001</v>
      </c>
      <c r="I458" s="137"/>
    </row>
    <row r="459" spans="2:9" s="52" customFormat="1" ht="15.75">
      <c r="B459" s="224"/>
      <c r="C459" s="137" t="s">
        <v>152</v>
      </c>
      <c r="D459" s="137"/>
      <c r="E459" s="455"/>
      <c r="F459" s="455"/>
      <c r="G459" s="455" t="s">
        <v>105</v>
      </c>
      <c r="H459" s="449">
        <f>H434</f>
        <v>2069.5500000000002</v>
      </c>
      <c r="I459" s="137"/>
    </row>
    <row r="460" spans="2:9" s="52" customFormat="1" ht="15.75">
      <c r="B460" s="224"/>
      <c r="C460" s="137" t="s">
        <v>153</v>
      </c>
      <c r="D460" s="137"/>
      <c r="E460" s="455"/>
      <c r="F460" s="455"/>
      <c r="G460" s="455" t="s">
        <v>105</v>
      </c>
      <c r="H460" s="449">
        <f>H452</f>
        <v>51881.51</v>
      </c>
      <c r="I460" s="137"/>
    </row>
    <row r="461" spans="2:9" s="52" customFormat="1" ht="15.75">
      <c r="B461" s="224"/>
      <c r="C461" s="167"/>
      <c r="D461" s="137"/>
      <c r="E461" s="455"/>
      <c r="F461" s="455"/>
      <c r="G461" s="455" t="s">
        <v>154</v>
      </c>
      <c r="H461" s="505">
        <f>SUM(H458:H460)</f>
        <v>161637.0356</v>
      </c>
      <c r="I461" s="137"/>
    </row>
    <row r="462" spans="2:9" s="52" customFormat="1" ht="15.75">
      <c r="B462" s="224"/>
      <c r="C462" s="567" t="s">
        <v>104</v>
      </c>
      <c r="D462" s="567"/>
      <c r="E462" s="455"/>
      <c r="F462" s="486">
        <v>0.13614999999999999</v>
      </c>
      <c r="G462" s="455" t="s">
        <v>105</v>
      </c>
      <c r="H462" s="455">
        <f>H461*F462</f>
        <v>22006.88239694</v>
      </c>
      <c r="I462" s="137"/>
    </row>
    <row r="463" spans="2:9" s="52" customFormat="1" ht="14.25" customHeight="1">
      <c r="B463" s="224"/>
      <c r="C463" s="137" t="s">
        <v>106</v>
      </c>
      <c r="D463" s="137"/>
      <c r="E463" s="449">
        <v>15.76</v>
      </c>
      <c r="F463" s="449" t="s">
        <v>74</v>
      </c>
      <c r="G463" s="455" t="s">
        <v>105</v>
      </c>
      <c r="H463" s="186">
        <f>H461+H462</f>
        <v>183643.91799694</v>
      </c>
      <c r="I463" s="137"/>
    </row>
    <row r="464" spans="2:9" s="52" customFormat="1" ht="18.75" customHeight="1">
      <c r="B464" s="224"/>
      <c r="C464" s="137"/>
      <c r="D464" s="190" t="s">
        <v>215</v>
      </c>
      <c r="E464" s="455" t="s">
        <v>202</v>
      </c>
      <c r="F464" s="455"/>
      <c r="G464" s="455" t="s">
        <v>109</v>
      </c>
      <c r="H464" s="186">
        <v>11061.8</v>
      </c>
      <c r="I464" s="137"/>
    </row>
    <row r="465" spans="1:10" ht="16.5" customHeight="1">
      <c r="B465" s="108"/>
      <c r="C465" s="108"/>
      <c r="D465" s="565" t="s">
        <v>336</v>
      </c>
      <c r="E465" s="565"/>
      <c r="F465" s="108">
        <v>0.22500000000000001</v>
      </c>
      <c r="G465" s="153">
        <f>'lead chart'!P7</f>
        <v>437.4</v>
      </c>
      <c r="H465" s="191">
        <f>F465*G465</f>
        <v>98.414999999999992</v>
      </c>
      <c r="I465" s="108"/>
    </row>
    <row r="466" spans="1:10" ht="16.5" customHeight="1">
      <c r="B466" s="108"/>
      <c r="C466" s="108"/>
      <c r="D466" s="565" t="s">
        <v>337</v>
      </c>
      <c r="E466" s="565"/>
      <c r="F466" s="108">
        <v>0.22500000000000001</v>
      </c>
      <c r="G466" s="153">
        <f>'lead chart'!P8</f>
        <v>437.4</v>
      </c>
      <c r="H466" s="191">
        <f>F466*G466</f>
        <v>98.414999999999992</v>
      </c>
      <c r="I466" s="108"/>
    </row>
    <row r="467" spans="1:10" ht="12.75" customHeight="1">
      <c r="B467" s="108"/>
      <c r="C467" s="108"/>
      <c r="D467" s="566" t="s">
        <v>338</v>
      </c>
      <c r="E467" s="566"/>
      <c r="F467" s="108">
        <v>0.8</v>
      </c>
      <c r="G467" s="153">
        <f>'lead chart'!P9</f>
        <v>437.4</v>
      </c>
      <c r="H467" s="191">
        <f>F467*G467</f>
        <v>349.92</v>
      </c>
      <c r="I467" s="108"/>
    </row>
    <row r="468" spans="1:10" ht="15.75">
      <c r="B468" s="108"/>
      <c r="C468" s="108"/>
      <c r="D468" s="137"/>
      <c r="E468" s="137"/>
      <c r="F468" s="137"/>
      <c r="G468" s="137" t="s">
        <v>188</v>
      </c>
      <c r="H468" s="139">
        <f>SUM(H464:H467)</f>
        <v>11608.550000000001</v>
      </c>
      <c r="I468" s="108"/>
    </row>
    <row r="469" spans="1:10" ht="17.25" customHeight="1">
      <c r="B469" s="108"/>
      <c r="C469" s="108"/>
      <c r="D469" s="137"/>
      <c r="E469" s="137"/>
      <c r="F469" s="137"/>
      <c r="G469" s="137" t="s">
        <v>36</v>
      </c>
      <c r="H469" s="143">
        <f>ROUND(H468,0)</f>
        <v>11609</v>
      </c>
      <c r="I469" s="108"/>
    </row>
    <row r="470" spans="1:10" ht="15.75">
      <c r="A470" s="225"/>
      <c r="B470" s="226"/>
      <c r="C470" s="226"/>
      <c r="D470" s="226"/>
      <c r="E470" s="226"/>
      <c r="F470" s="226"/>
      <c r="G470" s="226"/>
      <c r="H470" s="226"/>
      <c r="I470" s="368"/>
      <c r="J470" s="70"/>
    </row>
    <row r="471" spans="1:10" s="52" customFormat="1" ht="13.5" customHeight="1">
      <c r="A471" s="558">
        <v>8</v>
      </c>
      <c r="B471" s="580" t="s">
        <v>349</v>
      </c>
      <c r="C471" s="581" t="s">
        <v>352</v>
      </c>
      <c r="D471" s="581"/>
      <c r="E471" s="581"/>
      <c r="F471" s="581"/>
      <c r="G471" s="581"/>
      <c r="H471" s="581"/>
      <c r="I471" s="168"/>
      <c r="J471" s="66"/>
    </row>
    <row r="472" spans="1:10" s="52" customFormat="1" ht="16.5" customHeight="1">
      <c r="A472" s="558"/>
      <c r="B472" s="580"/>
      <c r="C472" s="581"/>
      <c r="D472" s="581"/>
      <c r="E472" s="581"/>
      <c r="F472" s="581"/>
      <c r="G472" s="581"/>
      <c r="H472" s="581"/>
      <c r="I472" s="168"/>
      <c r="J472" s="66"/>
    </row>
    <row r="473" spans="1:10" s="52" customFormat="1" ht="16.5" customHeight="1">
      <c r="A473" s="558"/>
      <c r="B473" s="580"/>
      <c r="C473" s="581"/>
      <c r="D473" s="581"/>
      <c r="E473" s="581"/>
      <c r="F473" s="581"/>
      <c r="G473" s="581"/>
      <c r="H473" s="581"/>
      <c r="I473" s="168"/>
      <c r="J473" s="66"/>
    </row>
    <row r="474" spans="1:10" s="52" customFormat="1" ht="13.5" customHeight="1">
      <c r="A474" s="558"/>
      <c r="B474" s="580"/>
      <c r="C474" s="581"/>
      <c r="D474" s="581"/>
      <c r="E474" s="581"/>
      <c r="F474" s="581"/>
      <c r="G474" s="581"/>
      <c r="H474" s="581"/>
      <c r="I474" s="168"/>
      <c r="J474" s="66"/>
    </row>
    <row r="475" spans="1:10" s="52" customFormat="1" ht="16.5" customHeight="1">
      <c r="A475" s="558"/>
      <c r="B475" s="580"/>
      <c r="C475" s="581"/>
      <c r="D475" s="581"/>
      <c r="E475" s="581"/>
      <c r="F475" s="581"/>
      <c r="G475" s="581"/>
      <c r="H475" s="581"/>
      <c r="I475" s="168"/>
      <c r="J475" s="66"/>
    </row>
    <row r="476" spans="1:10" s="52" customFormat="1" ht="16.5" customHeight="1">
      <c r="A476" s="558"/>
      <c r="B476" s="580"/>
      <c r="C476" s="581"/>
      <c r="D476" s="581"/>
      <c r="E476" s="581"/>
      <c r="F476" s="581"/>
      <c r="G476" s="581"/>
      <c r="H476" s="581"/>
      <c r="I476" s="168"/>
      <c r="J476" s="66"/>
    </row>
    <row r="477" spans="1:10" s="52" customFormat="1" ht="15.75">
      <c r="A477" s="239"/>
      <c r="B477" s="240" t="s">
        <v>162</v>
      </c>
      <c r="C477" s="581" t="s">
        <v>351</v>
      </c>
      <c r="D477" s="581"/>
      <c r="E477" s="581"/>
      <c r="F477" s="581"/>
      <c r="G477" s="581"/>
      <c r="H477" s="581"/>
      <c r="I477" s="168"/>
      <c r="J477" s="66"/>
    </row>
    <row r="478" spans="1:10" s="52" customFormat="1" ht="15.75">
      <c r="A478" s="239"/>
      <c r="B478" s="240"/>
      <c r="C478" s="581"/>
      <c r="D478" s="581"/>
      <c r="E478" s="581"/>
      <c r="F478" s="581"/>
      <c r="G478" s="581"/>
      <c r="H478" s="581"/>
      <c r="I478" s="168"/>
      <c r="J478" s="66"/>
    </row>
    <row r="479" spans="1:10" s="52" customFormat="1" ht="15.75" hidden="1" customHeight="1">
      <c r="A479" s="239"/>
      <c r="B479" s="240"/>
      <c r="C479" s="581"/>
      <c r="D479" s="581"/>
      <c r="E479" s="581"/>
      <c r="F479" s="581"/>
      <c r="G479" s="581"/>
      <c r="H479" s="581"/>
      <c r="I479" s="168"/>
      <c r="J479" s="66"/>
    </row>
    <row r="480" spans="1:10" s="52" customFormat="1" ht="15.75" hidden="1" customHeight="1">
      <c r="A480" s="239"/>
      <c r="B480" s="240" t="s">
        <v>75</v>
      </c>
      <c r="C480" s="581"/>
      <c r="D480" s="581"/>
      <c r="E480" s="581"/>
      <c r="F480" s="581"/>
      <c r="G480" s="581"/>
      <c r="H480" s="581"/>
      <c r="I480" s="168"/>
      <c r="J480" s="66"/>
    </row>
    <row r="481" spans="1:10" s="52" customFormat="1" ht="15.75" hidden="1" customHeight="1">
      <c r="A481" s="239"/>
      <c r="B481" s="240"/>
      <c r="C481" s="581"/>
      <c r="D481" s="581"/>
      <c r="E481" s="581"/>
      <c r="F481" s="581"/>
      <c r="G481" s="581"/>
      <c r="H481" s="581"/>
      <c r="I481" s="168"/>
      <c r="J481" s="66"/>
    </row>
    <row r="482" spans="1:10" s="52" customFormat="1" ht="15.75" hidden="1" customHeight="1">
      <c r="A482" s="239"/>
      <c r="B482" s="240"/>
      <c r="C482" s="581"/>
      <c r="D482" s="581"/>
      <c r="E482" s="581"/>
      <c r="F482" s="581"/>
      <c r="G482" s="581"/>
      <c r="H482" s="581"/>
      <c r="I482" s="168"/>
      <c r="J482" s="66"/>
    </row>
    <row r="483" spans="1:10" s="52" customFormat="1" ht="15.75" hidden="1" customHeight="1">
      <c r="A483" s="239"/>
      <c r="B483" s="240"/>
      <c r="C483" s="581"/>
      <c r="D483" s="581"/>
      <c r="E483" s="581"/>
      <c r="F483" s="581"/>
      <c r="G483" s="581"/>
      <c r="H483" s="581"/>
      <c r="I483" s="168"/>
      <c r="J483" s="66"/>
    </row>
    <row r="484" spans="1:10" s="52" customFormat="1" ht="15.75" hidden="1" customHeight="1">
      <c r="A484" s="239"/>
      <c r="B484" s="240"/>
      <c r="C484" s="581"/>
      <c r="D484" s="581"/>
      <c r="E484" s="581"/>
      <c r="F484" s="581"/>
      <c r="G484" s="581"/>
      <c r="H484" s="581"/>
      <c r="I484" s="168"/>
      <c r="J484" s="66"/>
    </row>
    <row r="485" spans="1:10" s="52" customFormat="1" ht="15.75" hidden="1" customHeight="1">
      <c r="A485" s="239"/>
      <c r="B485" s="240"/>
      <c r="C485" s="581"/>
      <c r="D485" s="581"/>
      <c r="E485" s="581"/>
      <c r="F485" s="581"/>
      <c r="G485" s="581"/>
      <c r="H485" s="581"/>
      <c r="I485" s="168"/>
      <c r="J485" s="66"/>
    </row>
    <row r="486" spans="1:10" s="52" customFormat="1" ht="15.75" hidden="1" customHeight="1">
      <c r="A486" s="239"/>
      <c r="B486" s="240"/>
      <c r="C486" s="581"/>
      <c r="D486" s="581"/>
      <c r="E486" s="581"/>
      <c r="F486" s="581"/>
      <c r="G486" s="581"/>
      <c r="H486" s="581"/>
      <c r="I486" s="168"/>
      <c r="J486" s="66"/>
    </row>
    <row r="487" spans="1:10" s="52" customFormat="1" ht="15.75" hidden="1" customHeight="1">
      <c r="A487" s="239"/>
      <c r="B487" s="240"/>
      <c r="C487" s="581"/>
      <c r="D487" s="581"/>
      <c r="E487" s="581"/>
      <c r="F487" s="581"/>
      <c r="G487" s="581"/>
      <c r="H487" s="581"/>
      <c r="I487" s="168"/>
      <c r="J487" s="66"/>
    </row>
    <row r="488" spans="1:10" s="52" customFormat="1" ht="15.75" hidden="1" customHeight="1">
      <c r="A488" s="239"/>
      <c r="B488" s="240"/>
      <c r="C488" s="581"/>
      <c r="D488" s="581"/>
      <c r="E488" s="581"/>
      <c r="F488" s="581"/>
      <c r="G488" s="581"/>
      <c r="H488" s="581"/>
      <c r="I488" s="168"/>
      <c r="J488" s="66"/>
    </row>
    <row r="489" spans="1:10" s="52" customFormat="1" ht="15.75" hidden="1" customHeight="1">
      <c r="A489" s="239"/>
      <c r="B489" s="240"/>
      <c r="C489" s="581"/>
      <c r="D489" s="581"/>
      <c r="E489" s="581"/>
      <c r="F489" s="581"/>
      <c r="G489" s="581"/>
      <c r="H489" s="581"/>
      <c r="I489" s="168"/>
      <c r="J489" s="66"/>
    </row>
    <row r="490" spans="1:10" s="52" customFormat="1" ht="15.75">
      <c r="A490" s="239"/>
      <c r="B490" s="240"/>
      <c r="C490" s="581"/>
      <c r="D490" s="581"/>
      <c r="E490" s="581"/>
      <c r="F490" s="581"/>
      <c r="G490" s="581"/>
      <c r="H490" s="581"/>
      <c r="I490" s="168"/>
      <c r="J490" s="66"/>
    </row>
    <row r="491" spans="1:10" s="52" customFormat="1" ht="15.75">
      <c r="A491" s="239"/>
      <c r="B491" s="240"/>
      <c r="C491" s="581"/>
      <c r="D491" s="581"/>
      <c r="E491" s="581"/>
      <c r="F491" s="581"/>
      <c r="G491" s="581"/>
      <c r="H491" s="581"/>
      <c r="I491" s="168"/>
      <c r="J491" s="66"/>
    </row>
    <row r="492" spans="1:10" s="52" customFormat="1" ht="15.75">
      <c r="A492" s="239"/>
      <c r="B492" s="240"/>
      <c r="C492" s="581"/>
      <c r="D492" s="581"/>
      <c r="E492" s="581"/>
      <c r="F492" s="581"/>
      <c r="G492" s="581"/>
      <c r="H492" s="581"/>
      <c r="I492" s="168"/>
      <c r="J492" s="66"/>
    </row>
    <row r="493" spans="1:10" s="52" customFormat="1" ht="15.75">
      <c r="A493" s="239"/>
      <c r="B493" s="240" t="s">
        <v>75</v>
      </c>
      <c r="C493" s="237"/>
      <c r="D493" s="242" t="s">
        <v>76</v>
      </c>
      <c r="E493" s="507"/>
      <c r="F493" s="507" t="s">
        <v>111</v>
      </c>
      <c r="G493" s="263">
        <v>15.76</v>
      </c>
      <c r="H493" s="507" t="s">
        <v>74</v>
      </c>
      <c r="I493" s="168"/>
      <c r="J493" s="66"/>
    </row>
    <row r="494" spans="1:10" s="52" customFormat="1" ht="15.75">
      <c r="A494" s="239"/>
      <c r="B494" s="240"/>
      <c r="C494" s="243" t="s">
        <v>112</v>
      </c>
      <c r="D494" s="238"/>
      <c r="E494" s="507"/>
      <c r="F494" s="507"/>
      <c r="G494" s="507"/>
      <c r="H494" s="507"/>
      <c r="I494" s="168"/>
      <c r="J494" s="66"/>
    </row>
    <row r="495" spans="1:10" s="52" customFormat="1" ht="15.75">
      <c r="A495" s="239"/>
      <c r="B495" s="240"/>
      <c r="C495" s="575" t="s">
        <v>80</v>
      </c>
      <c r="D495" s="575" t="s">
        <v>113</v>
      </c>
      <c r="E495" s="575" t="s">
        <v>73</v>
      </c>
      <c r="F495" s="575" t="s">
        <v>82</v>
      </c>
      <c r="G495" s="508" t="s">
        <v>18</v>
      </c>
      <c r="H495" s="509" t="s">
        <v>19</v>
      </c>
      <c r="I495" s="168"/>
      <c r="J495" s="66"/>
    </row>
    <row r="496" spans="1:10" s="52" customFormat="1" ht="15.75">
      <c r="A496" s="239"/>
      <c r="B496" s="240"/>
      <c r="C496" s="576"/>
      <c r="D496" s="576"/>
      <c r="E496" s="577"/>
      <c r="F496" s="577"/>
      <c r="G496" s="508" t="s">
        <v>83</v>
      </c>
      <c r="H496" s="509" t="s">
        <v>83</v>
      </c>
      <c r="I496" s="168"/>
      <c r="J496" s="66"/>
    </row>
    <row r="497" spans="1:10" s="52" customFormat="1" ht="15.75">
      <c r="A497" s="239"/>
      <c r="B497" s="240"/>
      <c r="C497" s="244">
        <v>1</v>
      </c>
      <c r="D497" s="245" t="s">
        <v>114</v>
      </c>
      <c r="E497" s="510" t="s">
        <v>31</v>
      </c>
      <c r="F497" s="256">
        <v>5200.8</v>
      </c>
      <c r="G497" s="256">
        <v>5.2</v>
      </c>
      <c r="H497" s="363">
        <f>F497*G497</f>
        <v>27044.160000000003</v>
      </c>
      <c r="I497" s="168"/>
      <c r="J497" s="66"/>
    </row>
    <row r="498" spans="1:10" s="52" customFormat="1" ht="15.75">
      <c r="A498" s="239"/>
      <c r="B498" s="240"/>
      <c r="C498" s="246"/>
      <c r="D498" s="245" t="s">
        <v>197</v>
      </c>
      <c r="E498" s="511" t="s">
        <v>31</v>
      </c>
      <c r="F498" s="256">
        <v>78.8</v>
      </c>
      <c r="G498" s="256">
        <v>5.2</v>
      </c>
      <c r="H498" s="363">
        <f t="shared" ref="H498:H505" si="16">F498*G498</f>
        <v>409.76</v>
      </c>
      <c r="I498" s="168"/>
      <c r="J498" s="66"/>
    </row>
    <row r="499" spans="1:10" s="52" customFormat="1" ht="15.75">
      <c r="A499" s="239"/>
      <c r="B499" s="240"/>
      <c r="C499" s="247">
        <v>2</v>
      </c>
      <c r="D499" s="245" t="s">
        <v>117</v>
      </c>
      <c r="E499" s="511" t="s">
        <v>74</v>
      </c>
      <c r="F499" s="256">
        <v>8.1951999999999998</v>
      </c>
      <c r="G499" s="256">
        <v>1230</v>
      </c>
      <c r="H499" s="363">
        <f t="shared" si="16"/>
        <v>10080.096</v>
      </c>
      <c r="I499" s="168"/>
      <c r="J499" s="66"/>
    </row>
    <row r="500" spans="1:10" s="52" customFormat="1" ht="15.75">
      <c r="A500" s="239"/>
      <c r="B500" s="240"/>
      <c r="C500" s="246"/>
      <c r="D500" s="245" t="s">
        <v>118</v>
      </c>
      <c r="E500" s="511" t="s">
        <v>74</v>
      </c>
      <c r="F500" s="256">
        <v>4.4127999999999998</v>
      </c>
      <c r="G500" s="256">
        <v>945</v>
      </c>
      <c r="H500" s="363">
        <f t="shared" si="16"/>
        <v>4170.0959999999995</v>
      </c>
      <c r="I500" s="168"/>
      <c r="J500" s="66"/>
    </row>
    <row r="501" spans="1:10" s="52" customFormat="1" ht="15.75">
      <c r="A501" s="239"/>
      <c r="B501" s="240"/>
      <c r="C501" s="247">
        <v>3</v>
      </c>
      <c r="D501" s="245" t="s">
        <v>179</v>
      </c>
      <c r="E501" s="511" t="s">
        <v>74</v>
      </c>
      <c r="F501" s="256">
        <f>7.092/2</f>
        <v>3.5459999999999998</v>
      </c>
      <c r="G501" s="256">
        <v>777</v>
      </c>
      <c r="H501" s="363">
        <f t="shared" si="16"/>
        <v>2755.2419999999997</v>
      </c>
      <c r="I501" s="168"/>
      <c r="J501" s="66"/>
    </row>
    <row r="502" spans="1:10" s="52" customFormat="1" ht="15.75">
      <c r="A502" s="239"/>
      <c r="B502" s="240"/>
      <c r="C502" s="247"/>
      <c r="D502" s="154" t="s">
        <v>328</v>
      </c>
      <c r="E502" s="439" t="s">
        <v>74</v>
      </c>
      <c r="F502" s="260">
        <f>7.09/2</f>
        <v>3.5449999999999999</v>
      </c>
      <c r="G502" s="260">
        <v>727</v>
      </c>
      <c r="H502" s="364">
        <f t="shared" si="16"/>
        <v>2577.2150000000001</v>
      </c>
      <c r="I502" s="168"/>
      <c r="J502" s="66"/>
    </row>
    <row r="503" spans="1:10" s="52" customFormat="1" ht="15.75">
      <c r="A503" s="239"/>
      <c r="B503" s="240"/>
      <c r="C503" s="247">
        <v>4</v>
      </c>
      <c r="D503" s="245" t="s">
        <v>120</v>
      </c>
      <c r="E503" s="511" t="s">
        <v>31</v>
      </c>
      <c r="F503" s="256">
        <v>20.8032</v>
      </c>
      <c r="G503" s="256">
        <v>78</v>
      </c>
      <c r="H503" s="363">
        <f t="shared" si="16"/>
        <v>1622.6496</v>
      </c>
      <c r="I503" s="168"/>
      <c r="J503" s="66"/>
    </row>
    <row r="504" spans="1:10" s="52" customFormat="1" ht="15.75">
      <c r="A504" s="239"/>
      <c r="B504" s="240"/>
      <c r="C504" s="247">
        <v>5</v>
      </c>
      <c r="D504" s="245" t="s">
        <v>198</v>
      </c>
      <c r="E504" s="511" t="s">
        <v>122</v>
      </c>
      <c r="F504" s="256">
        <v>7.88</v>
      </c>
      <c r="G504" s="256">
        <v>352.32297999999997</v>
      </c>
      <c r="H504" s="363">
        <f t="shared" si="16"/>
        <v>2776.3050823999997</v>
      </c>
      <c r="I504" s="168"/>
      <c r="J504" s="66"/>
    </row>
    <row r="505" spans="1:10" s="52" customFormat="1" ht="15.75">
      <c r="A505" s="239"/>
      <c r="B505" s="240"/>
      <c r="C505" s="248">
        <v>6</v>
      </c>
      <c r="D505" s="249" t="s">
        <v>350</v>
      </c>
      <c r="E505" s="512" t="s">
        <v>125</v>
      </c>
      <c r="F505" s="259">
        <v>5</v>
      </c>
      <c r="G505" s="259">
        <v>29</v>
      </c>
      <c r="H505" s="363">
        <f t="shared" si="16"/>
        <v>145</v>
      </c>
      <c r="I505" s="168"/>
      <c r="J505" s="66"/>
    </row>
    <row r="506" spans="1:10" s="52" customFormat="1" ht="15.75">
      <c r="A506" s="239"/>
      <c r="B506" s="240"/>
      <c r="C506" s="250"/>
      <c r="D506" s="251" t="s">
        <v>126</v>
      </c>
      <c r="E506" s="513"/>
      <c r="F506" s="513"/>
      <c r="G506" s="514" t="s">
        <v>105</v>
      </c>
      <c r="H506" s="365">
        <f>SUM(H497:H505)</f>
        <v>51580.523682400002</v>
      </c>
      <c r="I506" s="168"/>
      <c r="J506" s="66"/>
    </row>
    <row r="507" spans="1:10" s="52" customFormat="1" ht="15.75">
      <c r="A507" s="239"/>
      <c r="B507" s="240"/>
      <c r="C507" s="237"/>
      <c r="D507" s="238"/>
      <c r="E507" s="507"/>
      <c r="F507" s="507"/>
      <c r="G507" s="507"/>
      <c r="H507" s="507"/>
      <c r="I507" s="168"/>
      <c r="J507" s="66"/>
    </row>
    <row r="508" spans="1:10" s="52" customFormat="1" ht="15.75">
      <c r="A508" s="239"/>
      <c r="B508" s="240"/>
      <c r="C508" s="243" t="s">
        <v>127</v>
      </c>
      <c r="D508" s="238"/>
      <c r="E508" s="507"/>
      <c r="F508" s="507"/>
      <c r="G508" s="507"/>
      <c r="H508" s="507"/>
      <c r="I508" s="168"/>
      <c r="J508" s="66"/>
    </row>
    <row r="509" spans="1:10" s="52" customFormat="1" ht="15.75">
      <c r="A509" s="239"/>
      <c r="B509" s="240"/>
      <c r="C509" s="575" t="s">
        <v>80</v>
      </c>
      <c r="D509" s="575" t="s">
        <v>81</v>
      </c>
      <c r="E509" s="575" t="s">
        <v>73</v>
      </c>
      <c r="F509" s="575" t="s">
        <v>82</v>
      </c>
      <c r="G509" s="508" t="s">
        <v>18</v>
      </c>
      <c r="H509" s="509" t="s">
        <v>19</v>
      </c>
      <c r="I509" s="168"/>
      <c r="J509" s="66"/>
    </row>
    <row r="510" spans="1:10" s="52" customFormat="1" ht="15.75">
      <c r="A510" s="239"/>
      <c r="B510" s="240"/>
      <c r="C510" s="576"/>
      <c r="D510" s="576"/>
      <c r="E510" s="577"/>
      <c r="F510" s="577"/>
      <c r="G510" s="508" t="s">
        <v>83</v>
      </c>
      <c r="H510" s="509" t="s">
        <v>83</v>
      </c>
      <c r="I510" s="168"/>
      <c r="J510" s="66"/>
    </row>
    <row r="511" spans="1:10" s="52" customFormat="1" ht="15.75">
      <c r="A511" s="239"/>
      <c r="B511" s="240"/>
      <c r="C511" s="244">
        <v>1</v>
      </c>
      <c r="D511" s="252" t="s">
        <v>128</v>
      </c>
      <c r="E511" s="515" t="s">
        <v>129</v>
      </c>
      <c r="F511" s="257">
        <v>8</v>
      </c>
      <c r="G511" s="256">
        <v>67.2</v>
      </c>
      <c r="H511" s="363">
        <f>F511*G511</f>
        <v>537.6</v>
      </c>
      <c r="I511" s="168"/>
      <c r="J511" s="66"/>
    </row>
    <row r="512" spans="1:10" s="52" customFormat="1" ht="15.75">
      <c r="A512" s="239"/>
      <c r="B512" s="240"/>
      <c r="C512" s="246"/>
      <c r="D512" s="246" t="s">
        <v>130</v>
      </c>
      <c r="E512" s="507" t="s">
        <v>129</v>
      </c>
      <c r="F512" s="256">
        <v>8</v>
      </c>
      <c r="G512" s="256">
        <v>142.80000000000001</v>
      </c>
      <c r="H512" s="363">
        <f t="shared" ref="H512:H516" si="17">F512*G512</f>
        <v>1142.4000000000001</v>
      </c>
      <c r="I512" s="168"/>
      <c r="J512" s="66"/>
    </row>
    <row r="513" spans="1:10" s="52" customFormat="1" ht="15.75">
      <c r="A513" s="239"/>
      <c r="B513" s="240"/>
      <c r="C513" s="247">
        <v>2</v>
      </c>
      <c r="D513" s="246" t="s">
        <v>131</v>
      </c>
      <c r="E513" s="507" t="s">
        <v>129</v>
      </c>
      <c r="F513" s="256">
        <v>0.5</v>
      </c>
      <c r="G513" s="256">
        <v>10.7</v>
      </c>
      <c r="H513" s="363">
        <f t="shared" si="17"/>
        <v>5.35</v>
      </c>
      <c r="I513" s="168"/>
      <c r="J513" s="66"/>
    </row>
    <row r="514" spans="1:10" s="52" customFormat="1" ht="15.75">
      <c r="A514" s="239"/>
      <c r="B514" s="240"/>
      <c r="C514" s="246"/>
      <c r="D514" s="246" t="s">
        <v>130</v>
      </c>
      <c r="E514" s="507" t="s">
        <v>129</v>
      </c>
      <c r="F514" s="256">
        <v>0.5</v>
      </c>
      <c r="G514" s="256">
        <v>142.80000000000001</v>
      </c>
      <c r="H514" s="363">
        <f t="shared" si="17"/>
        <v>71.400000000000006</v>
      </c>
      <c r="I514" s="168"/>
      <c r="J514" s="66"/>
    </row>
    <row r="515" spans="1:10" s="52" customFormat="1" ht="15.75">
      <c r="A515" s="239"/>
      <c r="B515" s="240"/>
      <c r="C515" s="247">
        <v>3</v>
      </c>
      <c r="D515" s="246" t="s">
        <v>133</v>
      </c>
      <c r="E515" s="507" t="s">
        <v>129</v>
      </c>
      <c r="F515" s="256">
        <v>8</v>
      </c>
      <c r="G515" s="256">
        <v>7.3</v>
      </c>
      <c r="H515" s="363">
        <f t="shared" si="17"/>
        <v>58.4</v>
      </c>
      <c r="I515" s="168"/>
      <c r="J515" s="66"/>
    </row>
    <row r="516" spans="1:10" s="52" customFormat="1" ht="15.75">
      <c r="A516" s="239"/>
      <c r="B516" s="240"/>
      <c r="C516" s="253"/>
      <c r="D516" s="253" t="s">
        <v>130</v>
      </c>
      <c r="E516" s="507" t="s">
        <v>129</v>
      </c>
      <c r="F516" s="259">
        <v>8</v>
      </c>
      <c r="G516" s="258">
        <v>31.8</v>
      </c>
      <c r="H516" s="363">
        <f t="shared" si="17"/>
        <v>254.4</v>
      </c>
      <c r="I516" s="168"/>
      <c r="J516" s="66"/>
    </row>
    <row r="517" spans="1:10" s="52" customFormat="1" ht="15.75">
      <c r="A517" s="239"/>
      <c r="B517" s="240"/>
      <c r="C517" s="250"/>
      <c r="D517" s="251" t="s">
        <v>134</v>
      </c>
      <c r="E517" s="513"/>
      <c r="F517" s="513"/>
      <c r="G517" s="514" t="s">
        <v>105</v>
      </c>
      <c r="H517" s="365">
        <f>SUM(H511:H516)</f>
        <v>2069.5500000000002</v>
      </c>
      <c r="I517" s="168"/>
      <c r="J517" s="66"/>
    </row>
    <row r="518" spans="1:10" s="52" customFormat="1" ht="15.75">
      <c r="A518" s="239"/>
      <c r="B518" s="240"/>
      <c r="C518" s="237"/>
      <c r="D518" s="238"/>
      <c r="E518" s="507"/>
      <c r="F518" s="507"/>
      <c r="G518" s="507"/>
      <c r="H518" s="507"/>
      <c r="I518" s="168"/>
      <c r="J518" s="66"/>
    </row>
    <row r="519" spans="1:10" s="52" customFormat="1" ht="15.75">
      <c r="A519" s="239"/>
      <c r="B519" s="240"/>
      <c r="C519" s="243" t="s">
        <v>135</v>
      </c>
      <c r="D519" s="238"/>
      <c r="E519" s="507"/>
      <c r="F519" s="507"/>
      <c r="G519" s="507"/>
      <c r="H519" s="507"/>
      <c r="I519" s="168"/>
      <c r="J519" s="66"/>
    </row>
    <row r="520" spans="1:10" s="52" customFormat="1" ht="15.75">
      <c r="A520" s="239"/>
      <c r="B520" s="240"/>
      <c r="C520" s="575" t="s">
        <v>80</v>
      </c>
      <c r="D520" s="575" t="s">
        <v>81</v>
      </c>
      <c r="E520" s="575" t="s">
        <v>73</v>
      </c>
      <c r="F520" s="575" t="s">
        <v>82</v>
      </c>
      <c r="G520" s="508" t="s">
        <v>18</v>
      </c>
      <c r="H520" s="509" t="s">
        <v>19</v>
      </c>
      <c r="I520" s="168"/>
      <c r="J520" s="66"/>
    </row>
    <row r="521" spans="1:10" s="52" customFormat="1" ht="15.75">
      <c r="A521" s="239"/>
      <c r="B521" s="240"/>
      <c r="C521" s="576"/>
      <c r="D521" s="576"/>
      <c r="E521" s="577"/>
      <c r="F521" s="577"/>
      <c r="G521" s="508" t="s">
        <v>83</v>
      </c>
      <c r="H521" s="509" t="s">
        <v>83</v>
      </c>
      <c r="I521" s="168"/>
      <c r="J521" s="66"/>
    </row>
    <row r="522" spans="1:10" s="52" customFormat="1" ht="15.75">
      <c r="A522" s="239"/>
      <c r="B522" s="240"/>
      <c r="C522" s="244">
        <v>1</v>
      </c>
      <c r="D522" s="254" t="s">
        <v>136</v>
      </c>
      <c r="E522" s="510" t="s">
        <v>129</v>
      </c>
      <c r="F522" s="257">
        <v>8</v>
      </c>
      <c r="G522" s="257">
        <v>375.7</v>
      </c>
      <c r="H522" s="261">
        <f>F522*G522</f>
        <v>3005.6</v>
      </c>
      <c r="I522" s="168"/>
      <c r="J522" s="66"/>
    </row>
    <row r="523" spans="1:10" s="52" customFormat="1" ht="15.75">
      <c r="A523" s="239"/>
      <c r="B523" s="240"/>
      <c r="C523" s="247">
        <v>2</v>
      </c>
      <c r="D523" s="254" t="s">
        <v>137</v>
      </c>
      <c r="E523" s="511" t="s">
        <v>129</v>
      </c>
      <c r="F523" s="256">
        <v>0.5</v>
      </c>
      <c r="G523" s="256">
        <v>187.2</v>
      </c>
      <c r="H523" s="261">
        <f t="shared" ref="H523:H533" si="18">F523*G523</f>
        <v>93.6</v>
      </c>
      <c r="I523" s="168"/>
      <c r="J523" s="66"/>
    </row>
    <row r="524" spans="1:10" s="52" customFormat="1" ht="15.75">
      <c r="A524" s="239"/>
      <c r="B524" s="240"/>
      <c r="C524" s="247">
        <v>3</v>
      </c>
      <c r="D524" s="254" t="s">
        <v>181</v>
      </c>
      <c r="E524" s="511" t="s">
        <v>129</v>
      </c>
      <c r="F524" s="256">
        <v>8</v>
      </c>
      <c r="G524" s="256">
        <v>270.39999999999998</v>
      </c>
      <c r="H524" s="261">
        <f t="shared" si="18"/>
        <v>2163.1999999999998</v>
      </c>
      <c r="I524" s="168"/>
      <c r="J524" s="66"/>
    </row>
    <row r="525" spans="1:10" s="52" customFormat="1" ht="15.75">
      <c r="A525" s="239"/>
      <c r="B525" s="240"/>
      <c r="C525" s="247">
        <v>4</v>
      </c>
      <c r="D525" s="254" t="s">
        <v>140</v>
      </c>
      <c r="E525" s="511" t="s">
        <v>141</v>
      </c>
      <c r="F525" s="256">
        <v>2</v>
      </c>
      <c r="G525" s="256">
        <v>715</v>
      </c>
      <c r="H525" s="261">
        <f t="shared" si="18"/>
        <v>1430</v>
      </c>
      <c r="I525" s="168"/>
      <c r="J525" s="66"/>
    </row>
    <row r="526" spans="1:10" s="52" customFormat="1" ht="15.75">
      <c r="A526" s="239"/>
      <c r="B526" s="240"/>
      <c r="C526" s="247">
        <v>5</v>
      </c>
      <c r="D526" s="254" t="s">
        <v>91</v>
      </c>
      <c r="E526" s="511" t="s">
        <v>141</v>
      </c>
      <c r="F526" s="256">
        <v>1</v>
      </c>
      <c r="G526" s="256">
        <v>845</v>
      </c>
      <c r="H526" s="261">
        <f t="shared" si="18"/>
        <v>845</v>
      </c>
      <c r="I526" s="168"/>
      <c r="J526" s="66"/>
    </row>
    <row r="527" spans="1:10" s="52" customFormat="1" ht="15.75">
      <c r="A527" s="239"/>
      <c r="B527" s="240"/>
      <c r="C527" s="247">
        <v>6</v>
      </c>
      <c r="D527" s="254" t="s">
        <v>142</v>
      </c>
      <c r="E527" s="511"/>
      <c r="F527" s="256"/>
      <c r="G527" s="256"/>
      <c r="H527" s="261">
        <f t="shared" si="18"/>
        <v>0</v>
      </c>
      <c r="I527" s="168"/>
      <c r="J527" s="66"/>
    </row>
    <row r="528" spans="1:10" s="52" customFormat="1" ht="15.75">
      <c r="A528" s="239"/>
      <c r="B528" s="240"/>
      <c r="C528" s="246"/>
      <c r="D528" s="254" t="s">
        <v>143</v>
      </c>
      <c r="E528" s="511" t="s">
        <v>141</v>
      </c>
      <c r="F528" s="256">
        <v>11</v>
      </c>
      <c r="G528" s="256">
        <v>635</v>
      </c>
      <c r="H528" s="261">
        <f t="shared" si="18"/>
        <v>6985</v>
      </c>
      <c r="I528" s="168"/>
      <c r="J528" s="66"/>
    </row>
    <row r="529" spans="1:10" s="52" customFormat="1" ht="15.75">
      <c r="A529" s="239"/>
      <c r="B529" s="240"/>
      <c r="C529" s="246"/>
      <c r="D529" s="254" t="s">
        <v>144</v>
      </c>
      <c r="E529" s="511" t="s">
        <v>141</v>
      </c>
      <c r="F529" s="256">
        <v>4</v>
      </c>
      <c r="G529" s="256">
        <v>635</v>
      </c>
      <c r="H529" s="261">
        <f t="shared" si="18"/>
        <v>2540</v>
      </c>
      <c r="I529" s="168"/>
      <c r="J529" s="66"/>
    </row>
    <row r="530" spans="1:10" s="52" customFormat="1" ht="15.75">
      <c r="A530" s="239"/>
      <c r="B530" s="240"/>
      <c r="C530" s="246"/>
      <c r="D530" s="254" t="s">
        <v>145</v>
      </c>
      <c r="E530" s="511" t="s">
        <v>141</v>
      </c>
      <c r="F530" s="256">
        <v>4</v>
      </c>
      <c r="G530" s="256">
        <v>635</v>
      </c>
      <c r="H530" s="261">
        <f t="shared" si="18"/>
        <v>2540</v>
      </c>
      <c r="I530" s="168"/>
      <c r="J530" s="66"/>
    </row>
    <row r="531" spans="1:10" s="52" customFormat="1" ht="15.75">
      <c r="A531" s="239"/>
      <c r="B531" s="240"/>
      <c r="C531" s="246"/>
      <c r="D531" s="254" t="s">
        <v>146</v>
      </c>
      <c r="E531" s="511" t="s">
        <v>141</v>
      </c>
      <c r="F531" s="256">
        <v>15.76</v>
      </c>
      <c r="G531" s="256">
        <v>635</v>
      </c>
      <c r="H531" s="261">
        <f t="shared" si="18"/>
        <v>10007.6</v>
      </c>
      <c r="I531" s="168"/>
      <c r="J531" s="66"/>
    </row>
    <row r="532" spans="1:10" s="52" customFormat="1" ht="15.75">
      <c r="A532" s="239"/>
      <c r="B532" s="240"/>
      <c r="C532" s="246"/>
      <c r="D532" s="254" t="s">
        <v>147</v>
      </c>
      <c r="E532" s="511" t="s">
        <v>141</v>
      </c>
      <c r="F532" s="256">
        <v>2</v>
      </c>
      <c r="G532" s="256">
        <v>635</v>
      </c>
      <c r="H532" s="261">
        <f t="shared" si="18"/>
        <v>1270</v>
      </c>
      <c r="I532" s="168"/>
      <c r="J532" s="66"/>
    </row>
    <row r="533" spans="1:10" s="52" customFormat="1" ht="15.75">
      <c r="A533" s="239"/>
      <c r="B533" s="240"/>
      <c r="C533" s="247">
        <v>7</v>
      </c>
      <c r="D533" s="254" t="s">
        <v>200</v>
      </c>
      <c r="E533" s="511" t="s">
        <v>122</v>
      </c>
      <c r="F533" s="256">
        <v>7.88</v>
      </c>
      <c r="G533" s="256">
        <v>156.9</v>
      </c>
      <c r="H533" s="261">
        <f t="shared" si="18"/>
        <v>1236.3720000000001</v>
      </c>
      <c r="I533" s="168"/>
      <c r="J533" s="66"/>
    </row>
    <row r="534" spans="1:10" s="52" customFormat="1" ht="15.75">
      <c r="A534" s="239"/>
      <c r="B534" s="240"/>
      <c r="C534" s="250"/>
      <c r="D534" s="251" t="s">
        <v>150</v>
      </c>
      <c r="E534" s="513"/>
      <c r="F534" s="513"/>
      <c r="G534" s="514" t="s">
        <v>105</v>
      </c>
      <c r="H534" s="365">
        <f>SUM(H522:H533)</f>
        <v>32116.371999999999</v>
      </c>
      <c r="I534" s="168"/>
      <c r="J534" s="66"/>
    </row>
    <row r="535" spans="1:10" s="52" customFormat="1" ht="15.75">
      <c r="A535" s="239"/>
      <c r="B535" s="240"/>
      <c r="C535" s="238" t="s">
        <v>95</v>
      </c>
      <c r="D535" s="238"/>
      <c r="E535" s="507"/>
      <c r="F535" s="261">
        <v>2037.8</v>
      </c>
      <c r="G535" s="507"/>
      <c r="H535" s="507"/>
      <c r="I535" s="168"/>
      <c r="J535" s="66"/>
    </row>
    <row r="536" spans="1:10" s="52" customFormat="1" ht="15.75">
      <c r="A536" s="239"/>
      <c r="B536" s="240"/>
      <c r="C536" s="238" t="s">
        <v>96</v>
      </c>
      <c r="D536" s="238"/>
      <c r="E536" s="516">
        <v>0.13614999999999999</v>
      </c>
      <c r="F536" s="261">
        <f>F535*E536</f>
        <v>277.44646999999998</v>
      </c>
      <c r="G536" s="507"/>
      <c r="H536" s="507"/>
      <c r="I536" s="168"/>
      <c r="J536" s="66"/>
    </row>
    <row r="537" spans="1:10" s="52" customFormat="1" ht="15.75">
      <c r="A537" s="239"/>
      <c r="B537" s="240"/>
      <c r="C537" s="238" t="s">
        <v>97</v>
      </c>
      <c r="D537" s="238"/>
      <c r="E537" s="507"/>
      <c r="F537" s="517">
        <f>SUM(F535:F536)</f>
        <v>2315.24647</v>
      </c>
      <c r="G537" s="507"/>
      <c r="H537" s="507"/>
      <c r="I537" s="168"/>
      <c r="J537" s="66"/>
    </row>
    <row r="538" spans="1:10" s="52" customFormat="1" ht="15.75">
      <c r="A538" s="239"/>
      <c r="B538" s="240"/>
      <c r="C538" s="238"/>
      <c r="D538" s="238"/>
      <c r="E538" s="507"/>
      <c r="F538" s="507"/>
      <c r="G538" s="507"/>
      <c r="H538" s="507"/>
      <c r="I538" s="168"/>
      <c r="J538" s="66"/>
    </row>
    <row r="539" spans="1:10" s="52" customFormat="1" ht="15.75">
      <c r="A539" s="239"/>
      <c r="B539" s="240"/>
      <c r="C539" s="241" t="s">
        <v>186</v>
      </c>
      <c r="D539" s="238"/>
      <c r="E539" s="507"/>
      <c r="F539" s="507"/>
      <c r="G539" s="507"/>
      <c r="H539" s="507"/>
      <c r="I539" s="168"/>
      <c r="J539" s="66"/>
    </row>
    <row r="540" spans="1:10" s="52" customFormat="1" ht="15.75">
      <c r="A540" s="239"/>
      <c r="B540" s="240"/>
      <c r="C540" s="238" t="s">
        <v>151</v>
      </c>
      <c r="D540" s="238"/>
      <c r="E540" s="507"/>
      <c r="F540" s="507"/>
      <c r="G540" s="507" t="s">
        <v>105</v>
      </c>
      <c r="H540" s="261">
        <f>H506</f>
        <v>51580.523682400002</v>
      </c>
      <c r="I540" s="168"/>
      <c r="J540" s="66"/>
    </row>
    <row r="541" spans="1:10" s="52" customFormat="1" ht="15.75">
      <c r="A541" s="239"/>
      <c r="B541" s="240"/>
      <c r="C541" s="238" t="s">
        <v>152</v>
      </c>
      <c r="D541" s="238"/>
      <c r="E541" s="507"/>
      <c r="F541" s="507"/>
      <c r="G541" s="507" t="s">
        <v>105</v>
      </c>
      <c r="H541" s="261">
        <f>H517</f>
        <v>2069.5500000000002</v>
      </c>
      <c r="I541" s="168"/>
      <c r="J541" s="66"/>
    </row>
    <row r="542" spans="1:10" s="52" customFormat="1" ht="15.75">
      <c r="A542" s="239"/>
      <c r="B542" s="240"/>
      <c r="C542" s="238" t="s">
        <v>153</v>
      </c>
      <c r="D542" s="238"/>
      <c r="E542" s="507"/>
      <c r="F542" s="507"/>
      <c r="G542" s="507" t="s">
        <v>105</v>
      </c>
      <c r="H542" s="261">
        <f>H534</f>
        <v>32116.371999999999</v>
      </c>
      <c r="I542" s="168"/>
      <c r="J542" s="66"/>
    </row>
    <row r="543" spans="1:10" s="52" customFormat="1" ht="15.75">
      <c r="A543" s="239"/>
      <c r="B543" s="240"/>
      <c r="C543" s="237"/>
      <c r="D543" s="238"/>
      <c r="E543" s="507"/>
      <c r="F543" s="507"/>
      <c r="G543" s="507" t="s">
        <v>154</v>
      </c>
      <c r="H543" s="262">
        <f>H540+H541+H542</f>
        <v>85766.445682400008</v>
      </c>
      <c r="I543" s="168"/>
      <c r="J543" s="66"/>
    </row>
    <row r="544" spans="1:10" s="52" customFormat="1" ht="15.75">
      <c r="A544" s="239"/>
      <c r="B544" s="240"/>
      <c r="C544" s="578" t="s">
        <v>104</v>
      </c>
      <c r="D544" s="579"/>
      <c r="E544" s="507"/>
      <c r="F544" s="516">
        <v>0.13614999999999999</v>
      </c>
      <c r="G544" s="507" t="s">
        <v>105</v>
      </c>
      <c r="H544" s="261">
        <f>H543*F544</f>
        <v>11677.10157965876</v>
      </c>
      <c r="I544" s="168"/>
      <c r="J544" s="66"/>
    </row>
    <row r="545" spans="1:11" s="52" customFormat="1" ht="15.75">
      <c r="A545" s="239"/>
      <c r="B545" s="240"/>
      <c r="C545" s="238" t="s">
        <v>106</v>
      </c>
      <c r="D545" s="238"/>
      <c r="E545" s="261">
        <v>15.76</v>
      </c>
      <c r="F545" s="261" t="s">
        <v>74</v>
      </c>
      <c r="G545" s="507" t="s">
        <v>105</v>
      </c>
      <c r="H545" s="263">
        <f>H544+H543</f>
        <v>97443.547262058768</v>
      </c>
      <c r="I545" s="168"/>
      <c r="J545" s="66"/>
    </row>
    <row r="546" spans="1:11" s="52" customFormat="1" ht="15.75">
      <c r="A546" s="239"/>
      <c r="B546" s="240"/>
      <c r="C546" s="241" t="s">
        <v>215</v>
      </c>
      <c r="D546" s="255"/>
      <c r="E546" s="507" t="s">
        <v>202</v>
      </c>
      <c r="F546" s="507"/>
      <c r="G546" s="507" t="s">
        <v>109</v>
      </c>
      <c r="H546" s="263">
        <f>H545/G493</f>
        <v>6182.9661968311402</v>
      </c>
      <c r="I546" s="168"/>
      <c r="J546" s="66"/>
    </row>
    <row r="547" spans="1:11" s="52" customFormat="1" ht="15.75">
      <c r="A547" s="239"/>
      <c r="B547" s="231"/>
      <c r="C547" s="232"/>
      <c r="D547" s="565" t="s">
        <v>336</v>
      </c>
      <c r="E547" s="565"/>
      <c r="F547" s="233">
        <v>0.22500000000000001</v>
      </c>
      <c r="G547" s="234">
        <f>'lead chart'!P7</f>
        <v>437.4</v>
      </c>
      <c r="H547" s="234">
        <f>F547*G547</f>
        <v>98.414999999999992</v>
      </c>
      <c r="I547" s="168"/>
      <c r="J547" s="66"/>
    </row>
    <row r="548" spans="1:11" s="52" customFormat="1" ht="31.5" customHeight="1">
      <c r="A548" s="239"/>
      <c r="B548" s="231"/>
      <c r="C548" s="232"/>
      <c r="D548" s="565" t="s">
        <v>337</v>
      </c>
      <c r="E548" s="565"/>
      <c r="F548" s="233">
        <v>0.22500000000000001</v>
      </c>
      <c r="G548" s="234">
        <f>'lead chart'!P8</f>
        <v>437.4</v>
      </c>
      <c r="H548" s="234">
        <f t="shared" ref="H548:H549" si="19">F548*G548</f>
        <v>98.414999999999992</v>
      </c>
      <c r="I548" s="168"/>
      <c r="J548" s="66"/>
    </row>
    <row r="549" spans="1:11" s="52" customFormat="1" ht="15.75">
      <c r="A549" s="239"/>
      <c r="B549" s="231"/>
      <c r="C549" s="232"/>
      <c r="D549" s="566" t="s">
        <v>338</v>
      </c>
      <c r="E549" s="566"/>
      <c r="F549" s="233">
        <v>0.8</v>
      </c>
      <c r="G549" s="234">
        <f>'lead chart'!P9</f>
        <v>437.4</v>
      </c>
      <c r="H549" s="234">
        <f t="shared" si="19"/>
        <v>349.92</v>
      </c>
      <c r="I549" s="168"/>
      <c r="J549" s="66"/>
    </row>
    <row r="550" spans="1:11" s="52" customFormat="1" ht="15.75">
      <c r="A550" s="239"/>
      <c r="B550" s="231"/>
      <c r="C550" s="232"/>
      <c r="D550" s="235"/>
      <c r="E550" s="235"/>
      <c r="F550" s="233"/>
      <c r="G550" s="234"/>
      <c r="H550" s="234">
        <f>SUM(H546:H549)</f>
        <v>6729.7161968311402</v>
      </c>
      <c r="I550" s="168"/>
      <c r="J550" s="66"/>
    </row>
    <row r="551" spans="1:11" ht="24.75" customHeight="1">
      <c r="A551" s="233"/>
      <c r="B551" s="233"/>
      <c r="C551" s="233"/>
      <c r="D551" s="233"/>
      <c r="E551" s="233"/>
      <c r="F551" s="233"/>
      <c r="G551" s="233" t="s">
        <v>36</v>
      </c>
      <c r="H551" s="236">
        <f>ROUND(H550,1)</f>
        <v>6729.7</v>
      </c>
      <c r="I551" s="368"/>
      <c r="J551" s="70"/>
    </row>
    <row r="552" spans="1:11" ht="24.75" customHeight="1">
      <c r="A552" s="233"/>
      <c r="B552" s="233"/>
      <c r="C552" s="233"/>
      <c r="D552" s="233"/>
      <c r="E552" s="233"/>
      <c r="F552" s="233"/>
      <c r="G552" s="233"/>
      <c r="H552" s="236"/>
      <c r="I552" s="368"/>
      <c r="J552" s="70"/>
    </row>
    <row r="553" spans="1:11" ht="24.75" customHeight="1">
      <c r="A553" s="233"/>
      <c r="B553" s="233"/>
      <c r="C553" s="233"/>
      <c r="D553" s="233"/>
      <c r="E553" s="233"/>
      <c r="F553" s="233"/>
      <c r="G553" s="233"/>
      <c r="H553" s="236"/>
      <c r="I553" s="368"/>
      <c r="J553" s="70"/>
    </row>
    <row r="554" spans="1:11" ht="15.75">
      <c r="B554" s="108"/>
      <c r="C554" s="108"/>
      <c r="D554" s="108"/>
      <c r="E554" s="108"/>
      <c r="F554" s="108"/>
      <c r="G554" s="108"/>
      <c r="H554" s="108"/>
      <c r="I554" s="108"/>
    </row>
    <row r="555" spans="1:11" ht="15.75">
      <c r="B555" s="108"/>
      <c r="C555" s="108"/>
      <c r="D555" s="108"/>
      <c r="E555" s="108"/>
      <c r="F555" s="108"/>
      <c r="G555" s="108"/>
      <c r="H555" s="108"/>
      <c r="I555" s="108"/>
    </row>
    <row r="556" spans="1:11" customFormat="1" ht="15.75">
      <c r="A556" s="436"/>
      <c r="B556" s="437"/>
      <c r="C556" s="436"/>
      <c r="D556" s="436"/>
      <c r="E556" s="436"/>
      <c r="F556" s="436"/>
      <c r="G556" s="436"/>
      <c r="H556" s="436"/>
      <c r="I556" s="436"/>
      <c r="J556" s="436"/>
      <c r="K556" s="436"/>
    </row>
    <row r="557" spans="1:11" customFormat="1" ht="15.75">
      <c r="A557" s="436"/>
      <c r="B557" s="381"/>
      <c r="C557" s="436"/>
      <c r="D557" s="438"/>
      <c r="E557" s="436"/>
      <c r="F557" s="436"/>
      <c r="G557" s="436"/>
      <c r="H557" s="436"/>
      <c r="I557" s="436"/>
      <c r="J557" s="436"/>
      <c r="K557" s="436"/>
    </row>
    <row r="558" spans="1:11" customFormat="1" ht="15.75">
      <c r="A558" s="436"/>
      <c r="B558" s="381"/>
      <c r="C558" s="436"/>
      <c r="D558" s="438"/>
      <c r="E558" s="436"/>
      <c r="F558" s="436"/>
      <c r="G558" s="436"/>
      <c r="H558" s="436"/>
      <c r="I558" s="436"/>
      <c r="J558" s="436"/>
      <c r="K558" s="436"/>
    </row>
    <row r="559" spans="1:11" customFormat="1" ht="15.75">
      <c r="A559" s="436"/>
      <c r="B559" s="381"/>
      <c r="C559" s="436"/>
      <c r="D559" s="438"/>
      <c r="E559" s="436"/>
      <c r="F559" s="436"/>
      <c r="G559" s="436"/>
      <c r="H559" s="436"/>
      <c r="I559" s="436"/>
      <c r="J559" s="436"/>
      <c r="K559" s="436"/>
    </row>
  </sheetData>
  <mergeCells count="67">
    <mergeCell ref="D548:E548"/>
    <mergeCell ref="C495:C496"/>
    <mergeCell ref="D495:D496"/>
    <mergeCell ref="E495:E496"/>
    <mergeCell ref="C520:C521"/>
    <mergeCell ref="D520:D521"/>
    <mergeCell ref="E520:E521"/>
    <mergeCell ref="C544:D544"/>
    <mergeCell ref="C509:C510"/>
    <mergeCell ref="D509:D510"/>
    <mergeCell ref="E509:E510"/>
    <mergeCell ref="A1:H1"/>
    <mergeCell ref="D465:E465"/>
    <mergeCell ref="D467:E467"/>
    <mergeCell ref="D382:E382"/>
    <mergeCell ref="K382:L382"/>
    <mergeCell ref="D384:E384"/>
    <mergeCell ref="K384:L384"/>
    <mergeCell ref="C387:H395"/>
    <mergeCell ref="D466:E466"/>
    <mergeCell ref="C3:H5"/>
    <mergeCell ref="C8:D8"/>
    <mergeCell ref="C175:D175"/>
    <mergeCell ref="C178:D178"/>
    <mergeCell ref="C179:D179"/>
    <mergeCell ref="C106:D106"/>
    <mergeCell ref="C107:D107"/>
    <mergeCell ref="D549:E549"/>
    <mergeCell ref="C462:D462"/>
    <mergeCell ref="C108:D108"/>
    <mergeCell ref="C180:D180"/>
    <mergeCell ref="C41:H48"/>
    <mergeCell ref="C103:D103"/>
    <mergeCell ref="C111:H118"/>
    <mergeCell ref="D383:E383"/>
    <mergeCell ref="C184:H193"/>
    <mergeCell ref="C267:D267"/>
    <mergeCell ref="D270:E270"/>
    <mergeCell ref="D272:E272"/>
    <mergeCell ref="D271:E271"/>
    <mergeCell ref="C312:D312"/>
    <mergeCell ref="C315:H321"/>
    <mergeCell ref="C379:D379"/>
    <mergeCell ref="C2:D2"/>
    <mergeCell ref="B3:B5"/>
    <mergeCell ref="B41:B46"/>
    <mergeCell ref="B111:B116"/>
    <mergeCell ref="D547:E547"/>
    <mergeCell ref="B276:B281"/>
    <mergeCell ref="B315:B320"/>
    <mergeCell ref="B387:B392"/>
    <mergeCell ref="B184:B189"/>
    <mergeCell ref="C276:H280"/>
    <mergeCell ref="F520:F521"/>
    <mergeCell ref="B471:B476"/>
    <mergeCell ref="C471:H476"/>
    <mergeCell ref="C477:H492"/>
    <mergeCell ref="F495:F496"/>
    <mergeCell ref="F509:F510"/>
    <mergeCell ref="A315:A320"/>
    <mergeCell ref="A387:A392"/>
    <mergeCell ref="A471:A476"/>
    <mergeCell ref="A3:A5"/>
    <mergeCell ref="A41:A46"/>
    <mergeCell ref="A111:A116"/>
    <mergeCell ref="A184:A189"/>
    <mergeCell ref="A276:A281"/>
  </mergeCells>
  <pageMargins left="0.74803149606299213" right="0.35433070866141736" top="0.59055118110236227" bottom="0.59055118110236227" header="0.51181102362204722" footer="0.51181102362204722"/>
  <pageSetup paperSize="9" scale="85" orientation="portrait" horizontalDpi="300" verticalDpi="300" r:id="rId1"/>
  <rowBreaks count="5" manualBreakCount="5">
    <brk id="47" max="16383" man="1"/>
    <brk id="105" max="7" man="1"/>
    <brk id="338" max="16383" man="1"/>
    <brk id="395" max="7" man="1"/>
    <brk id="559"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30"/>
  <sheetViews>
    <sheetView tabSelected="1" view="pageBreakPreview" zoomScaleNormal="100" workbookViewId="0">
      <selection activeCell="F11" sqref="F11"/>
    </sheetView>
  </sheetViews>
  <sheetFormatPr defaultColWidth="9.28515625" defaultRowHeight="15"/>
  <cols>
    <col min="1" max="1" width="7.5703125" style="71" customWidth="1"/>
    <col min="2" max="2" width="10.5703125" style="71" customWidth="1"/>
    <col min="3" max="3" width="16.140625" style="71" customWidth="1"/>
    <col min="4" max="4" width="10.5703125" style="71" customWidth="1"/>
    <col min="5" max="6" width="9.42578125" style="71" bestFit="1" customWidth="1"/>
    <col min="7" max="7" width="11.5703125" style="71" customWidth="1"/>
    <col min="8" max="8" width="12.85546875" style="71" customWidth="1"/>
    <col min="9" max="9" width="9.5703125" style="71" customWidth="1"/>
    <col min="10" max="10" width="11.5703125" style="71" customWidth="1"/>
    <col min="11" max="14" width="9.42578125" style="71" bestFit="1" customWidth="1"/>
    <col min="22" max="16384" width="9.28515625" style="71"/>
  </cols>
  <sheetData>
    <row r="1" spans="1:14" ht="20.25" customHeight="1">
      <c r="A1" s="621" t="s">
        <v>216</v>
      </c>
      <c r="B1" s="621"/>
      <c r="C1" s="621"/>
      <c r="D1" s="621"/>
      <c r="E1" s="621"/>
      <c r="F1" s="621"/>
      <c r="G1" s="621"/>
      <c r="H1" s="621"/>
      <c r="I1" s="621"/>
      <c r="J1" s="621"/>
      <c r="K1" s="621"/>
      <c r="L1" s="621"/>
      <c r="M1" s="621"/>
      <c r="N1" s="621"/>
    </row>
    <row r="2" spans="1:14" ht="12.75" customHeight="1">
      <c r="A2" s="622" t="str">
        <f>Abstract!A3</f>
        <v>Name of work:- Construction of S.L.R.B. across Mulakala kalva Major near L-8 Minor off-take at KM 5.506 (Reach-IV) in Yadgarpalli village of Miryalaguda Mandal, Nalgonda District.</v>
      </c>
      <c r="B2" s="622"/>
      <c r="C2" s="622"/>
      <c r="D2" s="622"/>
      <c r="E2" s="622"/>
      <c r="F2" s="622"/>
      <c r="G2" s="622"/>
      <c r="H2" s="622"/>
      <c r="I2" s="622"/>
      <c r="J2" s="622"/>
      <c r="K2" s="622"/>
      <c r="L2" s="622"/>
      <c r="M2" s="622"/>
      <c r="N2" s="622"/>
    </row>
    <row r="3" spans="1:14">
      <c r="A3" s="622"/>
      <c r="B3" s="622"/>
      <c r="C3" s="622"/>
      <c r="D3" s="622"/>
      <c r="E3" s="622"/>
      <c r="F3" s="622"/>
      <c r="G3" s="622"/>
      <c r="H3" s="622"/>
      <c r="I3" s="622"/>
      <c r="J3" s="622"/>
      <c r="K3" s="622"/>
      <c r="L3" s="622"/>
      <c r="M3" s="622"/>
      <c r="N3" s="622"/>
    </row>
    <row r="4" spans="1:14">
      <c r="A4" s="622"/>
      <c r="B4" s="622"/>
      <c r="C4" s="622"/>
      <c r="D4" s="622"/>
      <c r="E4" s="622"/>
      <c r="F4" s="622"/>
      <c r="G4" s="622"/>
      <c r="H4" s="622"/>
      <c r="I4" s="622"/>
      <c r="J4" s="622"/>
      <c r="K4" s="622"/>
      <c r="L4" s="622"/>
      <c r="M4" s="622"/>
      <c r="N4" s="622"/>
    </row>
    <row r="5" spans="1:14" ht="15.75" customHeight="1">
      <c r="A5" s="591" t="s">
        <v>217</v>
      </c>
      <c r="B5" s="585" t="s">
        <v>218</v>
      </c>
      <c r="C5" s="585"/>
      <c r="D5" s="591" t="s">
        <v>73</v>
      </c>
      <c r="E5" s="591"/>
      <c r="F5" s="593" t="s">
        <v>82</v>
      </c>
      <c r="G5" s="591" t="s">
        <v>219</v>
      </c>
      <c r="H5" s="591"/>
      <c r="I5" s="591" t="s">
        <v>220</v>
      </c>
      <c r="J5" s="591"/>
      <c r="K5" s="591" t="s">
        <v>221</v>
      </c>
      <c r="L5" s="591"/>
      <c r="M5" s="591" t="s">
        <v>222</v>
      </c>
      <c r="N5" s="591"/>
    </row>
    <row r="6" spans="1:14" ht="15.75">
      <c r="A6" s="591"/>
      <c r="B6" s="585"/>
      <c r="C6" s="585"/>
      <c r="D6" s="591"/>
      <c r="E6" s="591"/>
      <c r="F6" s="593"/>
      <c r="G6" s="591" t="s">
        <v>74</v>
      </c>
      <c r="H6" s="591"/>
      <c r="I6" s="591" t="s">
        <v>74</v>
      </c>
      <c r="J6" s="591"/>
      <c r="K6" s="301"/>
      <c r="L6" s="301"/>
      <c r="M6" s="591" t="s">
        <v>74</v>
      </c>
      <c r="N6" s="591"/>
    </row>
    <row r="7" spans="1:14" ht="15" customHeight="1">
      <c r="A7" s="591"/>
      <c r="B7" s="585"/>
      <c r="C7" s="585"/>
      <c r="D7" s="591"/>
      <c r="E7" s="591"/>
      <c r="F7" s="593"/>
      <c r="G7" s="301" t="s">
        <v>223</v>
      </c>
      <c r="H7" s="301" t="s">
        <v>82</v>
      </c>
      <c r="I7" s="301" t="s">
        <v>223</v>
      </c>
      <c r="J7" s="301" t="s">
        <v>82</v>
      </c>
      <c r="K7" s="301" t="s">
        <v>223</v>
      </c>
      <c r="L7" s="301" t="s">
        <v>82</v>
      </c>
      <c r="M7" s="301" t="s">
        <v>223</v>
      </c>
      <c r="N7" s="301" t="s">
        <v>82</v>
      </c>
    </row>
    <row r="8" spans="1:14" ht="15.75">
      <c r="A8" s="618">
        <v>1</v>
      </c>
      <c r="B8" s="619">
        <v>2</v>
      </c>
      <c r="C8" s="619"/>
      <c r="D8" s="619">
        <v>3</v>
      </c>
      <c r="E8" s="619"/>
      <c r="F8" s="620">
        <v>4</v>
      </c>
      <c r="G8" s="618">
        <v>5</v>
      </c>
      <c r="H8" s="618">
        <v>6</v>
      </c>
      <c r="I8" s="618">
        <v>7</v>
      </c>
      <c r="J8" s="618">
        <v>8</v>
      </c>
      <c r="K8" s="618">
        <v>9</v>
      </c>
      <c r="L8" s="618">
        <v>10</v>
      </c>
      <c r="M8" s="618">
        <v>11</v>
      </c>
      <c r="N8" s="618">
        <v>12</v>
      </c>
    </row>
    <row r="9" spans="1:14" ht="15" customHeight="1">
      <c r="A9" s="303">
        <v>1</v>
      </c>
      <c r="B9" s="583" t="s">
        <v>224</v>
      </c>
      <c r="C9" s="583"/>
      <c r="D9" s="301">
        <v>1</v>
      </c>
      <c r="E9" s="303">
        <v>1</v>
      </c>
      <c r="F9" s="305"/>
      <c r="G9" s="304"/>
      <c r="H9" s="303"/>
      <c r="I9" s="304">
        <v>0</v>
      </c>
      <c r="J9" s="304"/>
      <c r="K9" s="304"/>
      <c r="L9" s="304"/>
      <c r="M9" s="304"/>
      <c r="N9" s="304"/>
    </row>
    <row r="10" spans="1:14" ht="48" customHeight="1">
      <c r="A10" s="301">
        <v>1</v>
      </c>
      <c r="B10" s="592" t="s">
        <v>225</v>
      </c>
      <c r="C10" s="592"/>
      <c r="D10" s="301">
        <v>1</v>
      </c>
      <c r="E10" s="301" t="s">
        <v>74</v>
      </c>
      <c r="F10" s="302">
        <f>'detailed '!I22</f>
        <v>66.474999999999994</v>
      </c>
      <c r="G10" s="302"/>
      <c r="H10" s="302"/>
      <c r="I10" s="302">
        <v>0.9</v>
      </c>
      <c r="J10" s="302">
        <f>F10*I10</f>
        <v>59.827499999999993</v>
      </c>
      <c r="K10" s="302">
        <v>0.2</v>
      </c>
      <c r="L10" s="302">
        <f t="shared" ref="L10:L15" si="0">F10*K10</f>
        <v>13.295</v>
      </c>
      <c r="M10" s="302">
        <v>0.2</v>
      </c>
      <c r="N10" s="302">
        <f t="shared" ref="N10:N15" si="1">M10*F10</f>
        <v>13.295</v>
      </c>
    </row>
    <row r="11" spans="1:14" ht="42.75" customHeight="1">
      <c r="A11" s="306">
        <v>2</v>
      </c>
      <c r="B11" s="587" t="s">
        <v>226</v>
      </c>
      <c r="C11" s="587"/>
      <c r="D11" s="306">
        <v>1</v>
      </c>
      <c r="E11" s="306" t="s">
        <v>74</v>
      </c>
      <c r="F11" s="314">
        <f>'detailed '!I28</f>
        <v>41.464999999999996</v>
      </c>
      <c r="G11" s="302"/>
      <c r="H11" s="302"/>
      <c r="I11" s="302">
        <v>0.9</v>
      </c>
      <c r="J11" s="302">
        <f>F11*I11</f>
        <v>37.3185</v>
      </c>
      <c r="K11" s="302">
        <v>0.2</v>
      </c>
      <c r="L11" s="302">
        <f t="shared" si="0"/>
        <v>8.2929999999999993</v>
      </c>
      <c r="M11" s="302">
        <v>0.2</v>
      </c>
      <c r="N11" s="302">
        <f t="shared" si="1"/>
        <v>8.2929999999999993</v>
      </c>
    </row>
    <row r="12" spans="1:14" ht="37.5" customHeight="1">
      <c r="A12" s="301">
        <v>3</v>
      </c>
      <c r="B12" s="587" t="s">
        <v>227</v>
      </c>
      <c r="C12" s="587"/>
      <c r="D12" s="306">
        <v>1</v>
      </c>
      <c r="E12" s="306" t="s">
        <v>74</v>
      </c>
      <c r="F12" s="302">
        <f>'detailed '!I35</f>
        <v>120.024</v>
      </c>
      <c r="G12" s="315"/>
      <c r="H12" s="302"/>
      <c r="I12" s="302">
        <v>0.76500000000000001</v>
      </c>
      <c r="J12" s="302">
        <f>F12*I12</f>
        <v>91.818359999999998</v>
      </c>
      <c r="K12" s="302">
        <v>0.17</v>
      </c>
      <c r="L12" s="302">
        <f t="shared" si="0"/>
        <v>20.40408</v>
      </c>
      <c r="M12" s="302">
        <v>0.17</v>
      </c>
      <c r="N12" s="302">
        <f t="shared" si="1"/>
        <v>20.40408</v>
      </c>
    </row>
    <row r="13" spans="1:14" ht="45" customHeight="1">
      <c r="A13" s="301">
        <v>4</v>
      </c>
      <c r="B13" s="587" t="s">
        <v>363</v>
      </c>
      <c r="C13" s="587"/>
      <c r="D13" s="306">
        <v>1</v>
      </c>
      <c r="E13" s="306" t="s">
        <v>74</v>
      </c>
      <c r="F13" s="302">
        <f>'detailed '!I44</f>
        <v>6.6760000000000002</v>
      </c>
      <c r="G13" s="315"/>
      <c r="H13" s="302"/>
      <c r="I13" s="302">
        <v>0.8</v>
      </c>
      <c r="J13" s="302">
        <f>F13*I13</f>
        <v>5.3408000000000007</v>
      </c>
      <c r="K13" s="302">
        <v>0.22500000000000001</v>
      </c>
      <c r="L13" s="302">
        <f t="shared" si="0"/>
        <v>1.5021</v>
      </c>
      <c r="M13" s="302">
        <v>0.22500000000000001</v>
      </c>
      <c r="N13" s="302">
        <f t="shared" si="1"/>
        <v>1.5021</v>
      </c>
    </row>
    <row r="14" spans="1:14" ht="36" customHeight="1">
      <c r="A14" s="301">
        <v>5</v>
      </c>
      <c r="B14" s="587" t="s">
        <v>364</v>
      </c>
      <c r="C14" s="587"/>
      <c r="D14" s="306">
        <v>1</v>
      </c>
      <c r="E14" s="306" t="s">
        <v>74</v>
      </c>
      <c r="F14" s="302">
        <f>'detailed '!I52</f>
        <v>72.375</v>
      </c>
      <c r="G14" s="315"/>
      <c r="H14" s="302"/>
      <c r="I14" s="302">
        <v>0.8</v>
      </c>
      <c r="J14" s="302">
        <f>F14*I14</f>
        <v>57.900000000000006</v>
      </c>
      <c r="K14" s="302">
        <v>0.22500000000000001</v>
      </c>
      <c r="L14" s="302">
        <f t="shared" si="0"/>
        <v>16.284375000000001</v>
      </c>
      <c r="M14" s="302">
        <v>0.22500000000000001</v>
      </c>
      <c r="N14" s="302">
        <f t="shared" si="1"/>
        <v>16.284375000000001</v>
      </c>
    </row>
    <row r="15" spans="1:14" ht="36" customHeight="1">
      <c r="A15" s="301">
        <v>6</v>
      </c>
      <c r="B15" s="589" t="s">
        <v>365</v>
      </c>
      <c r="C15" s="590"/>
      <c r="D15" s="306">
        <v>1</v>
      </c>
      <c r="E15" s="306" t="s">
        <v>74</v>
      </c>
      <c r="F15" s="302">
        <f>'detailed '!I57</f>
        <v>4.5</v>
      </c>
      <c r="G15" s="315"/>
      <c r="H15" s="302"/>
      <c r="I15" s="302">
        <v>0.8</v>
      </c>
      <c r="J15" s="302">
        <f>I15*F15</f>
        <v>3.6</v>
      </c>
      <c r="K15" s="302">
        <v>0.22500000000000001</v>
      </c>
      <c r="L15" s="302">
        <f t="shared" si="0"/>
        <v>1.0125</v>
      </c>
      <c r="M15" s="302">
        <v>0.22500000000000001</v>
      </c>
      <c r="N15" s="302">
        <f t="shared" si="1"/>
        <v>1.0125</v>
      </c>
    </row>
    <row r="16" spans="1:14" ht="21.75" customHeight="1">
      <c r="A16" s="585" t="s">
        <v>228</v>
      </c>
      <c r="B16" s="585"/>
      <c r="C16" s="585"/>
      <c r="D16" s="585"/>
      <c r="E16" s="585"/>
      <c r="F16" s="585"/>
      <c r="G16" s="304"/>
      <c r="H16" s="307"/>
      <c r="I16" s="304"/>
      <c r="J16" s="308">
        <f>SUM(J10:J15)</f>
        <v>255.80516</v>
      </c>
      <c r="K16" s="304"/>
      <c r="L16" s="308">
        <f>SUM(L10:L15)</f>
        <v>60.791055</v>
      </c>
      <c r="M16" s="304"/>
      <c r="N16" s="308">
        <f>SUM(N10:N15)</f>
        <v>60.791055</v>
      </c>
    </row>
    <row r="17" spans="1:14" ht="16.350000000000001" customHeight="1">
      <c r="A17" s="588" t="s">
        <v>18</v>
      </c>
      <c r="B17" s="588"/>
      <c r="C17" s="588"/>
      <c r="D17" s="588"/>
      <c r="E17" s="588"/>
      <c r="F17" s="588"/>
      <c r="G17" s="304"/>
      <c r="H17" s="309"/>
      <c r="I17" s="304"/>
      <c r="J17" s="370">
        <v>117</v>
      </c>
      <c r="K17" s="371"/>
      <c r="L17" s="370">
        <v>40</v>
      </c>
      <c r="M17" s="304"/>
      <c r="N17" s="305">
        <v>117</v>
      </c>
    </row>
    <row r="18" spans="1:14" ht="15" customHeight="1">
      <c r="A18" s="584" t="s">
        <v>229</v>
      </c>
      <c r="B18" s="584"/>
      <c r="C18" s="584"/>
      <c r="D18" s="584"/>
      <c r="E18" s="584"/>
      <c r="F18" s="584"/>
      <c r="G18" s="301"/>
      <c r="H18" s="302">
        <f>ROUND(H17*H16,0)</f>
        <v>0</v>
      </c>
      <c r="I18" s="301"/>
      <c r="J18" s="302">
        <f>ROUND(J17*J16,0)</f>
        <v>29929</v>
      </c>
      <c r="K18" s="301"/>
      <c r="L18" s="302">
        <f>ROUND(L17*L16,0)</f>
        <v>2432</v>
      </c>
      <c r="M18" s="301"/>
      <c r="N18" s="302">
        <f>ROUND(N17*N16,0)</f>
        <v>7113</v>
      </c>
    </row>
    <row r="19" spans="1:14" ht="15" customHeight="1">
      <c r="A19" s="585" t="s">
        <v>230</v>
      </c>
      <c r="B19" s="585"/>
      <c r="C19" s="585"/>
      <c r="D19" s="585"/>
      <c r="E19" s="585"/>
      <c r="F19" s="585"/>
      <c r="G19" s="310"/>
      <c r="H19" s="300">
        <f>SUM(H18:N18)</f>
        <v>39474</v>
      </c>
      <c r="I19" s="303"/>
      <c r="J19" s="304"/>
      <c r="K19" s="304"/>
      <c r="L19" s="304"/>
      <c r="M19" s="303"/>
      <c r="N19" s="304"/>
    </row>
    <row r="20" spans="1:14" ht="16.350000000000001" customHeight="1">
      <c r="A20" s="586" t="s">
        <v>231</v>
      </c>
      <c r="B20" s="586"/>
      <c r="C20" s="586"/>
      <c r="D20" s="586"/>
      <c r="E20" s="586"/>
      <c r="F20" s="586"/>
      <c r="G20" s="586"/>
      <c r="H20" s="303">
        <f>ROUND(H19*0.3,0)</f>
        <v>11842</v>
      </c>
      <c r="I20" s="303"/>
      <c r="J20" s="304"/>
      <c r="K20" s="304"/>
      <c r="L20" s="304"/>
      <c r="M20" s="303"/>
      <c r="N20" s="304"/>
    </row>
    <row r="21" spans="1:14" ht="15.75">
      <c r="A21" s="586" t="s">
        <v>232</v>
      </c>
      <c r="B21" s="586"/>
      <c r="C21" s="586"/>
      <c r="D21" s="586"/>
      <c r="E21" s="586"/>
      <c r="F21" s="586"/>
      <c r="G21" s="586"/>
      <c r="H21" s="303">
        <f>ROUND(H19*0.02,0)</f>
        <v>789</v>
      </c>
      <c r="I21" s="303"/>
      <c r="J21" s="304"/>
      <c r="K21" s="304"/>
      <c r="L21" s="316"/>
      <c r="M21" s="303"/>
      <c r="N21" s="304"/>
    </row>
    <row r="22" spans="1:14" ht="15.75">
      <c r="A22" s="586"/>
      <c r="B22" s="586"/>
      <c r="C22" s="586"/>
      <c r="D22" s="586"/>
      <c r="E22" s="586"/>
      <c r="F22" s="586"/>
      <c r="G22" s="586"/>
      <c r="H22" s="302">
        <f>SUM(H19:H21)</f>
        <v>52105</v>
      </c>
      <c r="I22" s="303"/>
      <c r="J22" s="304"/>
      <c r="K22" s="304"/>
      <c r="L22" s="304"/>
      <c r="M22" s="303"/>
      <c r="N22" s="304"/>
    </row>
    <row r="23" spans="1:14" ht="16.350000000000001" customHeight="1">
      <c r="A23" s="582" t="s">
        <v>36</v>
      </c>
      <c r="B23" s="582"/>
      <c r="C23" s="582"/>
      <c r="D23" s="582"/>
      <c r="E23" s="582"/>
      <c r="F23" s="582"/>
      <c r="G23" s="582"/>
      <c r="H23" s="311">
        <f>ROUND(H22,0)</f>
        <v>52105</v>
      </c>
      <c r="I23" s="312"/>
      <c r="J23" s="313"/>
      <c r="K23" s="313"/>
      <c r="L23" s="313"/>
      <c r="M23" s="312"/>
      <c r="N23" s="313"/>
    </row>
    <row r="24" spans="1:14" ht="15.75">
      <c r="A24" s="304"/>
      <c r="B24" s="583" t="s">
        <v>233</v>
      </c>
      <c r="C24" s="583"/>
      <c r="D24" s="583"/>
      <c r="E24" s="583"/>
      <c r="F24" s="583"/>
      <c r="G24" s="303"/>
      <c r="H24" s="303">
        <f>(J18+N18)*80%</f>
        <v>29633.600000000002</v>
      </c>
      <c r="I24" s="303"/>
      <c r="J24" s="304"/>
      <c r="K24" s="304"/>
      <c r="L24" s="304"/>
      <c r="M24" s="303"/>
      <c r="N24" s="304"/>
    </row>
    <row r="25" spans="1:14" ht="15.75">
      <c r="A25" s="518"/>
      <c r="B25" s="310"/>
      <c r="C25" s="310"/>
      <c r="D25" s="310"/>
      <c r="E25" s="310"/>
      <c r="F25" s="310"/>
      <c r="G25" s="310"/>
      <c r="H25" s="310"/>
      <c r="I25" s="310"/>
      <c r="J25" s="518"/>
      <c r="K25" s="518"/>
      <c r="L25" s="518"/>
      <c r="M25" s="310"/>
      <c r="N25" s="518"/>
    </row>
    <row r="26" spans="1:14" ht="15.75">
      <c r="A26" s="110"/>
      <c r="B26" s="110"/>
      <c r="C26" s="110"/>
      <c r="D26" s="110"/>
      <c r="E26" s="110"/>
      <c r="F26" s="110"/>
      <c r="G26" s="110"/>
      <c r="H26" s="110"/>
      <c r="I26" s="110"/>
      <c r="J26" s="110"/>
      <c r="K26" s="110"/>
      <c r="L26" s="110"/>
      <c r="M26" s="110"/>
      <c r="N26" s="110"/>
    </row>
    <row r="27" spans="1:14" ht="15.75">
      <c r="A27" s="110"/>
      <c r="B27" s="110"/>
      <c r="C27" s="110"/>
      <c r="D27" s="110"/>
      <c r="E27" s="110"/>
      <c r="F27" s="110"/>
      <c r="G27" s="110"/>
      <c r="H27" s="110"/>
      <c r="I27" s="110"/>
      <c r="J27" s="110"/>
      <c r="K27" s="110"/>
      <c r="L27" s="110"/>
      <c r="M27" s="110"/>
      <c r="N27" s="110"/>
    </row>
    <row r="28" spans="1:14" ht="15.75">
      <c r="A28" s="555" t="s">
        <v>234</v>
      </c>
      <c r="B28" s="555"/>
      <c r="C28" s="555"/>
      <c r="D28" s="110"/>
      <c r="E28" s="557" t="s">
        <v>37</v>
      </c>
      <c r="F28" s="557"/>
      <c r="G28" s="557"/>
      <c r="H28" s="557"/>
      <c r="I28" s="110"/>
      <c r="J28" s="555" t="s">
        <v>38</v>
      </c>
      <c r="K28" s="555"/>
      <c r="L28" s="555"/>
      <c r="M28" s="555"/>
      <c r="N28" s="110"/>
    </row>
    <row r="29" spans="1:14" ht="15" customHeight="1">
      <c r="A29" s="557" t="s">
        <v>70</v>
      </c>
      <c r="B29" s="557"/>
      <c r="C29" s="557"/>
      <c r="E29" s="557" t="s">
        <v>70</v>
      </c>
      <c r="F29" s="557"/>
      <c r="G29" s="557"/>
      <c r="H29" s="557"/>
      <c r="J29" s="555" t="s">
        <v>71</v>
      </c>
      <c r="K29" s="555"/>
      <c r="L29" s="555"/>
      <c r="M29" s="555"/>
      <c r="N29" s="110"/>
    </row>
    <row r="30" spans="1:14" ht="15" customHeight="1">
      <c r="G30" s="110"/>
      <c r="K30" s="110"/>
      <c r="L30" s="110"/>
      <c r="M30" s="110"/>
      <c r="N30" s="110"/>
    </row>
  </sheetData>
  <mergeCells count="37">
    <mergeCell ref="A1:N1"/>
    <mergeCell ref="A2:N4"/>
    <mergeCell ref="A5:A7"/>
    <mergeCell ref="B5:C7"/>
    <mergeCell ref="D5:E7"/>
    <mergeCell ref="F5:F7"/>
    <mergeCell ref="G5:H5"/>
    <mergeCell ref="I5:J5"/>
    <mergeCell ref="K5:L5"/>
    <mergeCell ref="M5:N5"/>
    <mergeCell ref="G6:H6"/>
    <mergeCell ref="I6:J6"/>
    <mergeCell ref="M6:N6"/>
    <mergeCell ref="B8:C8"/>
    <mergeCell ref="D8:E8"/>
    <mergeCell ref="B9:C9"/>
    <mergeCell ref="B10:C10"/>
    <mergeCell ref="B11:C11"/>
    <mergeCell ref="B12:C12"/>
    <mergeCell ref="B13:C13"/>
    <mergeCell ref="B14:C14"/>
    <mergeCell ref="A16:F16"/>
    <mergeCell ref="A17:F17"/>
    <mergeCell ref="B15:C15"/>
    <mergeCell ref="A23:G23"/>
    <mergeCell ref="B24:F24"/>
    <mergeCell ref="A18:F18"/>
    <mergeCell ref="A19:F19"/>
    <mergeCell ref="A20:G20"/>
    <mergeCell ref="A21:G21"/>
    <mergeCell ref="A22:G22"/>
    <mergeCell ref="J29:M29"/>
    <mergeCell ref="E28:H28"/>
    <mergeCell ref="E29:H29"/>
    <mergeCell ref="A28:C28"/>
    <mergeCell ref="A29:C29"/>
    <mergeCell ref="J28:M28"/>
  </mergeCells>
  <pageMargins left="0.7" right="0.7" top="0.44027777777777799" bottom="0.75" header="0.511811023622047" footer="0.511811023622047"/>
  <pageSetup paperSize="9" scale="86"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V24"/>
  <sheetViews>
    <sheetView view="pageBreakPreview" zoomScaleNormal="100" workbookViewId="0">
      <selection activeCell="A3" sqref="A3"/>
    </sheetView>
  </sheetViews>
  <sheetFormatPr defaultColWidth="9.140625" defaultRowHeight="15.75"/>
  <cols>
    <col min="1" max="1" width="4.140625" style="72" customWidth="1"/>
    <col min="2" max="2" width="15.85546875" style="72" customWidth="1"/>
    <col min="3" max="3" width="11.5703125" style="72" bestFit="1" customWidth="1"/>
    <col min="4" max="4" width="6.85546875" style="72" bestFit="1" customWidth="1"/>
    <col min="5" max="5" width="4.5703125" style="72" bestFit="1" customWidth="1"/>
    <col min="6" max="6" width="10.140625" style="73" customWidth="1"/>
    <col min="7" max="7" width="9.42578125" style="72" customWidth="1"/>
    <col min="8" max="8" width="7.5703125" style="72" customWidth="1"/>
    <col min="9" max="10" width="8.28515625" style="72" customWidth="1"/>
    <col min="11" max="11" width="7.42578125" style="72" customWidth="1"/>
    <col min="12" max="12" width="11.42578125" style="72" customWidth="1"/>
    <col min="13" max="13" width="10.28515625" style="72" customWidth="1"/>
    <col min="14" max="14" width="11.140625" style="72" bestFit="1" customWidth="1"/>
    <col min="15" max="15" width="9.28515625" style="72" customWidth="1"/>
    <col min="16" max="16" width="18.85546875" style="72" customWidth="1"/>
    <col min="17" max="17" width="12.7109375" customWidth="1"/>
    <col min="23" max="16384" width="9.140625" style="72"/>
  </cols>
  <sheetData>
    <row r="1" spans="1:19" ht="21.75" customHeight="1">
      <c r="A1" s="599" t="s">
        <v>235</v>
      </c>
      <c r="B1" s="599"/>
      <c r="C1" s="599"/>
      <c r="D1" s="599"/>
      <c r="E1" s="599"/>
      <c r="F1" s="599"/>
      <c r="G1" s="599"/>
      <c r="H1" s="599"/>
      <c r="I1" s="599"/>
      <c r="J1" s="599"/>
      <c r="K1" s="599"/>
      <c r="L1" s="599"/>
      <c r="M1" s="599"/>
      <c r="N1" s="599"/>
      <c r="O1" s="599"/>
      <c r="P1" s="599"/>
      <c r="Q1" s="599"/>
    </row>
    <row r="2" spans="1:19" s="74" customFormat="1" ht="36.75" customHeight="1">
      <c r="A2" s="600" t="str">
        <f>seignorage!A2</f>
        <v>Name of work:- Construction of S.L.R.B. across Mulakala kalva Major near L-8 Minor off-take at KM 5.506 (Reach-IV) in Yadgarpalli village of Miryalaguda Mandal, Nalgonda District.</v>
      </c>
      <c r="B2" s="600"/>
      <c r="C2" s="600"/>
      <c r="D2" s="600"/>
      <c r="E2" s="600"/>
      <c r="F2" s="600"/>
      <c r="G2" s="600"/>
      <c r="H2" s="600"/>
      <c r="I2" s="600"/>
      <c r="J2" s="600"/>
      <c r="K2" s="600"/>
      <c r="L2" s="600"/>
      <c r="M2" s="600"/>
      <c r="N2" s="600"/>
      <c r="O2" s="600"/>
      <c r="P2" s="600"/>
      <c r="Q2" s="600"/>
    </row>
    <row r="3" spans="1:19" ht="54.75" customHeight="1">
      <c r="A3" s="215" t="s">
        <v>236</v>
      </c>
      <c r="B3" s="215" t="s">
        <v>237</v>
      </c>
      <c r="C3" s="215" t="s">
        <v>238</v>
      </c>
      <c r="D3" s="215" t="s">
        <v>73</v>
      </c>
      <c r="E3" s="604" t="s">
        <v>239</v>
      </c>
      <c r="F3" s="604" t="s">
        <v>240</v>
      </c>
      <c r="G3" s="605" t="s">
        <v>241</v>
      </c>
      <c r="H3" s="605"/>
      <c r="I3" s="215" t="s">
        <v>242</v>
      </c>
      <c r="J3" s="601" t="s">
        <v>330</v>
      </c>
      <c r="K3" s="601" t="s">
        <v>243</v>
      </c>
      <c r="L3" s="601" t="s">
        <v>244</v>
      </c>
      <c r="M3" s="601" t="s">
        <v>245</v>
      </c>
      <c r="N3" s="601" t="s">
        <v>331</v>
      </c>
      <c r="O3" s="594" t="s">
        <v>332</v>
      </c>
      <c r="P3" s="594" t="s">
        <v>333</v>
      </c>
      <c r="Q3" s="596" t="s">
        <v>334</v>
      </c>
    </row>
    <row r="4" spans="1:19" ht="27.75" customHeight="1" thickBot="1">
      <c r="A4" s="206"/>
      <c r="B4" s="206"/>
      <c r="C4" s="206"/>
      <c r="D4" s="206"/>
      <c r="E4" s="585"/>
      <c r="F4" s="585"/>
      <c r="G4" s="206" t="s">
        <v>246</v>
      </c>
      <c r="H4" s="206" t="s">
        <v>247</v>
      </c>
      <c r="I4" s="208"/>
      <c r="J4" s="602"/>
      <c r="K4" s="602"/>
      <c r="L4" s="602"/>
      <c r="M4" s="602"/>
      <c r="N4" s="602"/>
      <c r="O4" s="595"/>
      <c r="P4" s="595"/>
      <c r="Q4" s="597"/>
    </row>
    <row r="5" spans="1:19" ht="39" customHeight="1">
      <c r="A5" s="198">
        <v>1</v>
      </c>
      <c r="B5" s="209" t="s">
        <v>248</v>
      </c>
      <c r="C5" s="198" t="s">
        <v>249</v>
      </c>
      <c r="D5" s="198" t="s">
        <v>250</v>
      </c>
      <c r="E5" s="210"/>
      <c r="F5" s="210">
        <v>5200</v>
      </c>
      <c r="G5" s="598" t="s">
        <v>329</v>
      </c>
      <c r="H5" s="598"/>
      <c r="I5" s="598"/>
      <c r="J5" s="598"/>
      <c r="K5" s="598"/>
      <c r="L5" s="598"/>
      <c r="M5" s="598"/>
      <c r="N5" s="598"/>
      <c r="O5" s="598"/>
      <c r="P5" s="598"/>
      <c r="Q5" s="197">
        <v>5200</v>
      </c>
    </row>
    <row r="6" spans="1:19" ht="18.75" customHeight="1">
      <c r="A6" s="198">
        <v>2</v>
      </c>
      <c r="B6" s="209" t="s">
        <v>251</v>
      </c>
      <c r="C6" s="198" t="s">
        <v>252</v>
      </c>
      <c r="D6" s="198" t="s">
        <v>250</v>
      </c>
      <c r="E6" s="210"/>
      <c r="F6" s="210"/>
      <c r="G6" s="598"/>
      <c r="H6" s="598"/>
      <c r="I6" s="598"/>
      <c r="J6" s="598"/>
      <c r="K6" s="598"/>
      <c r="L6" s="598"/>
      <c r="M6" s="598"/>
      <c r="N6" s="598"/>
      <c r="O6" s="598"/>
      <c r="P6" s="598"/>
      <c r="Q6" s="197">
        <v>56000</v>
      </c>
    </row>
    <row r="7" spans="1:19" ht="33" customHeight="1">
      <c r="A7" s="198">
        <v>3</v>
      </c>
      <c r="B7" s="199" t="s">
        <v>253</v>
      </c>
      <c r="C7" s="200" t="s">
        <v>254</v>
      </c>
      <c r="D7" s="198" t="s">
        <v>255</v>
      </c>
      <c r="E7" s="207" t="s">
        <v>256</v>
      </c>
      <c r="F7" s="211">
        <v>777</v>
      </c>
      <c r="G7" s="198">
        <v>21</v>
      </c>
      <c r="H7" s="198" t="s">
        <v>5</v>
      </c>
      <c r="I7" s="201">
        <v>21</v>
      </c>
      <c r="J7" s="193">
        <v>48.2</v>
      </c>
      <c r="K7" s="194">
        <v>128.6</v>
      </c>
      <c r="L7" s="193">
        <v>19.3</v>
      </c>
      <c r="M7" s="194">
        <v>16.100000000000001</v>
      </c>
      <c r="N7" s="195"/>
      <c r="O7" s="196">
        <v>21</v>
      </c>
      <c r="P7" s="195">
        <f>K7+(O7-5)*L7</f>
        <v>437.4</v>
      </c>
      <c r="Q7" s="195">
        <f>P7-J7</f>
        <v>389.2</v>
      </c>
      <c r="R7">
        <f>6*14.2</f>
        <v>85.199999999999989</v>
      </c>
      <c r="S7" t="e">
        <f>113.6+R7+#REF!</f>
        <v>#REF!</v>
      </c>
    </row>
    <row r="8" spans="1:19" ht="33" customHeight="1">
      <c r="A8" s="198">
        <v>4</v>
      </c>
      <c r="B8" s="199" t="s">
        <v>335</v>
      </c>
      <c r="C8" s="198" t="s">
        <v>258</v>
      </c>
      <c r="D8" s="198" t="s">
        <v>255</v>
      </c>
      <c r="E8" s="207">
        <v>94</v>
      </c>
      <c r="F8" s="211">
        <v>727</v>
      </c>
      <c r="G8" s="198">
        <v>21</v>
      </c>
      <c r="H8" s="198"/>
      <c r="I8" s="201">
        <v>21</v>
      </c>
      <c r="J8" s="201">
        <v>46.5</v>
      </c>
      <c r="K8" s="201">
        <v>128.6</v>
      </c>
      <c r="L8" s="202">
        <v>19.3</v>
      </c>
      <c r="M8" s="202">
        <v>16.100000000000001</v>
      </c>
      <c r="N8" s="201"/>
      <c r="O8" s="201">
        <v>21</v>
      </c>
      <c r="P8" s="195">
        <f>K8+(O8-5)*L8</f>
        <v>437.4</v>
      </c>
      <c r="Q8" s="195">
        <f>P8-J8</f>
        <v>390.9</v>
      </c>
    </row>
    <row r="9" spans="1:19" ht="44.25" customHeight="1">
      <c r="A9" s="198">
        <v>5</v>
      </c>
      <c r="B9" s="199" t="s">
        <v>257</v>
      </c>
      <c r="C9" s="198" t="s">
        <v>258</v>
      </c>
      <c r="D9" s="198" t="s">
        <v>255</v>
      </c>
      <c r="E9" s="207">
        <v>9</v>
      </c>
      <c r="F9" s="211">
        <v>899</v>
      </c>
      <c r="G9" s="198">
        <v>21</v>
      </c>
      <c r="H9" s="198" t="s">
        <v>5</v>
      </c>
      <c r="I9" s="201">
        <v>21</v>
      </c>
      <c r="J9" s="201">
        <v>46.5</v>
      </c>
      <c r="K9" s="201">
        <v>128.6</v>
      </c>
      <c r="L9" s="202">
        <v>19.3</v>
      </c>
      <c r="M9" s="202">
        <v>16.100000000000001</v>
      </c>
      <c r="N9" s="201"/>
      <c r="O9" s="201">
        <v>21</v>
      </c>
      <c r="P9" s="195">
        <f>K9+(O9-5)*L9</f>
        <v>437.4</v>
      </c>
      <c r="Q9" s="195">
        <f>P9-J9</f>
        <v>390.9</v>
      </c>
    </row>
    <row r="10" spans="1:19" s="75" customFormat="1" ht="66" customHeight="1">
      <c r="A10" s="198">
        <v>6</v>
      </c>
      <c r="B10" s="199" t="s">
        <v>259</v>
      </c>
      <c r="C10" s="198" t="s">
        <v>258</v>
      </c>
      <c r="D10" s="198" t="s">
        <v>255</v>
      </c>
      <c r="E10" s="207">
        <v>8</v>
      </c>
      <c r="F10" s="211">
        <v>1000</v>
      </c>
      <c r="G10" s="198">
        <v>21</v>
      </c>
      <c r="H10" s="198" t="s">
        <v>5</v>
      </c>
      <c r="I10" s="201">
        <f>I9</f>
        <v>21</v>
      </c>
      <c r="J10" s="203">
        <f>J9</f>
        <v>46.5</v>
      </c>
      <c r="K10" s="203">
        <f>K9</f>
        <v>128.6</v>
      </c>
      <c r="L10" s="204">
        <f>L9</f>
        <v>19.3</v>
      </c>
      <c r="M10" s="204">
        <f>M9</f>
        <v>16.100000000000001</v>
      </c>
      <c r="N10" s="201"/>
      <c r="O10" s="201">
        <f>O9</f>
        <v>21</v>
      </c>
      <c r="P10" s="195">
        <f t="shared" ref="P10:P11" si="0">K10+(O10-5)*L10</f>
        <v>437.4</v>
      </c>
      <c r="Q10" s="195">
        <f t="shared" ref="Q10:Q12" si="1">P10-J10</f>
        <v>390.9</v>
      </c>
    </row>
    <row r="11" spans="1:19" s="76" customFormat="1" ht="53.25" customHeight="1">
      <c r="A11" s="198">
        <v>7</v>
      </c>
      <c r="B11" s="199" t="s">
        <v>260</v>
      </c>
      <c r="C11" s="198" t="s">
        <v>258</v>
      </c>
      <c r="D11" s="198" t="s">
        <v>255</v>
      </c>
      <c r="E11" s="207">
        <v>7</v>
      </c>
      <c r="F11" s="211">
        <v>768</v>
      </c>
      <c r="G11" s="198">
        <v>21</v>
      </c>
      <c r="H11" s="198" t="s">
        <v>5</v>
      </c>
      <c r="I11" s="201">
        <v>21</v>
      </c>
      <c r="J11" s="201">
        <f>J10</f>
        <v>46.5</v>
      </c>
      <c r="K11" s="201">
        <f>K10</f>
        <v>128.6</v>
      </c>
      <c r="L11" s="202">
        <f>L10</f>
        <v>19.3</v>
      </c>
      <c r="M11" s="202">
        <f>M10</f>
        <v>16.100000000000001</v>
      </c>
      <c r="N11" s="201"/>
      <c r="O11" s="201">
        <f>O10</f>
        <v>21</v>
      </c>
      <c r="P11" s="195">
        <f t="shared" si="0"/>
        <v>437.4</v>
      </c>
      <c r="Q11" s="195">
        <f t="shared" si="1"/>
        <v>390.9</v>
      </c>
    </row>
    <row r="12" spans="1:19" s="75" customFormat="1" ht="15" customHeight="1">
      <c r="A12" s="227">
        <v>8</v>
      </c>
      <c r="B12" s="227" t="s">
        <v>340</v>
      </c>
      <c r="C12" s="227" t="s">
        <v>341</v>
      </c>
      <c r="D12" s="228" t="s">
        <v>249</v>
      </c>
      <c r="E12" s="228" t="s">
        <v>22</v>
      </c>
      <c r="F12" s="228">
        <v>109</v>
      </c>
      <c r="G12" s="229">
        <v>5</v>
      </c>
      <c r="H12" s="195"/>
      <c r="I12" s="195"/>
      <c r="J12" s="193">
        <f>J7</f>
        <v>48.2</v>
      </c>
      <c r="K12" s="194">
        <v>128.6</v>
      </c>
      <c r="L12" s="193">
        <f>L5</f>
        <v>0</v>
      </c>
      <c r="M12" s="194">
        <f>M6</f>
        <v>0</v>
      </c>
      <c r="N12" s="195"/>
      <c r="O12" s="195">
        <v>5</v>
      </c>
      <c r="P12" s="195">
        <f>K12+(O12-5)*L12</f>
        <v>128.6</v>
      </c>
      <c r="Q12" s="195">
        <f t="shared" si="1"/>
        <v>80.399999999999991</v>
      </c>
    </row>
    <row r="13" spans="1:19" s="75" customFormat="1" ht="14.25" customHeight="1">
      <c r="A13" s="213">
        <v>1</v>
      </c>
      <c r="B13" s="603" t="s">
        <v>261</v>
      </c>
      <c r="C13" s="603"/>
      <c r="D13" s="603"/>
      <c r="E13" s="603"/>
      <c r="F13" s="603"/>
      <c r="G13" s="603"/>
      <c r="H13" s="603"/>
      <c r="I13" s="214"/>
      <c r="J13" s="214"/>
      <c r="K13" s="214"/>
      <c r="L13" s="205"/>
      <c r="M13" s="212"/>
      <c r="N13" s="212"/>
      <c r="O13" s="212"/>
      <c r="P13" s="212"/>
      <c r="Q13" s="212"/>
    </row>
    <row r="14" spans="1:19" s="75" customFormat="1" ht="14.25" customHeight="1">
      <c r="A14" s="213">
        <v>2</v>
      </c>
      <c r="B14" s="603" t="s">
        <v>262</v>
      </c>
      <c r="C14" s="603"/>
      <c r="D14" s="603"/>
      <c r="E14" s="603"/>
      <c r="F14" s="603"/>
      <c r="G14" s="603"/>
      <c r="H14" s="603"/>
      <c r="I14" s="214"/>
      <c r="J14" s="214"/>
      <c r="K14" s="214"/>
      <c r="L14" s="205"/>
      <c r="M14" s="212"/>
      <c r="N14" s="212"/>
      <c r="O14" s="212"/>
      <c r="P14" s="212"/>
      <c r="Q14" s="212"/>
    </row>
    <row r="15" spans="1:19" s="75" customFormat="1" ht="15">
      <c r="A15" s="72"/>
      <c r="B15" s="72"/>
      <c r="C15" s="72"/>
      <c r="D15" s="72"/>
      <c r="E15" s="72"/>
      <c r="F15" s="73"/>
      <c r="G15" s="72"/>
      <c r="H15" s="72"/>
      <c r="I15" s="72"/>
      <c r="J15" s="72"/>
      <c r="K15" s="72"/>
      <c r="L15" s="72"/>
    </row>
    <row r="16" spans="1:19" ht="16.5">
      <c r="A16" s="77"/>
      <c r="B16" s="75"/>
      <c r="C16" s="77"/>
      <c r="D16" s="78"/>
      <c r="E16" s="75"/>
      <c r="F16" s="79"/>
      <c r="G16" s="75"/>
      <c r="H16" s="75"/>
      <c r="I16" s="75"/>
      <c r="J16" s="75"/>
      <c r="K16" s="75"/>
      <c r="L16" s="75"/>
    </row>
    <row r="17" spans="1:12" ht="16.5">
      <c r="A17" s="77"/>
      <c r="B17" s="75"/>
      <c r="C17" s="77"/>
      <c r="D17" s="78"/>
      <c r="E17" s="75"/>
      <c r="F17" s="79"/>
      <c r="G17" s="75"/>
      <c r="H17" s="75"/>
      <c r="I17" s="75"/>
      <c r="J17" s="75"/>
      <c r="K17" s="75"/>
      <c r="L17" s="75"/>
    </row>
    <row r="18" spans="1:12" ht="16.5">
      <c r="A18" s="77"/>
      <c r="B18" s="75"/>
      <c r="C18" s="77"/>
      <c r="D18" s="78"/>
      <c r="E18" s="75"/>
      <c r="F18" s="79"/>
      <c r="G18" s="75"/>
      <c r="H18" s="75"/>
      <c r="I18" s="75"/>
      <c r="J18" s="75"/>
      <c r="K18" s="75"/>
      <c r="L18" s="75"/>
    </row>
    <row r="19" spans="1:12" ht="16.5">
      <c r="A19" s="77"/>
      <c r="B19" s="75"/>
      <c r="C19" s="77"/>
      <c r="D19" s="78"/>
      <c r="E19" s="75"/>
      <c r="F19" s="79"/>
      <c r="G19" s="75"/>
      <c r="H19" s="75"/>
      <c r="I19" s="75"/>
      <c r="J19" s="75"/>
      <c r="K19" s="75"/>
      <c r="L19" s="75"/>
    </row>
    <row r="20" spans="1:12" ht="16.5">
      <c r="A20" s="77"/>
      <c r="B20" s="75"/>
      <c r="C20" s="77"/>
      <c r="D20" s="78"/>
      <c r="E20" s="75"/>
      <c r="F20" s="79"/>
      <c r="G20" s="75"/>
      <c r="H20" s="75"/>
      <c r="I20" s="75"/>
      <c r="J20" s="75"/>
      <c r="K20" s="75"/>
      <c r="L20" s="75"/>
    </row>
    <row r="21" spans="1:12" ht="16.5">
      <c r="A21" s="77"/>
      <c r="B21" s="75"/>
      <c r="C21" s="77"/>
      <c r="D21" s="78"/>
      <c r="E21" s="75"/>
      <c r="F21" s="79"/>
      <c r="G21" s="75"/>
      <c r="H21" s="75"/>
      <c r="I21" s="75"/>
      <c r="J21" s="75"/>
      <c r="K21" s="75"/>
      <c r="L21" s="75"/>
    </row>
    <row r="22" spans="1:12" ht="16.5">
      <c r="A22" s="77"/>
      <c r="B22" s="75"/>
      <c r="C22" s="77"/>
      <c r="D22" s="78"/>
      <c r="E22" s="75"/>
      <c r="F22" s="79"/>
      <c r="G22" s="75"/>
      <c r="H22" s="75"/>
      <c r="I22" s="75"/>
      <c r="J22" s="75"/>
      <c r="K22" s="75"/>
      <c r="L22" s="75"/>
    </row>
    <row r="23" spans="1:12" ht="16.5">
      <c r="A23" s="77"/>
      <c r="B23" s="75"/>
      <c r="C23" s="77"/>
      <c r="D23" s="78"/>
      <c r="E23" s="75"/>
      <c r="F23" s="79"/>
      <c r="G23" s="75"/>
      <c r="H23" s="75"/>
      <c r="I23" s="75"/>
      <c r="J23" s="75"/>
      <c r="K23" s="75"/>
      <c r="L23" s="75"/>
    </row>
    <row r="24" spans="1:12" ht="16.5">
      <c r="A24" s="80"/>
      <c r="B24" s="79"/>
      <c r="C24" s="80"/>
      <c r="D24" s="78"/>
      <c r="E24" s="75"/>
      <c r="F24" s="79"/>
      <c r="G24" s="75"/>
      <c r="H24" s="75"/>
      <c r="I24" s="75"/>
      <c r="J24" s="75"/>
      <c r="K24" s="75"/>
      <c r="L24" s="75"/>
    </row>
  </sheetData>
  <mergeCells count="16">
    <mergeCell ref="B13:H13"/>
    <mergeCell ref="B14:H14"/>
    <mergeCell ref="E3:E4"/>
    <mergeCell ref="F3:F4"/>
    <mergeCell ref="G3:H3"/>
    <mergeCell ref="P3:P4"/>
    <mergeCell ref="Q3:Q4"/>
    <mergeCell ref="G5:P6"/>
    <mergeCell ref="A1:Q1"/>
    <mergeCell ref="A2:Q2"/>
    <mergeCell ref="J3:J4"/>
    <mergeCell ref="K3:K4"/>
    <mergeCell ref="L3:L4"/>
    <mergeCell ref="M3:M4"/>
    <mergeCell ref="N3:N4"/>
    <mergeCell ref="O3:O4"/>
  </mergeCells>
  <pageMargins left="0.7" right="0.7" top="0.37986111111111098" bottom="0.37986111111111098" header="0.511811023622047" footer="0.511811023622047"/>
  <pageSetup paperSize="9" scale="76"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49"/>
  <sheetViews>
    <sheetView view="pageBreakPreview" topLeftCell="A36" zoomScale="90" zoomScaleNormal="60" zoomScalePageLayoutView="90" workbookViewId="0">
      <selection activeCell="E51" sqref="E51"/>
    </sheetView>
  </sheetViews>
  <sheetFormatPr defaultColWidth="9" defaultRowHeight="15"/>
  <cols>
    <col min="1" max="1" width="8" customWidth="1"/>
    <col min="2" max="2" width="32.7109375" bestFit="1" customWidth="1"/>
    <col min="3" max="3" width="11" customWidth="1"/>
    <col min="5" max="5" width="33.140625" bestFit="1" customWidth="1"/>
    <col min="6" max="6" width="12.140625" customWidth="1"/>
    <col min="7" max="7" width="8.5703125" customWidth="1"/>
    <col min="8" max="8" width="8" customWidth="1"/>
    <col min="9" max="9" width="12.140625" customWidth="1"/>
    <col min="10" max="10" width="14" customWidth="1"/>
    <col min="11" max="11" width="16" customWidth="1"/>
    <col min="12" max="14" width="2" customWidth="1"/>
  </cols>
  <sheetData>
    <row r="1" spans="1:16" ht="18.75">
      <c r="A1" s="609" t="s">
        <v>356</v>
      </c>
      <c r="B1" s="609"/>
      <c r="C1" s="609"/>
      <c r="D1" s="609"/>
      <c r="E1" s="609"/>
      <c r="F1" s="609"/>
      <c r="G1" s="609"/>
      <c r="H1" s="609"/>
      <c r="I1" s="609"/>
      <c r="J1" s="609"/>
      <c r="K1" s="609"/>
    </row>
    <row r="2" spans="1:16" ht="18.75">
      <c r="A2" s="608" t="s">
        <v>263</v>
      </c>
      <c r="B2" s="608"/>
      <c r="C2" s="608"/>
      <c r="D2" s="608"/>
      <c r="E2" s="608"/>
      <c r="F2" s="608"/>
      <c r="G2" s="608"/>
      <c r="H2" s="608"/>
      <c r="I2" s="608"/>
      <c r="J2" s="608"/>
      <c r="K2" s="608"/>
    </row>
    <row r="3" spans="1:16" ht="57" customHeight="1">
      <c r="A3" s="610" t="s">
        <v>480</v>
      </c>
      <c r="B3" s="610"/>
      <c r="C3" s="610"/>
      <c r="D3" s="610"/>
      <c r="E3" s="610"/>
      <c r="F3" s="610"/>
      <c r="G3" s="610"/>
      <c r="H3" s="610"/>
      <c r="I3" s="610"/>
      <c r="J3" s="610"/>
      <c r="K3" s="611"/>
    </row>
    <row r="4" spans="1:16" s="42" customFormat="1" ht="48" customHeight="1">
      <c r="A4" s="206" t="s">
        <v>264</v>
      </c>
      <c r="B4" s="206" t="s">
        <v>265</v>
      </c>
      <c r="C4" s="206" t="s">
        <v>266</v>
      </c>
      <c r="D4" s="206" t="s">
        <v>267</v>
      </c>
      <c r="E4" s="206" t="s">
        <v>268</v>
      </c>
      <c r="F4" s="206" t="s">
        <v>269</v>
      </c>
      <c r="G4" s="206" t="s">
        <v>270</v>
      </c>
      <c r="H4" s="206" t="s">
        <v>271</v>
      </c>
      <c r="I4" s="206" t="s">
        <v>272</v>
      </c>
      <c r="J4" s="206" t="s">
        <v>273</v>
      </c>
      <c r="K4" s="206" t="s">
        <v>274</v>
      </c>
    </row>
    <row r="5" spans="1:16" ht="15.75">
      <c r="A5" s="380">
        <v>1</v>
      </c>
      <c r="B5" s="607" t="s">
        <v>275</v>
      </c>
      <c r="C5" s="607"/>
      <c r="D5" s="607"/>
      <c r="E5" s="607"/>
      <c r="F5" s="607"/>
      <c r="G5" s="607"/>
      <c r="H5" s="607"/>
      <c r="I5" s="607"/>
      <c r="J5" s="607"/>
      <c r="K5" s="607"/>
    </row>
    <row r="6" spans="1:16" ht="33" customHeight="1">
      <c r="A6" s="372"/>
      <c r="B6" s="373" t="s">
        <v>276</v>
      </c>
      <c r="C6" s="372">
        <v>25</v>
      </c>
      <c r="D6" s="372">
        <v>0.25</v>
      </c>
      <c r="E6" s="374" t="s">
        <v>277</v>
      </c>
      <c r="F6" s="375">
        <f>10-2*0.04</f>
        <v>9.92</v>
      </c>
      <c r="G6" s="372">
        <f>ROUNDUP((6.45-2*0.04)/D6,0)+1</f>
        <v>27</v>
      </c>
      <c r="H6" s="376">
        <v>1</v>
      </c>
      <c r="I6" s="377">
        <f t="shared" ref="I6:I11" si="0">F6*G6*H6</f>
        <v>267.83999999999997</v>
      </c>
      <c r="J6" s="372">
        <f t="shared" ref="J6:J11" si="1">ROUND(C6^2/162,3)</f>
        <v>3.8580000000000001</v>
      </c>
      <c r="K6" s="378">
        <f t="shared" ref="K6:K11" si="2">ROUND(I6*J6,2)</f>
        <v>1033.33</v>
      </c>
    </row>
    <row r="7" spans="1:16" ht="33" customHeight="1">
      <c r="A7" s="372"/>
      <c r="B7" s="373" t="s">
        <v>278</v>
      </c>
      <c r="C7" s="372">
        <v>25</v>
      </c>
      <c r="D7" s="372">
        <v>0.25</v>
      </c>
      <c r="E7" s="374" t="s">
        <v>279</v>
      </c>
      <c r="F7" s="375">
        <f>2*2.36+2*(0.75-2*0.04-0.025)*SQRT(2)+(10-2*0.04-2*2.36-2*(0.75-2*0.04-0.025))</f>
        <v>10.454335495461294</v>
      </c>
      <c r="G7" s="372">
        <f>ROUNDUP((6.45-2*0.04)/D7,0)</f>
        <v>26</v>
      </c>
      <c r="H7" s="376">
        <v>1</v>
      </c>
      <c r="I7" s="377">
        <f t="shared" si="0"/>
        <v>271.81272288199364</v>
      </c>
      <c r="J7" s="372">
        <f t="shared" si="1"/>
        <v>3.8580000000000001</v>
      </c>
      <c r="K7" s="378">
        <f t="shared" si="2"/>
        <v>1048.6500000000001</v>
      </c>
    </row>
    <row r="8" spans="1:16" ht="33" customHeight="1">
      <c r="A8" s="372"/>
      <c r="B8" s="373" t="s">
        <v>280</v>
      </c>
      <c r="C8" s="372">
        <v>12</v>
      </c>
      <c r="D8" s="372">
        <v>0.2</v>
      </c>
      <c r="E8" s="374" t="s">
        <v>281</v>
      </c>
      <c r="F8" s="375">
        <f>10-2*0.04</f>
        <v>9.92</v>
      </c>
      <c r="G8" s="372">
        <f>ROUNDUP((6.45-2*0.04)/D8,0)+1</f>
        <v>33</v>
      </c>
      <c r="H8" s="376">
        <v>1</v>
      </c>
      <c r="I8" s="377">
        <f t="shared" si="0"/>
        <v>327.36</v>
      </c>
      <c r="J8" s="372">
        <f t="shared" si="1"/>
        <v>0.88900000000000001</v>
      </c>
      <c r="K8" s="378">
        <f t="shared" si="2"/>
        <v>291.02</v>
      </c>
    </row>
    <row r="9" spans="1:16" ht="33" customHeight="1">
      <c r="A9" s="372"/>
      <c r="B9" s="373" t="s">
        <v>282</v>
      </c>
      <c r="C9" s="372">
        <v>12</v>
      </c>
      <c r="D9" s="372">
        <v>0.11</v>
      </c>
      <c r="E9" s="374" t="s">
        <v>283</v>
      </c>
      <c r="F9" s="375">
        <f>6.45-2*0.04</f>
        <v>6.37</v>
      </c>
      <c r="G9" s="372">
        <f>ROUNDUP((10-2*0.04)/D9,0)+1</f>
        <v>92</v>
      </c>
      <c r="H9" s="376">
        <v>1</v>
      </c>
      <c r="I9" s="377">
        <f t="shared" si="0"/>
        <v>586.04</v>
      </c>
      <c r="J9" s="372">
        <f t="shared" si="1"/>
        <v>0.88900000000000001</v>
      </c>
      <c r="K9" s="378">
        <f t="shared" si="2"/>
        <v>520.99</v>
      </c>
    </row>
    <row r="10" spans="1:16" ht="33" customHeight="1">
      <c r="A10" s="372"/>
      <c r="B10" s="373" t="s">
        <v>284</v>
      </c>
      <c r="C10" s="372">
        <v>10</v>
      </c>
      <c r="D10" s="372">
        <v>0.3</v>
      </c>
      <c r="E10" s="374" t="s">
        <v>283</v>
      </c>
      <c r="F10" s="375">
        <f>6.45-2*0.04</f>
        <v>6.37</v>
      </c>
      <c r="G10" s="372">
        <f>ROUNDUP((10-2*0.04)/D10,0)+1</f>
        <v>35</v>
      </c>
      <c r="H10" s="376">
        <v>1</v>
      </c>
      <c r="I10" s="377">
        <f t="shared" si="0"/>
        <v>222.95000000000002</v>
      </c>
      <c r="J10" s="372">
        <f t="shared" si="1"/>
        <v>0.61699999999999999</v>
      </c>
      <c r="K10" s="378">
        <f t="shared" si="2"/>
        <v>137.56</v>
      </c>
    </row>
    <row r="11" spans="1:16" ht="33" customHeight="1">
      <c r="A11" s="372"/>
      <c r="B11" s="373" t="s">
        <v>285</v>
      </c>
      <c r="C11" s="372">
        <v>12</v>
      </c>
      <c r="D11" s="372" t="s">
        <v>5</v>
      </c>
      <c r="E11" s="374" t="s">
        <v>286</v>
      </c>
      <c r="F11" s="375">
        <v>1.5</v>
      </c>
      <c r="G11" s="372">
        <f>ROUNDUP(10*6.45,0)</f>
        <v>65</v>
      </c>
      <c r="H11" s="376">
        <v>1</v>
      </c>
      <c r="I11" s="377">
        <f t="shared" si="0"/>
        <v>97.5</v>
      </c>
      <c r="J11" s="372">
        <f t="shared" si="1"/>
        <v>0.88900000000000001</v>
      </c>
      <c r="K11" s="378">
        <f t="shared" si="2"/>
        <v>86.68</v>
      </c>
    </row>
    <row r="12" spans="1:16" ht="15.75">
      <c r="A12" s="380">
        <v>2</v>
      </c>
      <c r="B12" s="607" t="s">
        <v>287</v>
      </c>
      <c r="C12" s="607"/>
      <c r="D12" s="607"/>
      <c r="E12" s="607"/>
      <c r="F12" s="607"/>
      <c r="G12" s="607"/>
      <c r="H12" s="607"/>
      <c r="I12" s="607"/>
      <c r="J12" s="607"/>
      <c r="K12" s="607"/>
    </row>
    <row r="13" spans="1:16" ht="33" customHeight="1">
      <c r="A13" s="372"/>
      <c r="B13" s="373" t="s">
        <v>288</v>
      </c>
      <c r="C13" s="372">
        <v>12</v>
      </c>
      <c r="D13" s="372" t="s">
        <v>5</v>
      </c>
      <c r="E13" s="374" t="s">
        <v>281</v>
      </c>
      <c r="F13" s="375">
        <f>10-2*0.04</f>
        <v>9.92</v>
      </c>
      <c r="G13" s="372">
        <v>4</v>
      </c>
      <c r="H13" s="376">
        <v>2</v>
      </c>
      <c r="I13" s="377">
        <f>F13*G13*H13</f>
        <v>79.36</v>
      </c>
      <c r="J13" s="372">
        <f>ROUND(C13^2/162,3)</f>
        <v>0.88900000000000001</v>
      </c>
      <c r="K13" s="378">
        <f>ROUND(I13*J13,2)</f>
        <v>70.55</v>
      </c>
    </row>
    <row r="14" spans="1:16" ht="33" customHeight="1">
      <c r="A14" s="372"/>
      <c r="B14" s="373" t="s">
        <v>289</v>
      </c>
      <c r="C14" s="372">
        <v>8</v>
      </c>
      <c r="D14" s="372">
        <v>0.2</v>
      </c>
      <c r="E14" s="374" t="s">
        <v>290</v>
      </c>
      <c r="F14" s="375">
        <f>2*(0.225-2*0.04+0.3-2*0.04+0.3)+0.1</f>
        <v>1.4300000000000002</v>
      </c>
      <c r="G14" s="372">
        <f>ROUNDUP((10-2*0.04)/D14,0)+1</f>
        <v>51</v>
      </c>
      <c r="H14" s="376">
        <v>2</v>
      </c>
      <c r="I14" s="377">
        <f>F14*G14*H14</f>
        <v>145.86000000000001</v>
      </c>
      <c r="J14" s="372">
        <f>ROUND(C14^2/162,3)</f>
        <v>0.39500000000000002</v>
      </c>
      <c r="K14" s="378">
        <f>ROUND(I14*J14,2)</f>
        <v>57.61</v>
      </c>
    </row>
    <row r="15" spans="1:16" ht="15.75">
      <c r="A15" s="380">
        <v>3</v>
      </c>
      <c r="B15" s="607" t="s">
        <v>291</v>
      </c>
      <c r="C15" s="607"/>
      <c r="D15" s="607"/>
      <c r="E15" s="607"/>
      <c r="F15" s="607"/>
      <c r="G15" s="607"/>
      <c r="H15" s="607"/>
      <c r="I15" s="607"/>
      <c r="J15" s="607"/>
      <c r="K15" s="607"/>
    </row>
    <row r="16" spans="1:16" ht="33" customHeight="1">
      <c r="A16" s="372"/>
      <c r="B16" s="373" t="s">
        <v>288</v>
      </c>
      <c r="C16" s="372">
        <v>10</v>
      </c>
      <c r="D16" s="372" t="s">
        <v>5</v>
      </c>
      <c r="E16" s="374" t="s">
        <v>281</v>
      </c>
      <c r="F16" s="375">
        <f>10-2*0.04</f>
        <v>9.92</v>
      </c>
      <c r="G16" s="372">
        <v>4</v>
      </c>
      <c r="H16" s="376">
        <v>2</v>
      </c>
      <c r="I16" s="377">
        <f>F16*G16*H16</f>
        <v>79.36</v>
      </c>
      <c r="J16" s="372">
        <f>ROUND(C16^2/162,3)</f>
        <v>0.61699999999999999</v>
      </c>
      <c r="K16" s="378">
        <f>ROUND(I16*J16,2)</f>
        <v>48.97</v>
      </c>
      <c r="P16" s="391">
        <f>SUM(K6:K11)</f>
        <v>3118.2299999999996</v>
      </c>
    </row>
    <row r="17" spans="1:16" ht="33" customHeight="1">
      <c r="A17" s="372"/>
      <c r="B17" s="373" t="s">
        <v>289</v>
      </c>
      <c r="C17" s="372">
        <v>8</v>
      </c>
      <c r="D17" s="372">
        <v>0.2</v>
      </c>
      <c r="E17" s="374" t="s">
        <v>292</v>
      </c>
      <c r="F17" s="375">
        <f>2*(0.2-2*0.04+0.9-0.04+0.3)+0.1</f>
        <v>2.66</v>
      </c>
      <c r="G17" s="372">
        <f>ROUNDUP((10-2*0.04)/D17,0)+1</f>
        <v>51</v>
      </c>
      <c r="H17" s="376">
        <v>2</v>
      </c>
      <c r="I17" s="377">
        <f>F17*G17*H17</f>
        <v>271.32</v>
      </c>
      <c r="J17" s="372">
        <f>ROUND(C17^2/162,3)</f>
        <v>0.39500000000000002</v>
      </c>
      <c r="K17" s="378">
        <f>ROUND(I17*J17,2)</f>
        <v>107.17</v>
      </c>
      <c r="P17" s="391">
        <f>K13+K14</f>
        <v>128.16</v>
      </c>
    </row>
    <row r="18" spans="1:16" ht="15.75">
      <c r="A18" s="380">
        <v>4</v>
      </c>
      <c r="B18" s="607" t="s">
        <v>293</v>
      </c>
      <c r="C18" s="607"/>
      <c r="D18" s="607"/>
      <c r="E18" s="607"/>
      <c r="F18" s="607"/>
      <c r="G18" s="607"/>
      <c r="H18" s="607"/>
      <c r="I18" s="607"/>
      <c r="J18" s="607"/>
      <c r="K18" s="607"/>
    </row>
    <row r="19" spans="1:16" ht="33" customHeight="1">
      <c r="A19" s="372"/>
      <c r="B19" s="373" t="s">
        <v>294</v>
      </c>
      <c r="C19" s="372">
        <v>12</v>
      </c>
      <c r="D19" s="372" t="s">
        <v>5</v>
      </c>
      <c r="E19" s="374" t="s">
        <v>281</v>
      </c>
      <c r="F19" s="375">
        <f>6.45-2*0.04</f>
        <v>6.37</v>
      </c>
      <c r="G19" s="372">
        <v>10</v>
      </c>
      <c r="H19" s="376">
        <v>2</v>
      </c>
      <c r="I19" s="377">
        <f>F19*G19*H19</f>
        <v>127.4</v>
      </c>
      <c r="J19" s="372">
        <f>ROUND(C19^2/162,3)</f>
        <v>0.88900000000000001</v>
      </c>
      <c r="K19" s="378">
        <f>ROUND(I19*J19,2)</f>
        <v>113.26</v>
      </c>
    </row>
    <row r="20" spans="1:16" ht="33" customHeight="1">
      <c r="A20" s="372"/>
      <c r="B20" s="373" t="s">
        <v>295</v>
      </c>
      <c r="C20" s="372">
        <v>12</v>
      </c>
      <c r="D20" s="372">
        <v>0.13500000000000001</v>
      </c>
      <c r="E20" s="374" t="s">
        <v>296</v>
      </c>
      <c r="F20" s="375">
        <f>2*(0.5-2*0.04+0.3-2*0.04)+0.24</f>
        <v>1.52</v>
      </c>
      <c r="G20" s="372">
        <f>ROUNDUP((6.45-2*0.04)/D20,0)+1</f>
        <v>49</v>
      </c>
      <c r="H20" s="376">
        <v>2</v>
      </c>
      <c r="I20" s="377">
        <f>F20*G20*H20</f>
        <v>148.96</v>
      </c>
      <c r="J20" s="372">
        <f>ROUND(C20^2/162,3)</f>
        <v>0.88900000000000001</v>
      </c>
      <c r="K20" s="378">
        <f>ROUND(I20*J20,2)</f>
        <v>132.43</v>
      </c>
    </row>
    <row r="21" spans="1:16" ht="15.75">
      <c r="A21" s="380">
        <v>5</v>
      </c>
      <c r="B21" s="607" t="s">
        <v>297</v>
      </c>
      <c r="C21" s="607"/>
      <c r="D21" s="607"/>
      <c r="E21" s="607"/>
      <c r="F21" s="607"/>
      <c r="G21" s="607"/>
      <c r="H21" s="607"/>
      <c r="I21" s="607"/>
      <c r="J21" s="607"/>
      <c r="K21" s="607"/>
    </row>
    <row r="22" spans="1:16" ht="33" customHeight="1">
      <c r="A22" s="372"/>
      <c r="B22" s="373" t="s">
        <v>298</v>
      </c>
      <c r="C22" s="372">
        <v>12</v>
      </c>
      <c r="D22" s="372">
        <v>0.2</v>
      </c>
      <c r="E22" s="374" t="s">
        <v>299</v>
      </c>
      <c r="F22" s="375">
        <f>1.125-0.04+0.42</f>
        <v>1.5049999999999999</v>
      </c>
      <c r="G22" s="372">
        <f>2*(ROUNDUP((6.45-2*0.04)/D22,0)+1)</f>
        <v>66</v>
      </c>
      <c r="H22" s="376">
        <v>2</v>
      </c>
      <c r="I22" s="377">
        <f>F22*G22*H22</f>
        <v>198.66</v>
      </c>
      <c r="J22" s="372">
        <f>ROUND(C22^2/162,3)</f>
        <v>0.88900000000000001</v>
      </c>
      <c r="K22" s="378">
        <f>ROUND(I22*J22,2)</f>
        <v>176.61</v>
      </c>
    </row>
    <row r="23" spans="1:16" ht="33" customHeight="1">
      <c r="A23" s="372"/>
      <c r="B23" s="373" t="s">
        <v>300</v>
      </c>
      <c r="C23" s="372">
        <v>10</v>
      </c>
      <c r="D23" s="372">
        <v>0.2</v>
      </c>
      <c r="E23" s="374" t="s">
        <v>281</v>
      </c>
      <c r="F23" s="375">
        <f>6.45-2*0.04</f>
        <v>6.37</v>
      </c>
      <c r="G23" s="372">
        <f>2*(ROUNDUP((1.125-2*0.04)/D23,0)+1)</f>
        <v>14</v>
      </c>
      <c r="H23" s="376">
        <v>2</v>
      </c>
      <c r="I23" s="377">
        <f>F23*G23*H23</f>
        <v>178.36</v>
      </c>
      <c r="J23" s="372">
        <f>ROUND(C23^2/162,3)</f>
        <v>0.61699999999999999</v>
      </c>
      <c r="K23" s="378">
        <f>ROUND(I23*J23,2)</f>
        <v>110.05</v>
      </c>
    </row>
    <row r="24" spans="1:16" ht="15.75">
      <c r="A24" s="380">
        <v>6</v>
      </c>
      <c r="B24" s="607" t="s">
        <v>301</v>
      </c>
      <c r="C24" s="607"/>
      <c r="D24" s="607"/>
      <c r="E24" s="607"/>
      <c r="F24" s="607"/>
      <c r="G24" s="607"/>
      <c r="H24" s="607"/>
      <c r="I24" s="607"/>
      <c r="J24" s="607"/>
      <c r="K24" s="607"/>
    </row>
    <row r="25" spans="1:16" ht="33" customHeight="1">
      <c r="A25" s="372"/>
      <c r="B25" s="373" t="s">
        <v>302</v>
      </c>
      <c r="C25" s="372">
        <v>12</v>
      </c>
      <c r="D25" s="372">
        <v>0.15</v>
      </c>
      <c r="E25" s="374" t="s">
        <v>281</v>
      </c>
      <c r="F25" s="375">
        <f>3.5-2*0.04</f>
        <v>3.42</v>
      </c>
      <c r="G25" s="372">
        <f>2*(ROUNDUP((6-2*0.04)/D25,0)+1)</f>
        <v>82</v>
      </c>
      <c r="H25" s="376">
        <v>2</v>
      </c>
      <c r="I25" s="377">
        <f>F25*G25*H25</f>
        <v>560.88</v>
      </c>
      <c r="J25" s="372">
        <f>ROUND(C25^2/162,3)</f>
        <v>0.88900000000000001</v>
      </c>
      <c r="K25" s="378">
        <f>ROUND(I25*J25,2)</f>
        <v>498.62</v>
      </c>
    </row>
    <row r="26" spans="1:16" ht="33" customHeight="1">
      <c r="A26" s="372"/>
      <c r="B26" s="373" t="s">
        <v>303</v>
      </c>
      <c r="C26" s="372">
        <v>12</v>
      </c>
      <c r="D26" s="372">
        <v>0.15</v>
      </c>
      <c r="E26" s="374" t="s">
        <v>281</v>
      </c>
      <c r="F26" s="375">
        <f>6-2*0.04</f>
        <v>5.92</v>
      </c>
      <c r="G26" s="372">
        <f>2*(ROUNDUP((3.5-2*0.04)/D26,0)+1)</f>
        <v>48</v>
      </c>
      <c r="H26" s="376">
        <v>2</v>
      </c>
      <c r="I26" s="377">
        <f>F26*G26*H26</f>
        <v>568.31999999999994</v>
      </c>
      <c r="J26" s="372">
        <f>ROUND(C26^2/162,3)</f>
        <v>0.88900000000000001</v>
      </c>
      <c r="K26" s="378">
        <f>ROUND(I26*J26,2)</f>
        <v>505.24</v>
      </c>
    </row>
    <row r="27" spans="1:16" ht="15.75">
      <c r="A27" s="93"/>
      <c r="B27" s="93"/>
      <c r="C27" s="93"/>
      <c r="D27" s="93"/>
      <c r="E27" s="93"/>
      <c r="F27" s="93"/>
      <c r="G27" s="93"/>
      <c r="H27" s="93"/>
      <c r="I27" s="93"/>
      <c r="J27" s="93"/>
      <c r="K27" s="93"/>
    </row>
    <row r="28" spans="1:16" ht="15.75">
      <c r="A28" s="93"/>
      <c r="B28" s="93"/>
      <c r="C28" s="93"/>
      <c r="D28" s="93"/>
      <c r="E28" s="93"/>
      <c r="F28" s="93"/>
      <c r="G28" s="93"/>
      <c r="H28" s="93"/>
      <c r="I28" s="93"/>
      <c r="J28" s="381" t="s">
        <v>304</v>
      </c>
      <c r="K28" s="382">
        <f>K6+K7+K8+K9+K10+K11+K13+K14+K16+K17+K19+K20+K22+K23+K25+K26</f>
        <v>4938.74</v>
      </c>
    </row>
    <row r="29" spans="1:16" ht="15.75">
      <c r="A29" s="93"/>
      <c r="B29" s="93"/>
      <c r="C29" s="93"/>
      <c r="D29" s="93"/>
      <c r="E29" s="93"/>
      <c r="F29" s="383" t="s">
        <v>305</v>
      </c>
      <c r="G29" s="93"/>
      <c r="H29" s="93"/>
      <c r="I29" s="93"/>
      <c r="J29" s="93"/>
      <c r="K29" s="382">
        <f>+K28</f>
        <v>4938.74</v>
      </c>
    </row>
    <row r="30" spans="1:16" ht="15.75">
      <c r="A30" s="93"/>
      <c r="B30" s="93"/>
      <c r="C30" s="93"/>
      <c r="D30" s="93"/>
      <c r="E30" s="93"/>
      <c r="F30" s="93"/>
      <c r="G30" s="93"/>
      <c r="H30" s="93"/>
      <c r="I30" s="93"/>
      <c r="J30" s="93"/>
      <c r="K30" s="93"/>
    </row>
    <row r="31" spans="1:16" ht="15.75">
      <c r="A31" s="93"/>
      <c r="B31" s="384" t="s">
        <v>306</v>
      </c>
      <c r="C31" s="106"/>
      <c r="D31" s="93"/>
      <c r="E31" s="93"/>
      <c r="F31" s="93"/>
      <c r="G31" s="93"/>
      <c r="H31" s="93"/>
      <c r="I31" s="93"/>
      <c r="J31" s="93"/>
      <c r="K31" s="93"/>
    </row>
    <row r="32" spans="1:16" ht="15.75">
      <c r="A32" s="93"/>
      <c r="B32" s="379" t="s">
        <v>307</v>
      </c>
      <c r="C32" s="379" t="s">
        <v>308</v>
      </c>
      <c r="D32" s="392"/>
      <c r="E32" s="392"/>
      <c r="F32" s="93"/>
      <c r="G32" s="93"/>
      <c r="H32" s="93"/>
      <c r="I32" s="93"/>
      <c r="J32" s="93"/>
      <c r="K32" s="93"/>
    </row>
    <row r="33" spans="1:11" ht="15.75">
      <c r="A33" s="93"/>
      <c r="B33" s="389">
        <v>8</v>
      </c>
      <c r="C33" s="390">
        <f>SUMIF(C5:C27,B33,K5:K27)</f>
        <v>164.78</v>
      </c>
      <c r="D33" s="393"/>
      <c r="E33" s="394"/>
      <c r="F33" s="93"/>
      <c r="G33" s="93"/>
      <c r="H33" s="93"/>
      <c r="I33" s="93"/>
      <c r="J33" s="93"/>
      <c r="K33" s="93"/>
    </row>
    <row r="34" spans="1:11" ht="15.75">
      <c r="A34" s="93"/>
      <c r="B34" s="389">
        <v>10</v>
      </c>
      <c r="C34" s="390">
        <f>SUMIF(C5:C27,B34,K5:K27)</f>
        <v>296.58</v>
      </c>
      <c r="D34" s="393"/>
      <c r="E34" s="394"/>
      <c r="F34" s="93"/>
      <c r="G34" s="93"/>
      <c r="H34" s="93"/>
      <c r="I34" s="93"/>
      <c r="J34" s="93"/>
      <c r="K34" s="93"/>
    </row>
    <row r="35" spans="1:11" ht="15.75">
      <c r="A35" s="93"/>
      <c r="B35" s="389">
        <v>12</v>
      </c>
      <c r="C35" s="390">
        <f>SUMIF(C5:C27,B35,K5:K27)</f>
        <v>2395.3999999999996</v>
      </c>
      <c r="D35" s="393"/>
      <c r="E35" s="394"/>
      <c r="F35" s="93"/>
      <c r="G35" s="93"/>
      <c r="H35" s="93"/>
      <c r="I35" s="93"/>
      <c r="J35" s="93"/>
      <c r="K35" s="93"/>
    </row>
    <row r="36" spans="1:11" ht="15.75">
      <c r="A36" s="93"/>
      <c r="B36" s="389">
        <v>25</v>
      </c>
      <c r="C36" s="390">
        <f>SUMIF(C5:C27,B36,K5:K27)</f>
        <v>2081.98</v>
      </c>
      <c r="D36" s="393"/>
      <c r="E36" s="394"/>
      <c r="F36" s="93"/>
      <c r="G36" s="93"/>
      <c r="H36" s="93"/>
      <c r="I36" s="93"/>
      <c r="J36" s="93"/>
      <c r="K36" s="93"/>
    </row>
    <row r="37" spans="1:11" ht="15.75">
      <c r="A37" s="93"/>
      <c r="B37" s="389" t="s">
        <v>49</v>
      </c>
      <c r="C37" s="370">
        <f>SUM(C33:C36)</f>
        <v>4938.74</v>
      </c>
      <c r="D37" s="93"/>
      <c r="E37" s="388"/>
      <c r="F37" s="93"/>
      <c r="G37" s="93"/>
      <c r="H37" s="93"/>
      <c r="I37" s="93"/>
      <c r="J37" s="93"/>
      <c r="K37" s="93"/>
    </row>
    <row r="38" spans="1:11" ht="15.75">
      <c r="A38" s="93"/>
      <c r="B38" s="387"/>
      <c r="C38" s="388"/>
      <c r="D38" s="93"/>
      <c r="E38" s="388"/>
      <c r="F38" s="93"/>
      <c r="G38" s="93"/>
      <c r="H38" s="93"/>
      <c r="I38" s="93"/>
      <c r="J38" s="93"/>
      <c r="K38" s="93"/>
    </row>
    <row r="39" spans="1:11" ht="15.75">
      <c r="A39" s="93"/>
      <c r="B39" s="387"/>
      <c r="C39" s="388"/>
      <c r="D39" s="93"/>
      <c r="E39" s="388"/>
      <c r="F39" s="93"/>
      <c r="G39" s="93"/>
      <c r="H39" s="93"/>
      <c r="I39" s="93"/>
      <c r="J39" s="93"/>
      <c r="K39" s="93"/>
    </row>
    <row r="40" spans="1:11" ht="15.75">
      <c r="A40" s="93"/>
      <c r="B40" s="387"/>
      <c r="C40" s="388"/>
      <c r="D40" s="93"/>
      <c r="E40" s="388"/>
      <c r="F40" s="93"/>
      <c r="G40" s="93"/>
      <c r="H40" s="93"/>
      <c r="I40" s="93"/>
      <c r="J40" s="93"/>
      <c r="K40" s="93"/>
    </row>
    <row r="41" spans="1:11" ht="15.75">
      <c r="A41" s="93"/>
      <c r="B41" s="93"/>
      <c r="C41" s="93"/>
      <c r="D41" s="93"/>
      <c r="E41" s="93"/>
      <c r="F41" s="93"/>
      <c r="G41" s="93"/>
      <c r="H41" s="93"/>
      <c r="I41" s="93"/>
      <c r="J41" s="93"/>
      <c r="K41" s="93"/>
    </row>
    <row r="42" spans="1:11" ht="15.75">
      <c r="A42" s="93"/>
      <c r="B42" s="93"/>
      <c r="C42" s="93"/>
      <c r="D42" s="93"/>
      <c r="E42" s="93"/>
      <c r="F42" s="93"/>
      <c r="G42" s="93"/>
      <c r="H42" s="93"/>
      <c r="I42" s="93"/>
      <c r="J42" s="93"/>
      <c r="K42" s="93"/>
    </row>
    <row r="43" spans="1:11" ht="15.75">
      <c r="A43" s="93"/>
      <c r="B43" s="93"/>
      <c r="C43" s="93"/>
      <c r="D43" s="93"/>
      <c r="E43" s="93"/>
      <c r="F43" s="93"/>
      <c r="G43" s="93"/>
      <c r="H43" s="93"/>
      <c r="I43" s="93"/>
      <c r="J43" s="93"/>
      <c r="K43" s="93"/>
    </row>
    <row r="44" spans="1:11" s="386" customFormat="1" ht="15.75">
      <c r="A44" s="385"/>
      <c r="B44" s="606" t="s">
        <v>69</v>
      </c>
      <c r="C44" s="606"/>
      <c r="D44" s="385"/>
      <c r="E44" s="606" t="s">
        <v>37</v>
      </c>
      <c r="F44" s="606"/>
      <c r="G44" s="385"/>
      <c r="H44" s="385"/>
      <c r="I44" s="606" t="s">
        <v>38</v>
      </c>
      <c r="J44" s="606"/>
      <c r="K44" s="606"/>
    </row>
    <row r="45" spans="1:11" s="386" customFormat="1" ht="15.75">
      <c r="A45" s="385"/>
      <c r="B45" s="606" t="s">
        <v>70</v>
      </c>
      <c r="C45" s="606"/>
      <c r="D45" s="385"/>
      <c r="E45" s="606" t="s">
        <v>70</v>
      </c>
      <c r="F45" s="606"/>
      <c r="G45" s="385"/>
      <c r="H45" s="385"/>
      <c r="I45" s="606" t="s">
        <v>71</v>
      </c>
      <c r="J45" s="606"/>
      <c r="K45" s="606"/>
    </row>
    <row r="46" spans="1:11" ht="15.75">
      <c r="A46" s="93"/>
      <c r="B46" s="93"/>
      <c r="C46" s="93"/>
      <c r="D46" s="93"/>
      <c r="E46" s="93"/>
      <c r="F46" s="93"/>
      <c r="G46" s="93"/>
      <c r="H46" s="93"/>
      <c r="I46" s="93"/>
      <c r="J46" s="93"/>
      <c r="K46" s="93"/>
    </row>
    <row r="47" spans="1:11" ht="15.75">
      <c r="A47" s="93"/>
      <c r="B47" s="93"/>
      <c r="C47" s="93"/>
      <c r="D47" s="93"/>
      <c r="E47" s="93"/>
      <c r="F47" s="93"/>
      <c r="G47" s="93"/>
      <c r="H47" s="93"/>
      <c r="I47" s="93"/>
      <c r="J47" s="93"/>
      <c r="K47" s="93"/>
    </row>
    <row r="48" spans="1:11" ht="15.75">
      <c r="A48" s="93"/>
      <c r="B48" s="93"/>
      <c r="C48" s="93"/>
      <c r="D48" s="93"/>
      <c r="E48" s="93"/>
      <c r="F48" s="93"/>
      <c r="G48" s="93"/>
      <c r="H48" s="93"/>
      <c r="I48" s="93"/>
      <c r="J48" s="93"/>
      <c r="K48" s="93"/>
    </row>
    <row r="49" spans="1:11" ht="15.75">
      <c r="A49" s="93"/>
      <c r="B49" s="93"/>
      <c r="C49" s="93"/>
      <c r="D49" s="93"/>
      <c r="E49" s="93"/>
      <c r="F49" s="93"/>
      <c r="G49" s="93"/>
      <c r="H49" s="93"/>
      <c r="I49" s="93"/>
      <c r="J49" s="93"/>
      <c r="K49" s="93"/>
    </row>
  </sheetData>
  <mergeCells count="15">
    <mergeCell ref="B5:K5"/>
    <mergeCell ref="A2:K2"/>
    <mergeCell ref="A1:K1"/>
    <mergeCell ref="A3:K3"/>
    <mergeCell ref="B12:K12"/>
    <mergeCell ref="B15:K15"/>
    <mergeCell ref="B18:K18"/>
    <mergeCell ref="B21:K21"/>
    <mergeCell ref="B24:K24"/>
    <mergeCell ref="B44:C44"/>
    <mergeCell ref="B45:C45"/>
    <mergeCell ref="E44:F44"/>
    <mergeCell ref="E45:F45"/>
    <mergeCell ref="I44:K44"/>
    <mergeCell ref="I45:K45"/>
  </mergeCells>
  <pageMargins left="0.94488188976377963" right="0.43307086614173229" top="0.86614173228346458" bottom="0.86614173228346458" header="0.51181102362204722" footer="0.51181102362204722"/>
  <pageSetup paperSize="9" scale="75" orientation="landscape" horizontalDpi="300" verticalDpi="300" r:id="rId1"/>
  <headerFooter>
    <oddFooter>Page &amp;P of &amp;N</oddFooter>
  </headerFooter>
  <rowBreaks count="1" manualBreakCount="1">
    <brk id="20" max="10"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D1175-F4A6-4528-9E71-16501B88CC75}">
  <dimension ref="A1:N62"/>
  <sheetViews>
    <sheetView topLeftCell="A29" workbookViewId="0">
      <selection activeCell="F53" sqref="F53"/>
    </sheetView>
  </sheetViews>
  <sheetFormatPr defaultRowHeight="15"/>
  <cols>
    <col min="9" max="9" width="11.42578125" bestFit="1" customWidth="1"/>
    <col min="10" max="10" width="10.7109375" bestFit="1" customWidth="1"/>
    <col min="13" max="13" width="11.42578125" bestFit="1" customWidth="1"/>
    <col min="14" max="14" width="10.7109375" bestFit="1" customWidth="1"/>
  </cols>
  <sheetData>
    <row r="1" spans="1:14" ht="15" customHeight="1">
      <c r="A1" s="522" t="s">
        <v>468</v>
      </c>
      <c r="B1" s="522"/>
      <c r="C1" s="522"/>
      <c r="D1" s="522"/>
      <c r="E1" s="522"/>
      <c r="F1" s="522"/>
      <c r="G1" s="522"/>
      <c r="H1" s="522"/>
      <c r="I1" s="522"/>
      <c r="J1" s="522"/>
      <c r="K1" s="522"/>
      <c r="L1" s="522"/>
      <c r="M1" s="522"/>
    </row>
    <row r="2" spans="1:14" ht="28.5" customHeight="1">
      <c r="A2" s="522"/>
      <c r="B2" s="522"/>
      <c r="C2" s="522"/>
      <c r="D2" s="522"/>
      <c r="E2" s="522"/>
      <c r="F2" s="522"/>
      <c r="G2" s="522"/>
      <c r="H2" s="522"/>
      <c r="I2" s="522"/>
      <c r="J2" s="522"/>
      <c r="K2" s="522"/>
      <c r="L2" s="522"/>
      <c r="M2" s="522"/>
    </row>
    <row r="3" spans="1:14" ht="15" customHeight="1"/>
    <row r="4" spans="1:14" ht="16.5">
      <c r="A4" s="523" t="s">
        <v>469</v>
      </c>
      <c r="B4" s="524"/>
      <c r="C4" s="524"/>
      <c r="D4" s="524"/>
      <c r="E4" s="524"/>
      <c r="F4" s="524"/>
      <c r="G4" s="524"/>
      <c r="H4" s="524"/>
      <c r="I4" s="524"/>
      <c r="J4" s="524"/>
      <c r="K4" s="524"/>
      <c r="L4" s="524"/>
      <c r="M4" s="524"/>
      <c r="N4" s="524"/>
    </row>
    <row r="6" spans="1:14" ht="16.5">
      <c r="B6" s="397" t="s">
        <v>479</v>
      </c>
    </row>
    <row r="15" spans="1:14">
      <c r="G15" s="386"/>
    </row>
    <row r="46" spans="1:10">
      <c r="A46" s="395" t="s">
        <v>470</v>
      </c>
      <c r="G46" s="525" t="s">
        <v>471</v>
      </c>
      <c r="H46" s="526"/>
      <c r="I46" s="526"/>
      <c r="J46" s="526"/>
    </row>
    <row r="47" spans="1:10">
      <c r="G47" s="525" t="s">
        <v>472</v>
      </c>
      <c r="H47" s="525"/>
      <c r="I47" s="519" t="s">
        <v>473</v>
      </c>
      <c r="J47" s="519" t="s">
        <v>474</v>
      </c>
    </row>
    <row r="48" spans="1:10">
      <c r="G48" s="527" t="s">
        <v>475</v>
      </c>
      <c r="H48" s="528"/>
      <c r="I48" s="520" t="s">
        <v>258</v>
      </c>
      <c r="J48" s="521">
        <v>21</v>
      </c>
    </row>
    <row r="49" spans="1:12">
      <c r="G49" s="527" t="s">
        <v>309</v>
      </c>
      <c r="H49" s="528"/>
      <c r="I49" s="520" t="s">
        <v>254</v>
      </c>
      <c r="J49" s="521">
        <v>21</v>
      </c>
    </row>
    <row r="50" spans="1:12">
      <c r="G50" s="398"/>
      <c r="H50" s="396"/>
      <c r="I50" s="396"/>
      <c r="J50" s="399"/>
    </row>
    <row r="51" spans="1:12">
      <c r="G51" s="398"/>
      <c r="H51" s="396"/>
      <c r="I51" s="396"/>
      <c r="J51" s="399"/>
    </row>
    <row r="52" spans="1:12">
      <c r="G52" s="398"/>
      <c r="H52" s="396"/>
      <c r="I52" s="396"/>
      <c r="J52" s="399"/>
    </row>
    <row r="53" spans="1:12">
      <c r="G53" s="398"/>
      <c r="H53" s="396"/>
      <c r="I53" s="396"/>
      <c r="J53" s="399"/>
    </row>
    <row r="54" spans="1:12">
      <c r="G54" s="398"/>
      <c r="H54" s="396"/>
      <c r="I54" s="396"/>
      <c r="J54" s="399"/>
    </row>
    <row r="55" spans="1:12">
      <c r="G55" s="398"/>
      <c r="H55" s="396"/>
      <c r="I55" s="396"/>
      <c r="J55" s="399"/>
    </row>
    <row r="56" spans="1:12">
      <c r="G56" s="398"/>
      <c r="H56" s="396"/>
      <c r="I56" s="396"/>
      <c r="J56" s="399"/>
    </row>
    <row r="60" spans="1:12">
      <c r="A60" s="530" t="s">
        <v>69</v>
      </c>
      <c r="B60" s="524"/>
      <c r="C60" s="524"/>
      <c r="D60" s="524"/>
      <c r="F60" s="530" t="s">
        <v>476</v>
      </c>
      <c r="G60" s="524"/>
      <c r="H60" s="524"/>
      <c r="I60" s="524"/>
      <c r="J60" s="530" t="s">
        <v>38</v>
      </c>
      <c r="K60" s="530"/>
      <c r="L60" s="530"/>
    </row>
    <row r="61" spans="1:12">
      <c r="A61" s="529" t="s">
        <v>477</v>
      </c>
      <c r="B61" s="524"/>
      <c r="C61" s="524"/>
      <c r="D61" s="524"/>
      <c r="F61" s="529" t="s">
        <v>477</v>
      </c>
      <c r="G61" s="524"/>
      <c r="H61" s="524"/>
      <c r="I61" s="524"/>
      <c r="J61" s="529" t="s">
        <v>478</v>
      </c>
      <c r="K61" s="529"/>
      <c r="L61" s="529"/>
    </row>
    <row r="62" spans="1:12">
      <c r="A62" s="529" t="s">
        <v>348</v>
      </c>
      <c r="B62" s="524"/>
      <c r="C62" s="524"/>
      <c r="D62" s="524"/>
      <c r="F62" s="529" t="s">
        <v>348</v>
      </c>
      <c r="G62" s="524"/>
      <c r="H62" s="524"/>
      <c r="I62" s="524"/>
      <c r="J62" s="529" t="s">
        <v>348</v>
      </c>
      <c r="K62" s="529"/>
      <c r="L62" s="529"/>
    </row>
  </sheetData>
  <mergeCells count="15">
    <mergeCell ref="G49:H49"/>
    <mergeCell ref="A62:D62"/>
    <mergeCell ref="F62:I62"/>
    <mergeCell ref="J60:L60"/>
    <mergeCell ref="J61:L61"/>
    <mergeCell ref="J62:L62"/>
    <mergeCell ref="A60:D60"/>
    <mergeCell ref="F60:I60"/>
    <mergeCell ref="A61:D61"/>
    <mergeCell ref="F61:I61"/>
    <mergeCell ref="A1:M2"/>
    <mergeCell ref="A4:N4"/>
    <mergeCell ref="G46:J46"/>
    <mergeCell ref="G47:H47"/>
    <mergeCell ref="G48:H48"/>
  </mergeCells>
  <pageMargins left="0.70866141732283472" right="0.70866141732283472" top="0.74803149606299213" bottom="0.74803149606299213" header="0.31496062992125984" footer="0.31496062992125984"/>
  <pageSetup paperSize="9" scale="65" orientation="portrait"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9"/>
  <sheetViews>
    <sheetView view="pageBreakPreview" topLeftCell="A14" zoomScaleNormal="100" workbookViewId="0">
      <selection activeCell="L23" sqref="L23"/>
    </sheetView>
  </sheetViews>
  <sheetFormatPr defaultColWidth="8.85546875" defaultRowHeight="15"/>
  <cols>
    <col min="1" max="1" width="26.42578125" customWidth="1"/>
    <col min="2" max="2" width="18.28515625" customWidth="1"/>
    <col min="3" max="3" width="9.28515625" customWidth="1"/>
    <col min="4" max="4" width="4.85546875" customWidth="1"/>
    <col min="6" max="6" width="3.42578125" customWidth="1"/>
    <col min="7" max="7" width="14.85546875" customWidth="1"/>
  </cols>
  <sheetData>
    <row r="1" spans="1:10" ht="21" customHeight="1">
      <c r="A1" s="616" t="s">
        <v>310</v>
      </c>
      <c r="B1" s="616"/>
      <c r="C1" s="616"/>
      <c r="D1" s="616"/>
      <c r="E1" s="616"/>
      <c r="F1" s="616"/>
      <c r="G1" s="616"/>
      <c r="H1" s="616"/>
      <c r="I1" s="616"/>
    </row>
    <row r="2" spans="1:10" ht="66" customHeight="1">
      <c r="A2" s="617" t="e">
        <f>#REF!</f>
        <v>#REF!</v>
      </c>
      <c r="B2" s="617"/>
      <c r="C2" s="617"/>
      <c r="D2" s="617"/>
      <c r="E2" s="617"/>
      <c r="F2" s="617"/>
      <c r="G2" s="617"/>
      <c r="H2" s="617"/>
      <c r="I2" s="617"/>
      <c r="J2" s="81"/>
    </row>
    <row r="3" spans="1:10" ht="42" customHeight="1">
      <c r="A3" s="82" t="s">
        <v>311</v>
      </c>
      <c r="B3" s="83" t="s">
        <v>5</v>
      </c>
      <c r="C3" s="83"/>
      <c r="D3" s="83"/>
      <c r="E3" s="83"/>
      <c r="F3" s="83"/>
      <c r="G3" s="83"/>
      <c r="H3" s="81"/>
      <c r="I3" s="84"/>
    </row>
    <row r="4" spans="1:10" ht="24" customHeight="1">
      <c r="A4" s="85" t="s">
        <v>312</v>
      </c>
      <c r="B4" s="614" t="s">
        <v>5</v>
      </c>
      <c r="C4" s="614"/>
      <c r="D4" s="614"/>
      <c r="E4" s="614"/>
      <c r="F4" s="614"/>
      <c r="G4" s="614"/>
      <c r="H4" s="614"/>
    </row>
    <row r="5" spans="1:10" ht="28.5" customHeight="1">
      <c r="A5" s="85" t="s">
        <v>313</v>
      </c>
      <c r="B5" s="614" t="s">
        <v>5</v>
      </c>
      <c r="C5" s="614"/>
      <c r="D5" s="614"/>
      <c r="E5" s="614"/>
      <c r="F5" s="614"/>
      <c r="G5" s="614"/>
      <c r="H5" s="614"/>
    </row>
    <row r="6" spans="1:10" ht="17.25" customHeight="1">
      <c r="A6" s="85"/>
      <c r="B6" s="85"/>
      <c r="C6" s="85"/>
      <c r="D6" s="85"/>
      <c r="E6" s="85"/>
      <c r="F6" s="85"/>
      <c r="G6" s="85"/>
      <c r="H6" s="85"/>
    </row>
    <row r="7" spans="1:10" ht="17.25" customHeight="1">
      <c r="A7" s="86" t="s">
        <v>314</v>
      </c>
      <c r="B7" s="86"/>
      <c r="C7" s="86"/>
      <c r="D7" s="85"/>
      <c r="E7" s="85"/>
      <c r="F7" s="85"/>
      <c r="G7" s="85"/>
      <c r="H7" s="85"/>
    </row>
    <row r="8" spans="1:10" ht="17.25" customHeight="1">
      <c r="A8" s="612" t="s">
        <v>315</v>
      </c>
      <c r="B8" s="612"/>
      <c r="C8" s="87">
        <f>'detailed '!I21</f>
        <v>6.6</v>
      </c>
      <c r="D8" s="87" t="s">
        <v>45</v>
      </c>
      <c r="E8" s="85">
        <v>0.9</v>
      </c>
      <c r="F8" s="85"/>
      <c r="G8" s="88">
        <f t="shared" ref="G8:G13" si="0">C8*E8</f>
        <v>5.9399999999999995</v>
      </c>
      <c r="H8" s="85"/>
    </row>
    <row r="9" spans="1:10" ht="17.25" customHeight="1">
      <c r="A9" s="612" t="s">
        <v>316</v>
      </c>
      <c r="B9" s="612"/>
      <c r="C9" s="87">
        <f>'detailed '!I27</f>
        <v>32.756999999999998</v>
      </c>
      <c r="D9" s="87" t="s">
        <v>45</v>
      </c>
      <c r="E9" s="85">
        <v>0.9</v>
      </c>
      <c r="F9" s="85"/>
      <c r="G9" s="88">
        <f t="shared" si="0"/>
        <v>29.481299999999997</v>
      </c>
      <c r="H9" s="85"/>
    </row>
    <row r="10" spans="1:10" ht="17.25" customHeight="1">
      <c r="A10" s="612" t="s">
        <v>317</v>
      </c>
      <c r="B10" s="612"/>
      <c r="C10" s="87">
        <f>'detailed '!I34</f>
        <v>30.1</v>
      </c>
      <c r="D10" s="87" t="s">
        <v>45</v>
      </c>
      <c r="E10" s="85">
        <v>0.76500000000000001</v>
      </c>
      <c r="F10" s="85"/>
      <c r="G10" s="88">
        <f t="shared" si="0"/>
        <v>23.026500000000002</v>
      </c>
      <c r="H10" s="85"/>
    </row>
    <row r="11" spans="1:10" ht="17.25" customHeight="1">
      <c r="A11" s="612" t="s">
        <v>318</v>
      </c>
      <c r="B11" s="612"/>
      <c r="C11" s="87">
        <f>'detailed '!I43</f>
        <v>4.7409999999999997</v>
      </c>
      <c r="D11" s="87" t="s">
        <v>45</v>
      </c>
      <c r="E11" s="85">
        <v>0.8</v>
      </c>
      <c r="F11" s="85"/>
      <c r="G11" s="88">
        <f t="shared" si="0"/>
        <v>3.7927999999999997</v>
      </c>
      <c r="H11" s="85"/>
    </row>
    <row r="12" spans="1:10" ht="17.25" customHeight="1">
      <c r="A12" s="612" t="s">
        <v>319</v>
      </c>
      <c r="B12" s="612"/>
      <c r="C12" s="87">
        <f>'detailed '!I51</f>
        <v>12.6</v>
      </c>
      <c r="D12" s="87" t="s">
        <v>45</v>
      </c>
      <c r="E12" s="85">
        <v>0.8</v>
      </c>
      <c r="F12" s="85"/>
      <c r="G12" s="88">
        <f t="shared" si="0"/>
        <v>10.08</v>
      </c>
      <c r="H12" s="85"/>
    </row>
    <row r="13" spans="1:10" ht="17.25" customHeight="1">
      <c r="A13" s="612" t="s">
        <v>320</v>
      </c>
      <c r="B13" s="612"/>
      <c r="C13" s="87">
        <f>'detailed '!I56</f>
        <v>4.5</v>
      </c>
      <c r="D13" s="87" t="s">
        <v>45</v>
      </c>
      <c r="E13" s="85">
        <v>0.8</v>
      </c>
      <c r="F13" s="85"/>
      <c r="G13" s="88">
        <f t="shared" si="0"/>
        <v>3.6</v>
      </c>
      <c r="H13" s="85"/>
    </row>
    <row r="14" spans="1:10" ht="17.25" customHeight="1">
      <c r="A14" s="85"/>
      <c r="B14" s="85"/>
      <c r="C14" s="85"/>
      <c r="D14" s="85"/>
      <c r="E14" s="615" t="s">
        <v>49</v>
      </c>
      <c r="F14" s="615"/>
      <c r="G14" s="88">
        <f>SUM(G8+G9+G10+G11+G12+G13)</f>
        <v>75.920599999999993</v>
      </c>
      <c r="H14" s="85" t="s">
        <v>22</v>
      </c>
    </row>
    <row r="15" spans="1:10" ht="17.25" customHeight="1">
      <c r="A15" s="86" t="s">
        <v>321</v>
      </c>
      <c r="B15" s="85"/>
      <c r="C15" s="85"/>
      <c r="D15" s="85"/>
      <c r="E15" s="85"/>
      <c r="F15" s="85"/>
      <c r="G15" s="85"/>
      <c r="H15" s="85"/>
    </row>
    <row r="16" spans="1:10" ht="17.25" customHeight="1">
      <c r="A16" s="612"/>
      <c r="B16" s="612"/>
      <c r="C16" s="85"/>
      <c r="D16" s="85"/>
      <c r="E16" s="85"/>
      <c r="F16" s="85"/>
      <c r="G16" s="85"/>
      <c r="H16" s="85"/>
    </row>
    <row r="17" spans="1:10" ht="17.25" customHeight="1">
      <c r="A17" s="612" t="s">
        <v>315</v>
      </c>
      <c r="B17" s="612"/>
      <c r="C17" s="87">
        <f t="shared" ref="C17:C22" si="1">C8</f>
        <v>6.6</v>
      </c>
      <c r="D17" s="85" t="s">
        <v>45</v>
      </c>
      <c r="E17" s="85">
        <v>0.4</v>
      </c>
      <c r="F17" s="85"/>
      <c r="G17" s="88">
        <f t="shared" ref="G17:G22" si="2">C17*E17</f>
        <v>2.64</v>
      </c>
      <c r="H17" s="85"/>
    </row>
    <row r="18" spans="1:10" ht="17.25" customHeight="1">
      <c r="A18" s="612" t="s">
        <v>316</v>
      </c>
      <c r="B18" s="612"/>
      <c r="C18" s="87">
        <f t="shared" si="1"/>
        <v>32.756999999999998</v>
      </c>
      <c r="D18" s="85" t="s">
        <v>45</v>
      </c>
      <c r="E18" s="85">
        <v>0.4</v>
      </c>
      <c r="F18" s="85"/>
      <c r="G18" s="88">
        <f t="shared" si="2"/>
        <v>13.1028</v>
      </c>
      <c r="H18" s="85"/>
    </row>
    <row r="19" spans="1:10" ht="17.25" customHeight="1">
      <c r="A19" s="612" t="s">
        <v>317</v>
      </c>
      <c r="B19" s="612"/>
      <c r="C19" s="87">
        <f t="shared" si="1"/>
        <v>30.1</v>
      </c>
      <c r="D19" s="85" t="s">
        <v>322</v>
      </c>
      <c r="E19" s="85">
        <v>0.34</v>
      </c>
      <c r="F19" s="85"/>
      <c r="G19" s="88">
        <f t="shared" si="2"/>
        <v>10.234000000000002</v>
      </c>
      <c r="H19" s="85"/>
    </row>
    <row r="20" spans="1:10" ht="17.25" customHeight="1">
      <c r="A20" s="612" t="s">
        <v>318</v>
      </c>
      <c r="B20" s="612"/>
      <c r="C20" s="87">
        <f t="shared" si="1"/>
        <v>4.7409999999999997</v>
      </c>
      <c r="D20" s="85" t="s">
        <v>322</v>
      </c>
      <c r="E20" s="85">
        <v>0.45</v>
      </c>
      <c r="F20" s="85"/>
      <c r="G20" s="88">
        <f t="shared" si="2"/>
        <v>2.1334499999999998</v>
      </c>
      <c r="H20" s="85"/>
    </row>
    <row r="21" spans="1:10" ht="17.25" customHeight="1">
      <c r="A21" s="612" t="s">
        <v>319</v>
      </c>
      <c r="B21" s="612"/>
      <c r="C21" s="87">
        <f t="shared" si="1"/>
        <v>12.6</v>
      </c>
      <c r="D21" s="85" t="s">
        <v>45</v>
      </c>
      <c r="E21" s="85">
        <v>0.45</v>
      </c>
      <c r="F21" s="85"/>
      <c r="G21" s="88">
        <f t="shared" si="2"/>
        <v>5.67</v>
      </c>
      <c r="H21" s="85"/>
    </row>
    <row r="22" spans="1:10" ht="18" customHeight="1">
      <c r="A22" s="84" t="s">
        <v>320</v>
      </c>
      <c r="B22" s="84"/>
      <c r="C22" s="87">
        <f t="shared" si="1"/>
        <v>4.5</v>
      </c>
      <c r="D22" s="84" t="s">
        <v>45</v>
      </c>
      <c r="E22" s="85">
        <v>0.45</v>
      </c>
      <c r="F22" s="84"/>
      <c r="G22" s="88">
        <f t="shared" si="2"/>
        <v>2.0249999999999999</v>
      </c>
      <c r="H22" s="84"/>
    </row>
    <row r="23" spans="1:10" ht="21" customHeight="1">
      <c r="E23" s="613" t="s">
        <v>49</v>
      </c>
      <c r="F23" s="613"/>
      <c r="G23" s="89">
        <f>SUM(G17:G22)</f>
        <v>35.805250000000001</v>
      </c>
      <c r="H23" s="85" t="s">
        <v>22</v>
      </c>
    </row>
    <row r="25" spans="1:10" ht="15" customHeight="1">
      <c r="A25" s="42"/>
      <c r="B25" s="42"/>
      <c r="C25" s="42"/>
      <c r="D25" s="42"/>
      <c r="E25" s="42"/>
      <c r="F25" s="42"/>
      <c r="G25" s="42"/>
      <c r="H25" s="42"/>
      <c r="I25" s="42"/>
    </row>
    <row r="26" spans="1:10" ht="18" customHeight="1">
      <c r="A26" s="85" t="s">
        <v>323</v>
      </c>
      <c r="B26" s="84"/>
      <c r="C26" s="90" t="s">
        <v>37</v>
      </c>
      <c r="D26" s="84"/>
      <c r="E26" s="84"/>
      <c r="F26" s="84"/>
      <c r="G26" s="91" t="s">
        <v>38</v>
      </c>
      <c r="H26" s="91"/>
      <c r="I26" s="91"/>
      <c r="J26" s="84"/>
    </row>
    <row r="27" spans="1:10" ht="18" customHeight="1">
      <c r="A27" s="85" t="s">
        <v>324</v>
      </c>
      <c r="B27" s="84"/>
      <c r="C27" s="60" t="s">
        <v>324</v>
      </c>
      <c r="D27" s="84"/>
      <c r="E27" s="84"/>
      <c r="F27" s="84"/>
      <c r="G27" s="614" t="s">
        <v>325</v>
      </c>
      <c r="H27" s="614"/>
      <c r="I27" s="614"/>
      <c r="J27" s="614"/>
    </row>
    <row r="28" spans="1:10" ht="18" customHeight="1">
      <c r="A28" s="85" t="s">
        <v>39</v>
      </c>
      <c r="B28" s="84"/>
      <c r="C28" s="85" t="s">
        <v>39</v>
      </c>
      <c r="D28" s="84"/>
      <c r="E28" s="84"/>
      <c r="F28" s="84"/>
      <c r="G28" s="614" t="s">
        <v>39</v>
      </c>
      <c r="H28" s="614"/>
      <c r="I28" s="614"/>
      <c r="J28" s="84"/>
    </row>
    <row r="29" spans="1:10" ht="15" customHeight="1">
      <c r="A29" s="42"/>
      <c r="B29" s="42"/>
      <c r="C29" s="42"/>
      <c r="D29" s="42"/>
      <c r="E29" s="42"/>
      <c r="F29" s="42"/>
      <c r="G29" s="42"/>
      <c r="H29" s="42"/>
      <c r="I29" s="42"/>
    </row>
  </sheetData>
  <mergeCells count="20">
    <mergeCell ref="A1:I1"/>
    <mergeCell ref="A2:I2"/>
    <mergeCell ref="B4:H4"/>
    <mergeCell ref="B5:H5"/>
    <mergeCell ref="A8:B8"/>
    <mergeCell ref="A9:B9"/>
    <mergeCell ref="A10:B10"/>
    <mergeCell ref="A11:B11"/>
    <mergeCell ref="A12:B12"/>
    <mergeCell ref="A13:B13"/>
    <mergeCell ref="E14:F14"/>
    <mergeCell ref="A16:B16"/>
    <mergeCell ref="A17:B17"/>
    <mergeCell ref="A18:B18"/>
    <mergeCell ref="A19:B19"/>
    <mergeCell ref="A20:B20"/>
    <mergeCell ref="A21:B21"/>
    <mergeCell ref="E23:F23"/>
    <mergeCell ref="G27:J27"/>
    <mergeCell ref="G28:I28"/>
  </mergeCells>
  <hyperlinks>
    <hyperlink ref="A1" location="'Sheet1'!A1" display="Theoritical Requirement" xr:uid="{00000000-0004-0000-0A00-000000000000}"/>
  </hyperlinks>
  <pageMargins left="0.75" right="0.75" top="1" bottom="1" header="0.511811023622047" footer="0.511811023622047"/>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Cover Page.</vt:lpstr>
      <vt:lpstr>Check slip - TS</vt:lpstr>
      <vt:lpstr>Gen Abst</vt:lpstr>
      <vt:lpstr>Abstract</vt:lpstr>
      <vt:lpstr>detailed </vt:lpstr>
      <vt:lpstr>DATA-26-27</vt:lpstr>
      <vt:lpstr>seignorage</vt:lpstr>
      <vt:lpstr>lead chart</vt:lpstr>
      <vt:lpstr>steel</vt:lpstr>
      <vt:lpstr>Quarry Map</vt:lpstr>
      <vt:lpstr>theoritical requirement</vt:lpstr>
      <vt:lpstr>Abstract!Print_Area</vt:lpstr>
      <vt:lpstr>'Check slip - TS'!Print_Area</vt:lpstr>
      <vt:lpstr>'DATA-26-27'!Print_Area</vt:lpstr>
      <vt:lpstr>'detailed '!Print_Area</vt:lpstr>
      <vt:lpstr>'Gen Abst'!Print_Area</vt:lpstr>
      <vt:lpstr>'lead chart'!Print_Area</vt:lpstr>
      <vt:lpstr>seignorage!Print_Area</vt:lpstr>
      <vt:lpstr>steel!Print_Area</vt:lpstr>
      <vt:lpstr>steel!Print_Titles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Office</cp:lastModifiedBy>
  <cp:revision>0</cp:revision>
  <cp:lastPrinted>2026-09-25T10:39:53Z</cp:lastPrinted>
  <dcterms:created xsi:type="dcterms:W3CDTF">2006-09-16T00:00:00Z</dcterms:created>
  <dcterms:modified xsi:type="dcterms:W3CDTF">2026-09-25T10:40:15Z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A4C9ECF9EA9A4C7B9B40FF819968BC57_12</vt:lpwstr>
  </property>
  <property fmtid="{D5CDD505-2E9C-101B-9397-08002B2CF9AE}" pid="3" name="KSOProductBuildVer">
    <vt:lpwstr>1033-12.2.0.20326</vt:lpwstr>
  </property>
</Properties>
</file>