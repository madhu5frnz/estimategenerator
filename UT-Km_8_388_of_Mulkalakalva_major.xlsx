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E:\Mulkala kaluva\UT\"/>
    </mc:Choice>
  </mc:AlternateContent>
  <xr:revisionPtr revIDLastSave="0" documentId="13_ncr:1_{AE308B74-BBCC-4E16-8E7F-DD48DBFBA02E}" xr6:coauthVersionLast="47" xr6:coauthVersionMax="47" xr10:uidLastSave="{00000000-0000-0000-0000-000000000000}"/>
  <bookViews>
    <workbookView xWindow="-120" yWindow="-120" windowWidth="29040" windowHeight="15840" tabRatio="948" activeTab="4" xr2:uid="{00000000-000D-0000-FFFF-FFFF00000000}"/>
  </bookViews>
  <sheets>
    <sheet name="Check slip" sheetId="91" r:id="rId1"/>
    <sheet name="COVER (2)" sheetId="88" r:id="rId2"/>
    <sheet name="Abstract " sheetId="89" r:id="rId3"/>
    <sheet name="Detail" sheetId="75" r:id="rId4"/>
    <sheet name="Datas - 2026-27" sheetId="85" r:id="rId5"/>
    <sheet name="Quarry Map (2)" sheetId="86" r:id="rId6"/>
    <sheet name="Lead  (2)" sheetId="87" r:id="rId7"/>
    <sheet name="Seignorage (2)" sheetId="90" r:id="rId8"/>
    <sheet name="Certificates" sheetId="1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s>
  <definedNames>
    <definedName name="\A">#REF!</definedName>
    <definedName name="\C">#REF!</definedName>
    <definedName name="\H">#REF!</definedName>
    <definedName name="\M">#REF!</definedName>
    <definedName name="\Z">#REF!</definedName>
    <definedName name="__________________________bla1">[1]leads!$H$7</definedName>
    <definedName name="__________________________l1">[2]leads!$A$3:$E$108</definedName>
    <definedName name="__________________________l12" localSheetId="2">#REF!</definedName>
    <definedName name="__________________________l12" localSheetId="1">#REF!</definedName>
    <definedName name="__________________________l12" localSheetId="4">#REF!</definedName>
    <definedName name="__________________________l12" localSheetId="6">#REF!</definedName>
    <definedName name="__________________________l12" localSheetId="5">#REF!</definedName>
    <definedName name="__________________________l12" localSheetId="7">#REF!</definedName>
    <definedName name="__________________________l12">#REF!</definedName>
    <definedName name="__________________________l3" localSheetId="5">#REF!</definedName>
    <definedName name="__________________________l3" localSheetId="7">#REF!</definedName>
    <definedName name="__________________________l3">#REF!</definedName>
    <definedName name="__________________________l4">[3]Sheet1!$W$2:$Y$103</definedName>
    <definedName name="__________________________l5" localSheetId="2">#REF!</definedName>
    <definedName name="__________________________l5" localSheetId="1">#REF!</definedName>
    <definedName name="__________________________l5" localSheetId="4">#REF!</definedName>
    <definedName name="__________________________l5" localSheetId="6">#REF!</definedName>
    <definedName name="__________________________l5" localSheetId="5">#REF!</definedName>
    <definedName name="__________________________l5" localSheetId="7">#REF!</definedName>
    <definedName name="__________________________l5">#REF!</definedName>
    <definedName name="__________________________mm1">[4]r!$F$4</definedName>
    <definedName name="__________________________rr3">[5]v!$A$2:$E$51</definedName>
    <definedName name="__________________________rrr1">[5]r!$B$1:$I$145</definedName>
    <definedName name="__________________________ss12">[6]rdamdata!$J$8</definedName>
    <definedName name="__________________________ss20">[6]rdamdata!$J$7</definedName>
    <definedName name="__________________________ss40">[6]rdamdata!$J$6</definedName>
    <definedName name="__________________________var1" localSheetId="2">#REF!</definedName>
    <definedName name="__________________________var1" localSheetId="1">#REF!</definedName>
    <definedName name="__________________________var1" localSheetId="4">#REF!</definedName>
    <definedName name="__________________________var1" localSheetId="6">#REF!</definedName>
    <definedName name="__________________________var1" localSheetId="5">#REF!</definedName>
    <definedName name="__________________________var1" localSheetId="7">#REF!</definedName>
    <definedName name="__________________________var1">#REF!</definedName>
    <definedName name="__________________________var4" localSheetId="5">#REF!</definedName>
    <definedName name="__________________________var4" localSheetId="7">#REF!</definedName>
    <definedName name="__________________________var4">#REF!</definedName>
    <definedName name="_________________________SS12">[7]Sheet1!$C$8</definedName>
    <definedName name="_________________________SS20">[7]Sheet1!$C$9</definedName>
    <definedName name="_________________________SS40">[7]Sheet1!$C$11</definedName>
    <definedName name="________________________bla1">[1]leads!$H$7</definedName>
    <definedName name="________________________l1">[2]leads!$A$3:$E$108</definedName>
    <definedName name="________________________l12" localSheetId="2">#REF!</definedName>
    <definedName name="________________________l12" localSheetId="1">#REF!</definedName>
    <definedName name="________________________l12" localSheetId="4">#REF!</definedName>
    <definedName name="________________________l12" localSheetId="6">#REF!</definedName>
    <definedName name="________________________l12" localSheetId="5">#REF!</definedName>
    <definedName name="________________________l12" localSheetId="7">#REF!</definedName>
    <definedName name="________________________l12">#REF!</definedName>
    <definedName name="________________________l3" localSheetId="5">#REF!</definedName>
    <definedName name="________________________l3" localSheetId="7">#REF!</definedName>
    <definedName name="________________________l3">#REF!</definedName>
    <definedName name="________________________l4">[3]Sheet1!$W$2:$Y$103</definedName>
    <definedName name="________________________l5" localSheetId="2">#REF!</definedName>
    <definedName name="________________________l5" localSheetId="1">#REF!</definedName>
    <definedName name="________________________l5" localSheetId="4">#REF!</definedName>
    <definedName name="________________________l5" localSheetId="6">#REF!</definedName>
    <definedName name="________________________l5" localSheetId="5">#REF!</definedName>
    <definedName name="________________________l5" localSheetId="7">#REF!</definedName>
    <definedName name="________________________l5">#REF!</definedName>
    <definedName name="________________________mm1">[4]r!$F$4</definedName>
    <definedName name="________________________rr3">[5]v!$A$2:$E$51</definedName>
    <definedName name="________________________rrr1">[5]r!$B$1:$I$145</definedName>
    <definedName name="________________________ss12">[6]rdamdata!$J$8</definedName>
    <definedName name="________________________ss20">[6]rdamdata!$J$7</definedName>
    <definedName name="________________________ss40">[6]rdamdata!$J$6</definedName>
    <definedName name="________________________var1" localSheetId="2">#REF!</definedName>
    <definedName name="________________________var1" localSheetId="1">#REF!</definedName>
    <definedName name="________________________var1" localSheetId="4">#REF!</definedName>
    <definedName name="________________________var1" localSheetId="6">#REF!</definedName>
    <definedName name="________________________var1" localSheetId="5">#REF!</definedName>
    <definedName name="________________________var1" localSheetId="7">#REF!</definedName>
    <definedName name="________________________var1">#REF!</definedName>
    <definedName name="________________________var4" localSheetId="5">#REF!</definedName>
    <definedName name="________________________var4" localSheetId="7">#REF!</definedName>
    <definedName name="________________________var4">#REF!</definedName>
    <definedName name="_______________________cur1">[8]r!$F$30</definedName>
    <definedName name="_______________________l2">[8]r!$F$29</definedName>
    <definedName name="_______________________l6">[8]r!$F$4</definedName>
    <definedName name="_______________________l7">[9]r!$F$4</definedName>
    <definedName name="_______________________l8">[8]r!$F$2</definedName>
    <definedName name="_______________________l9">[8]r!$F$3</definedName>
    <definedName name="_______________________mm11">[8]r!$F$4</definedName>
    <definedName name="_______________________mm111">[9]r!$F$4</definedName>
    <definedName name="_______________________pc2" localSheetId="2">#REF!</definedName>
    <definedName name="_______________________pc2" localSheetId="1">#REF!</definedName>
    <definedName name="_______________________pc2" localSheetId="4">#REF!</definedName>
    <definedName name="_______________________pc2" localSheetId="6">#REF!</definedName>
    <definedName name="_______________________pc2" localSheetId="5">#REF!</definedName>
    <definedName name="_______________________pc2" localSheetId="7">#REF!</definedName>
    <definedName name="_______________________pc2">#REF!</definedName>
    <definedName name="_______________________pv2" localSheetId="5">#REF!</definedName>
    <definedName name="_______________________pv2" localSheetId="7">#REF!</definedName>
    <definedName name="_______________________pv2">#REF!</definedName>
    <definedName name="_______________________SS12">[7]Sheet1!$C$8</definedName>
    <definedName name="_______________________SS20">[7]Sheet1!$C$9</definedName>
    <definedName name="_______________________SS40">[7]Sheet1!$C$11</definedName>
    <definedName name="______________________bla1">[1]leads!$H$7</definedName>
    <definedName name="______________________cur1">[8]r!$F$30</definedName>
    <definedName name="______________________l1">[2]leads!$A$3:$E$108</definedName>
    <definedName name="______________________l12" localSheetId="2">#REF!</definedName>
    <definedName name="______________________l12" localSheetId="1">#REF!</definedName>
    <definedName name="______________________l12" localSheetId="4">#REF!</definedName>
    <definedName name="______________________l12" localSheetId="6">#REF!</definedName>
    <definedName name="______________________l12" localSheetId="5">#REF!</definedName>
    <definedName name="______________________l12" localSheetId="7">#REF!</definedName>
    <definedName name="______________________l12">#REF!</definedName>
    <definedName name="______________________l2">[8]r!$F$29</definedName>
    <definedName name="______________________l3" localSheetId="2">#REF!</definedName>
    <definedName name="______________________l3" localSheetId="1">#REF!</definedName>
    <definedName name="______________________l3" localSheetId="4">#REF!</definedName>
    <definedName name="______________________l3" localSheetId="6">#REF!</definedName>
    <definedName name="______________________l3" localSheetId="5">#REF!</definedName>
    <definedName name="______________________l3" localSheetId="7">#REF!</definedName>
    <definedName name="______________________l3">#REF!</definedName>
    <definedName name="______________________l4">[3]Sheet1!$W$2:$Y$103</definedName>
    <definedName name="______________________l5" localSheetId="2">#REF!</definedName>
    <definedName name="______________________l5" localSheetId="1">#REF!</definedName>
    <definedName name="______________________l5" localSheetId="4">#REF!</definedName>
    <definedName name="______________________l5" localSheetId="6">#REF!</definedName>
    <definedName name="______________________l5" localSheetId="5">#REF!</definedName>
    <definedName name="______________________l5" localSheetId="7">#REF!</definedName>
    <definedName name="______________________l5">#REF!</definedName>
    <definedName name="______________________l6">[8]r!$F$4</definedName>
    <definedName name="______________________l7">[9]r!$F$4</definedName>
    <definedName name="______________________l8">[8]r!$F$2</definedName>
    <definedName name="______________________l9">[8]r!$F$3</definedName>
    <definedName name="______________________mm1">[4]r!$F$4</definedName>
    <definedName name="______________________mm11">[8]r!$F$4</definedName>
    <definedName name="______________________mm111">[9]r!$F$4</definedName>
    <definedName name="______________________pc2" localSheetId="2">#REF!</definedName>
    <definedName name="______________________pc2" localSheetId="1">#REF!</definedName>
    <definedName name="______________________pc2" localSheetId="4">#REF!</definedName>
    <definedName name="______________________pc2" localSheetId="6">#REF!</definedName>
    <definedName name="______________________pc2" localSheetId="5">#REF!</definedName>
    <definedName name="______________________pc2" localSheetId="7">#REF!</definedName>
    <definedName name="______________________pc2">#REF!</definedName>
    <definedName name="______________________pv2" localSheetId="5">#REF!</definedName>
    <definedName name="______________________pv2" localSheetId="7">#REF!</definedName>
    <definedName name="______________________pv2">#REF!</definedName>
    <definedName name="______________________rr3">[5]v!$A$2:$E$51</definedName>
    <definedName name="______________________rrr1">[5]r!$B$1:$I$145</definedName>
    <definedName name="______________________ss12">[6]rdamdata!$J$8</definedName>
    <definedName name="______________________ss20">[6]rdamdata!$J$7</definedName>
    <definedName name="______________________ss40">[6]rdamdata!$J$6</definedName>
    <definedName name="______________________var1" localSheetId="2">#REF!</definedName>
    <definedName name="______________________var1" localSheetId="1">#REF!</definedName>
    <definedName name="______________________var1" localSheetId="4">#REF!</definedName>
    <definedName name="______________________var1" localSheetId="6">#REF!</definedName>
    <definedName name="______________________var1" localSheetId="5">#REF!</definedName>
    <definedName name="______________________var1" localSheetId="7">#REF!</definedName>
    <definedName name="______________________var1">#REF!</definedName>
    <definedName name="______________________var4" localSheetId="5">#REF!</definedName>
    <definedName name="______________________var4" localSheetId="7">#REF!</definedName>
    <definedName name="______________________var4">#REF!</definedName>
    <definedName name="_____________________bla1">[10]leads!$H$7</definedName>
    <definedName name="_____________________cur1">[8]r!$F$30</definedName>
    <definedName name="_____________________l1">[11]leads!$A$3:$E$108</definedName>
    <definedName name="_____________________l12" localSheetId="2">#REF!</definedName>
    <definedName name="_____________________l12" localSheetId="1">#REF!</definedName>
    <definedName name="_____________________l12" localSheetId="4">#REF!</definedName>
    <definedName name="_____________________l12" localSheetId="6">#REF!</definedName>
    <definedName name="_____________________l12" localSheetId="5">#REF!</definedName>
    <definedName name="_____________________l12" localSheetId="7">#REF!</definedName>
    <definedName name="_____________________l12">#REF!</definedName>
    <definedName name="_____________________l2">[8]r!$F$29</definedName>
    <definedName name="_____________________l3" localSheetId="2">#REF!</definedName>
    <definedName name="_____________________l3" localSheetId="1">#REF!</definedName>
    <definedName name="_____________________l3" localSheetId="4">#REF!</definedName>
    <definedName name="_____________________l3" localSheetId="6">#REF!</definedName>
    <definedName name="_____________________l3" localSheetId="5">#REF!</definedName>
    <definedName name="_____________________l3" localSheetId="7">#REF!</definedName>
    <definedName name="_____________________l3">#REF!</definedName>
    <definedName name="_____________________l4">[12]Sheet1!$W$2:$Y$103</definedName>
    <definedName name="_____________________l5" localSheetId="2">#REF!</definedName>
    <definedName name="_____________________l5" localSheetId="1">#REF!</definedName>
    <definedName name="_____________________l5" localSheetId="4">#REF!</definedName>
    <definedName name="_____________________l5" localSheetId="6">#REF!</definedName>
    <definedName name="_____________________l5" localSheetId="5">#REF!</definedName>
    <definedName name="_____________________l5" localSheetId="7">#REF!</definedName>
    <definedName name="_____________________l5">#REF!</definedName>
    <definedName name="_____________________l6">[8]r!$F$4</definedName>
    <definedName name="_____________________l7">[9]r!$F$4</definedName>
    <definedName name="_____________________l8">[8]r!$F$2</definedName>
    <definedName name="_____________________l9">[8]r!$F$3</definedName>
    <definedName name="_____________________mm1">[13]r!$F$4</definedName>
    <definedName name="_____________________mm11">[8]r!$F$4</definedName>
    <definedName name="_____________________mm111">[9]r!$F$4</definedName>
    <definedName name="_____________________pc2" localSheetId="2">#REF!</definedName>
    <definedName name="_____________________pc2" localSheetId="1">#REF!</definedName>
    <definedName name="_____________________pc2" localSheetId="4">#REF!</definedName>
    <definedName name="_____________________pc2" localSheetId="6">#REF!</definedName>
    <definedName name="_____________________pc2" localSheetId="5">#REF!</definedName>
    <definedName name="_____________________pc2" localSheetId="7">#REF!</definedName>
    <definedName name="_____________________pc2">#REF!</definedName>
    <definedName name="_____________________pv2" localSheetId="5">#REF!</definedName>
    <definedName name="_____________________pv2" localSheetId="7">#REF!</definedName>
    <definedName name="_____________________pv2">#REF!</definedName>
    <definedName name="_____________________rr3">[14]v!$A$2:$E$51</definedName>
    <definedName name="_____________________rrr1">[14]r!$B$1:$I$145</definedName>
    <definedName name="_____________________ss12">[15]rdamdata!$J$8</definedName>
    <definedName name="_____________________ss20">[15]rdamdata!$J$7</definedName>
    <definedName name="_____________________ss40">[15]rdamdata!$J$6</definedName>
    <definedName name="_____________________var1" localSheetId="2">#REF!</definedName>
    <definedName name="_____________________var1" localSheetId="1">#REF!</definedName>
    <definedName name="_____________________var1" localSheetId="4">#REF!</definedName>
    <definedName name="_____________________var1" localSheetId="6">#REF!</definedName>
    <definedName name="_____________________var1" localSheetId="5">#REF!</definedName>
    <definedName name="_____________________var1" localSheetId="7">#REF!</definedName>
    <definedName name="_____________________var1">#REF!</definedName>
    <definedName name="_____________________var4" localSheetId="5">#REF!</definedName>
    <definedName name="_____________________var4" localSheetId="7">#REF!</definedName>
    <definedName name="_____________________var4">#REF!</definedName>
    <definedName name="____________________bla1">[1]leads!$H$7</definedName>
    <definedName name="____________________cur1">[8]r!$F$30</definedName>
    <definedName name="____________________l1">[2]leads!$A$3:$E$108</definedName>
    <definedName name="____________________l12" localSheetId="2">#REF!</definedName>
    <definedName name="____________________l12" localSheetId="1">#REF!</definedName>
    <definedName name="____________________l12" localSheetId="4">#REF!</definedName>
    <definedName name="____________________l12" localSheetId="6">#REF!</definedName>
    <definedName name="____________________l12" localSheetId="5">#REF!</definedName>
    <definedName name="____________________l12" localSheetId="7">#REF!</definedName>
    <definedName name="____________________l12">#REF!</definedName>
    <definedName name="____________________l2">[8]r!$F$29</definedName>
    <definedName name="____________________l3" localSheetId="2">#REF!</definedName>
    <definedName name="____________________l3" localSheetId="1">#REF!</definedName>
    <definedName name="____________________l3" localSheetId="4">#REF!</definedName>
    <definedName name="____________________l3" localSheetId="6">#REF!</definedName>
    <definedName name="____________________l3" localSheetId="5">#REF!</definedName>
    <definedName name="____________________l3" localSheetId="7">#REF!</definedName>
    <definedName name="____________________l3">#REF!</definedName>
    <definedName name="____________________l4">[3]Sheet1!$W$2:$Y$103</definedName>
    <definedName name="____________________l5" localSheetId="2">#REF!</definedName>
    <definedName name="____________________l5" localSheetId="1">#REF!</definedName>
    <definedName name="____________________l5" localSheetId="4">#REF!</definedName>
    <definedName name="____________________l5" localSheetId="6">#REF!</definedName>
    <definedName name="____________________l5" localSheetId="5">#REF!</definedName>
    <definedName name="____________________l5" localSheetId="7">#REF!</definedName>
    <definedName name="____________________l5">#REF!</definedName>
    <definedName name="____________________l6">[8]r!$F$4</definedName>
    <definedName name="____________________l7">[9]r!$F$4</definedName>
    <definedName name="____________________l8">[8]r!$F$2</definedName>
    <definedName name="____________________l9">[8]r!$F$3</definedName>
    <definedName name="____________________mm1">[4]r!$F$4</definedName>
    <definedName name="____________________mm11">[8]r!$F$4</definedName>
    <definedName name="____________________mm111">[9]r!$F$4</definedName>
    <definedName name="____________________pc2" localSheetId="2">#REF!</definedName>
    <definedName name="____________________pc2" localSheetId="1">#REF!</definedName>
    <definedName name="____________________pc2" localSheetId="4">#REF!</definedName>
    <definedName name="____________________pc2" localSheetId="6">#REF!</definedName>
    <definedName name="____________________pc2" localSheetId="5">#REF!</definedName>
    <definedName name="____________________pc2" localSheetId="7">#REF!</definedName>
    <definedName name="____________________pc2">#REF!</definedName>
    <definedName name="____________________pv2" localSheetId="5">#REF!</definedName>
    <definedName name="____________________pv2" localSheetId="7">#REF!</definedName>
    <definedName name="____________________pv2">#REF!</definedName>
    <definedName name="____________________rr3">[5]v!$A$2:$E$51</definedName>
    <definedName name="____________________rrr1">[5]r!$B$1:$I$145</definedName>
    <definedName name="____________________ss12">[6]rdamdata!$J$8</definedName>
    <definedName name="____________________ss20">[6]rdamdata!$J$7</definedName>
    <definedName name="____________________ss40">[6]rdamdata!$J$6</definedName>
    <definedName name="____________________var1" localSheetId="2">#REF!</definedName>
    <definedName name="____________________var1" localSheetId="1">#REF!</definedName>
    <definedName name="____________________var1" localSheetId="4">#REF!</definedName>
    <definedName name="____________________var1" localSheetId="6">#REF!</definedName>
    <definedName name="____________________var1" localSheetId="5">#REF!</definedName>
    <definedName name="____________________var1" localSheetId="7">#REF!</definedName>
    <definedName name="____________________var1">#REF!</definedName>
    <definedName name="____________________var4" localSheetId="5">#REF!</definedName>
    <definedName name="____________________var4" localSheetId="7">#REF!</definedName>
    <definedName name="____________________var4">#REF!</definedName>
    <definedName name="___________________bla1">[1]leads!$H$7</definedName>
    <definedName name="___________________cur1">[8]r!$F$30</definedName>
    <definedName name="___________________l1">[2]leads!$A$3:$E$108</definedName>
    <definedName name="___________________l12" localSheetId="2">#REF!</definedName>
    <definedName name="___________________l12" localSheetId="1">#REF!</definedName>
    <definedName name="___________________l12" localSheetId="4">#REF!</definedName>
    <definedName name="___________________l12" localSheetId="6">#REF!</definedName>
    <definedName name="___________________l12" localSheetId="5">#REF!</definedName>
    <definedName name="___________________l12" localSheetId="7">#REF!</definedName>
    <definedName name="___________________l12">#REF!</definedName>
    <definedName name="___________________l2">[8]r!$F$29</definedName>
    <definedName name="___________________l3" localSheetId="2">#REF!</definedName>
    <definedName name="___________________l3" localSheetId="1">#REF!</definedName>
    <definedName name="___________________l3" localSheetId="4">#REF!</definedName>
    <definedName name="___________________l3" localSheetId="6">#REF!</definedName>
    <definedName name="___________________l3" localSheetId="5">#REF!</definedName>
    <definedName name="___________________l3" localSheetId="7">#REF!</definedName>
    <definedName name="___________________l3">#REF!</definedName>
    <definedName name="___________________l4">[3]Sheet1!$W$2:$Y$103</definedName>
    <definedName name="___________________l5" localSheetId="2">#REF!</definedName>
    <definedName name="___________________l5" localSheetId="1">#REF!</definedName>
    <definedName name="___________________l5" localSheetId="4">#REF!</definedName>
    <definedName name="___________________l5" localSheetId="6">#REF!</definedName>
    <definedName name="___________________l5" localSheetId="5">#REF!</definedName>
    <definedName name="___________________l5" localSheetId="7">#REF!</definedName>
    <definedName name="___________________l5">#REF!</definedName>
    <definedName name="___________________l6">[8]r!$F$4</definedName>
    <definedName name="___________________l7">[9]r!$F$4</definedName>
    <definedName name="___________________l8">[8]r!$F$2</definedName>
    <definedName name="___________________l9">[8]r!$F$3</definedName>
    <definedName name="___________________mm1">[4]r!$F$4</definedName>
    <definedName name="___________________mm11">[8]r!$F$4</definedName>
    <definedName name="___________________mm111">[9]r!$F$4</definedName>
    <definedName name="___________________pc2" localSheetId="2">#REF!</definedName>
    <definedName name="___________________pc2" localSheetId="1">#REF!</definedName>
    <definedName name="___________________pc2" localSheetId="4">#REF!</definedName>
    <definedName name="___________________pc2" localSheetId="6">#REF!</definedName>
    <definedName name="___________________pc2" localSheetId="5">#REF!</definedName>
    <definedName name="___________________pc2" localSheetId="7">#REF!</definedName>
    <definedName name="___________________pc2">#REF!</definedName>
    <definedName name="___________________pv2" localSheetId="5">#REF!</definedName>
    <definedName name="___________________pv2" localSheetId="7">#REF!</definedName>
    <definedName name="___________________pv2">#REF!</definedName>
    <definedName name="___________________rr3">[5]v!$A$2:$E$51</definedName>
    <definedName name="___________________rrr1">[5]r!$B$1:$I$145</definedName>
    <definedName name="___________________ss12">[6]rdamdata!$J$8</definedName>
    <definedName name="___________________ss20">[6]rdamdata!$J$7</definedName>
    <definedName name="___________________ss40">[6]rdamdata!$J$6</definedName>
    <definedName name="___________________var1" localSheetId="2">#REF!</definedName>
    <definedName name="___________________var1" localSheetId="1">#REF!</definedName>
    <definedName name="___________________var1" localSheetId="4">#REF!</definedName>
    <definedName name="___________________var1" localSheetId="6">#REF!</definedName>
    <definedName name="___________________var1" localSheetId="5">#REF!</definedName>
    <definedName name="___________________var1" localSheetId="7">#REF!</definedName>
    <definedName name="___________________var1">#REF!</definedName>
    <definedName name="___________________var4" localSheetId="5">#REF!</definedName>
    <definedName name="___________________var4" localSheetId="7">#REF!</definedName>
    <definedName name="___________________var4">#REF!</definedName>
    <definedName name="__________________bla1">[16]leads!$H$7</definedName>
    <definedName name="__________________cur1">[8]r!$F$30</definedName>
    <definedName name="__________________l1">[17]leads!$A$3:$E$108</definedName>
    <definedName name="__________________l12" localSheetId="2">#REF!</definedName>
    <definedName name="__________________l12" localSheetId="1">#REF!</definedName>
    <definedName name="__________________l12" localSheetId="4">#REF!</definedName>
    <definedName name="__________________l12" localSheetId="6">#REF!</definedName>
    <definedName name="__________________l12" localSheetId="5">#REF!</definedName>
    <definedName name="__________________l12" localSheetId="7">#REF!</definedName>
    <definedName name="__________________l12">#REF!</definedName>
    <definedName name="__________________l2">[8]r!$F$29</definedName>
    <definedName name="__________________l3" localSheetId="2">#REF!</definedName>
    <definedName name="__________________l3" localSheetId="1">#REF!</definedName>
    <definedName name="__________________l3" localSheetId="4">#REF!</definedName>
    <definedName name="__________________l3" localSheetId="6">#REF!</definedName>
    <definedName name="__________________l3" localSheetId="5">#REF!</definedName>
    <definedName name="__________________l3" localSheetId="7">#REF!</definedName>
    <definedName name="__________________l3">#REF!</definedName>
    <definedName name="__________________l4">[18]Sheet1!$W$2:$Y$103</definedName>
    <definedName name="__________________l5" localSheetId="2">#REF!</definedName>
    <definedName name="__________________l5" localSheetId="1">#REF!</definedName>
    <definedName name="__________________l5" localSheetId="4">#REF!</definedName>
    <definedName name="__________________l5" localSheetId="6">#REF!</definedName>
    <definedName name="__________________l5" localSheetId="5">#REF!</definedName>
    <definedName name="__________________l5" localSheetId="7">#REF!</definedName>
    <definedName name="__________________l5">#REF!</definedName>
    <definedName name="__________________l6">[8]r!$F$4</definedName>
    <definedName name="__________________l7">[9]r!$F$4</definedName>
    <definedName name="__________________l8">[8]r!$F$2</definedName>
    <definedName name="__________________l9">[8]r!$F$3</definedName>
    <definedName name="__________________mm1">[19]r!$F$4</definedName>
    <definedName name="__________________mm11">[8]r!$F$4</definedName>
    <definedName name="__________________mm111">[9]r!$F$4</definedName>
    <definedName name="__________________pc2" localSheetId="2">#REF!</definedName>
    <definedName name="__________________pc2" localSheetId="1">#REF!</definedName>
    <definedName name="__________________pc2" localSheetId="4">#REF!</definedName>
    <definedName name="__________________pc2" localSheetId="6">#REF!</definedName>
    <definedName name="__________________pc2" localSheetId="5">#REF!</definedName>
    <definedName name="__________________pc2" localSheetId="7">#REF!</definedName>
    <definedName name="__________________pc2">#REF!</definedName>
    <definedName name="__________________pv2" localSheetId="5">#REF!</definedName>
    <definedName name="__________________pv2" localSheetId="7">#REF!</definedName>
    <definedName name="__________________pv2">#REF!</definedName>
    <definedName name="__________________rr3">[20]v!$A$2:$E$51</definedName>
    <definedName name="__________________rrr1">[20]r!$B$1:$I$145</definedName>
    <definedName name="__________________ss12">[21]rdamdata!$J$8</definedName>
    <definedName name="__________________ss20">[21]rdamdata!$J$7</definedName>
    <definedName name="__________________ss40">[21]rdamdata!$J$6</definedName>
    <definedName name="__________________var1" localSheetId="2">#REF!</definedName>
    <definedName name="__________________var1" localSheetId="1">#REF!</definedName>
    <definedName name="__________________var1" localSheetId="4">#REF!</definedName>
    <definedName name="__________________var1" localSheetId="6">#REF!</definedName>
    <definedName name="__________________var1" localSheetId="5">#REF!</definedName>
    <definedName name="__________________var1" localSheetId="7">#REF!</definedName>
    <definedName name="__________________var1">#REF!</definedName>
    <definedName name="__________________var4" localSheetId="5">#REF!</definedName>
    <definedName name="__________________var4" localSheetId="7">#REF!</definedName>
    <definedName name="__________________var4">#REF!</definedName>
    <definedName name="_________________cur1">[8]r!$F$30</definedName>
    <definedName name="_________________l2">[8]r!$F$29</definedName>
    <definedName name="_________________l6">[8]r!$F$4</definedName>
    <definedName name="_________________l7">[9]r!$F$4</definedName>
    <definedName name="_________________l8">[8]r!$F$2</definedName>
    <definedName name="_________________l9">[8]r!$F$3</definedName>
    <definedName name="_________________mm11">[8]r!$F$4</definedName>
    <definedName name="_________________mm111">[9]r!$F$4</definedName>
    <definedName name="_________________pc2" localSheetId="2">#REF!</definedName>
    <definedName name="_________________pc2" localSheetId="1">#REF!</definedName>
    <definedName name="_________________pc2" localSheetId="4">#REF!</definedName>
    <definedName name="_________________pc2" localSheetId="6">#REF!</definedName>
    <definedName name="_________________pc2" localSheetId="5">#REF!</definedName>
    <definedName name="_________________pc2" localSheetId="7">#REF!</definedName>
    <definedName name="_________________pc2">#REF!</definedName>
    <definedName name="_________________pv2" localSheetId="5">#REF!</definedName>
    <definedName name="_________________pv2" localSheetId="7">#REF!</definedName>
    <definedName name="_________________pv2">#REF!</definedName>
    <definedName name="_________________SS12">[7]Sheet1!$C$8</definedName>
    <definedName name="_________________SS20">[7]Sheet1!$C$9</definedName>
    <definedName name="_________________SS40">[7]Sheet1!$C$11</definedName>
    <definedName name="________________bla1">[1]leads!$H$7</definedName>
    <definedName name="________________can430">40.73</definedName>
    <definedName name="________________can435">43.3</definedName>
    <definedName name="________________cur1">[8]r!$F$30</definedName>
    <definedName name="________________l1">[2]leads!$A$3:$E$108</definedName>
    <definedName name="________________l12" localSheetId="2">#REF!</definedName>
    <definedName name="________________l12" localSheetId="1">#REF!</definedName>
    <definedName name="________________l12" localSheetId="4">#REF!</definedName>
    <definedName name="________________l12" localSheetId="6">#REF!</definedName>
    <definedName name="________________l12" localSheetId="5">#REF!</definedName>
    <definedName name="________________l12" localSheetId="7">#REF!</definedName>
    <definedName name="________________l12">#REF!</definedName>
    <definedName name="________________l2">[8]r!$F$29</definedName>
    <definedName name="________________l3" localSheetId="2">#REF!</definedName>
    <definedName name="________________l3" localSheetId="1">#REF!</definedName>
    <definedName name="________________l3" localSheetId="4">#REF!</definedName>
    <definedName name="________________l3" localSheetId="6">#REF!</definedName>
    <definedName name="________________l3" localSheetId="5">#REF!</definedName>
    <definedName name="________________l3" localSheetId="7">#REF!</definedName>
    <definedName name="________________l3">#REF!</definedName>
    <definedName name="________________l4">[3]Sheet1!$W$2:$Y$103</definedName>
    <definedName name="________________l5" localSheetId="2">#REF!</definedName>
    <definedName name="________________l5" localSheetId="1">#REF!</definedName>
    <definedName name="________________l5" localSheetId="4">#REF!</definedName>
    <definedName name="________________l5" localSheetId="6">#REF!</definedName>
    <definedName name="________________l5" localSheetId="5">#REF!</definedName>
    <definedName name="________________l5" localSheetId="7">#REF!</definedName>
    <definedName name="________________l5">#REF!</definedName>
    <definedName name="________________l6">[8]r!$F$4</definedName>
    <definedName name="________________l7">[9]r!$F$4</definedName>
    <definedName name="________________l8">[8]r!$F$2</definedName>
    <definedName name="________________l9">[8]r!$F$3</definedName>
    <definedName name="________________mm1">[4]r!$F$4</definedName>
    <definedName name="________________mm11">[8]r!$F$4</definedName>
    <definedName name="________________mm111">[9]r!$F$4</definedName>
    <definedName name="________________pc2" localSheetId="2">#REF!</definedName>
    <definedName name="________________pc2" localSheetId="1">#REF!</definedName>
    <definedName name="________________pc2" localSheetId="4">#REF!</definedName>
    <definedName name="________________pc2" localSheetId="6">#REF!</definedName>
    <definedName name="________________pc2" localSheetId="5">#REF!</definedName>
    <definedName name="________________pc2" localSheetId="7">#REF!</definedName>
    <definedName name="________________pc2">#REF!</definedName>
    <definedName name="________________pv2" localSheetId="5">#REF!</definedName>
    <definedName name="________________pv2" localSheetId="7">#REF!</definedName>
    <definedName name="________________pv2">#REF!</definedName>
    <definedName name="________________rr3">[5]v!$A$2:$E$51</definedName>
    <definedName name="________________rrr1">[5]r!$B$1:$I$145</definedName>
    <definedName name="________________ss12">[6]rdamdata!$J$8</definedName>
    <definedName name="________________ss20">[6]rdamdata!$J$7</definedName>
    <definedName name="________________ss40">[6]rdamdata!$J$6</definedName>
    <definedName name="________________var1" localSheetId="2">#REF!</definedName>
    <definedName name="________________var1" localSheetId="1">#REF!</definedName>
    <definedName name="________________var1" localSheetId="4">#REF!</definedName>
    <definedName name="________________var1" localSheetId="6">#REF!</definedName>
    <definedName name="________________var1" localSheetId="5">#REF!</definedName>
    <definedName name="________________var1" localSheetId="7">#REF!</definedName>
    <definedName name="________________var1">#REF!</definedName>
    <definedName name="________________var4" localSheetId="5">#REF!</definedName>
    <definedName name="________________var4" localSheetId="7">#REF!</definedName>
    <definedName name="________________var4">#REF!</definedName>
    <definedName name="_______________bla1">[1]leads!$H$7</definedName>
    <definedName name="_______________can430">40.73</definedName>
    <definedName name="_______________can435">43.3</definedName>
    <definedName name="_______________cur1">[8]r!$F$30</definedName>
    <definedName name="_______________l1">[2]leads!$A$3:$E$108</definedName>
    <definedName name="_______________l12" localSheetId="2">#REF!</definedName>
    <definedName name="_______________l12" localSheetId="1">#REF!</definedName>
    <definedName name="_______________l12" localSheetId="4">#REF!</definedName>
    <definedName name="_______________l12" localSheetId="6">#REF!</definedName>
    <definedName name="_______________l12" localSheetId="5">#REF!</definedName>
    <definedName name="_______________l12" localSheetId="7">#REF!</definedName>
    <definedName name="_______________l12">#REF!</definedName>
    <definedName name="_______________l2">[8]r!$F$29</definedName>
    <definedName name="_______________l3" localSheetId="2">#REF!</definedName>
    <definedName name="_______________l3" localSheetId="1">#REF!</definedName>
    <definedName name="_______________l3" localSheetId="4">#REF!</definedName>
    <definedName name="_______________l3" localSheetId="6">#REF!</definedName>
    <definedName name="_______________l3" localSheetId="5">#REF!</definedName>
    <definedName name="_______________l3" localSheetId="7">#REF!</definedName>
    <definedName name="_______________l3">#REF!</definedName>
    <definedName name="_______________l4">[3]Sheet1!$W$2:$Y$103</definedName>
    <definedName name="_______________l5" localSheetId="2">#REF!</definedName>
    <definedName name="_______________l5" localSheetId="1">#REF!</definedName>
    <definedName name="_______________l5" localSheetId="4">#REF!</definedName>
    <definedName name="_______________l5" localSheetId="6">#REF!</definedName>
    <definedName name="_______________l5" localSheetId="5">#REF!</definedName>
    <definedName name="_______________l5" localSheetId="7">#REF!</definedName>
    <definedName name="_______________l5">#REF!</definedName>
    <definedName name="_______________l6">[8]r!$F$4</definedName>
    <definedName name="_______________l7">[9]r!$F$4</definedName>
    <definedName name="_______________l8">[8]r!$F$2</definedName>
    <definedName name="_______________l9">[8]r!$F$3</definedName>
    <definedName name="_______________mm1">[4]r!$F$4</definedName>
    <definedName name="_______________mm11">[8]r!$F$4</definedName>
    <definedName name="_______________mm111">[9]r!$F$4</definedName>
    <definedName name="_______________pc2" localSheetId="2">#REF!</definedName>
    <definedName name="_______________pc2" localSheetId="1">#REF!</definedName>
    <definedName name="_______________pc2" localSheetId="4">#REF!</definedName>
    <definedName name="_______________pc2" localSheetId="6">#REF!</definedName>
    <definedName name="_______________pc2" localSheetId="5">#REF!</definedName>
    <definedName name="_______________pc2" localSheetId="7">#REF!</definedName>
    <definedName name="_______________pc2">#REF!</definedName>
    <definedName name="_______________pv2" localSheetId="5">#REF!</definedName>
    <definedName name="_______________pv2" localSheetId="7">#REF!</definedName>
    <definedName name="_______________pv2">#REF!</definedName>
    <definedName name="_______________rr3">[5]v!$A$2:$E$51</definedName>
    <definedName name="_______________rrr1">[5]r!$B$1:$I$145</definedName>
    <definedName name="_______________ss12">[6]rdamdata!$J$8</definedName>
    <definedName name="_______________ss20">[6]rdamdata!$J$7</definedName>
    <definedName name="_______________ss40">[6]rdamdata!$J$6</definedName>
    <definedName name="_______________var1" localSheetId="2">#REF!</definedName>
    <definedName name="_______________var1" localSheetId="1">#REF!</definedName>
    <definedName name="_______________var1" localSheetId="4">#REF!</definedName>
    <definedName name="_______________var1" localSheetId="6">#REF!</definedName>
    <definedName name="_______________var1" localSheetId="5">#REF!</definedName>
    <definedName name="_______________var1" localSheetId="7">#REF!</definedName>
    <definedName name="_______________var1">#REF!</definedName>
    <definedName name="_______________var4" localSheetId="5">#REF!</definedName>
    <definedName name="_______________var4" localSheetId="7">#REF!</definedName>
    <definedName name="_______________var4">#REF!</definedName>
    <definedName name="______________bla1">[1]leads!$H$7</definedName>
    <definedName name="______________can430">40.73</definedName>
    <definedName name="______________can435">43.3</definedName>
    <definedName name="______________cur1">[8]r!$F$30</definedName>
    <definedName name="______________IDC2">#N/A</definedName>
    <definedName name="______________IDC21">#N/A</definedName>
    <definedName name="______________IDC22">#N/A</definedName>
    <definedName name="______________IDC3">#N/A</definedName>
    <definedName name="______________imp1" localSheetId="2">#REF!</definedName>
    <definedName name="______________imp1" localSheetId="1">#REF!</definedName>
    <definedName name="______________imp1" localSheetId="4">#REF!</definedName>
    <definedName name="______________imp1" localSheetId="6">#REF!</definedName>
    <definedName name="______________imp1" localSheetId="5">#REF!</definedName>
    <definedName name="______________imp1" localSheetId="7">#REF!</definedName>
    <definedName name="______________imp1">#REF!</definedName>
    <definedName name="______________imp2" localSheetId="2">#REF!</definedName>
    <definedName name="______________imp2" localSheetId="1">#REF!</definedName>
    <definedName name="______________imp2" localSheetId="4">#REF!</definedName>
    <definedName name="______________imp2" localSheetId="6">#REF!</definedName>
    <definedName name="______________imp2" localSheetId="5">#REF!</definedName>
    <definedName name="______________imp2" localSheetId="7">#REF!</definedName>
    <definedName name="______________imp2">#REF!</definedName>
    <definedName name="______________imp3" localSheetId="2">#REF!</definedName>
    <definedName name="______________imp3" localSheetId="1">#REF!</definedName>
    <definedName name="______________imp3" localSheetId="4">#REF!</definedName>
    <definedName name="______________imp3" localSheetId="6">#REF!</definedName>
    <definedName name="______________imp3" localSheetId="5">#REF!</definedName>
    <definedName name="______________imp3" localSheetId="7">#REF!</definedName>
    <definedName name="______________imp3">#REF!</definedName>
    <definedName name="______________imp4" localSheetId="5">#REF!</definedName>
    <definedName name="______________imp4" localSheetId="7">#REF!</definedName>
    <definedName name="______________imp4">#REF!</definedName>
    <definedName name="______________imp5" localSheetId="5">#REF!</definedName>
    <definedName name="______________imp5" localSheetId="7">#REF!</definedName>
    <definedName name="______________imp5">#REF!</definedName>
    <definedName name="______________imp6" localSheetId="5">#REF!</definedName>
    <definedName name="______________imp6" localSheetId="7">#REF!</definedName>
    <definedName name="______________imp6">#REF!</definedName>
    <definedName name="______________l1">[2]leads!$A$3:$E$108</definedName>
    <definedName name="______________l12" localSheetId="2">#REF!</definedName>
    <definedName name="______________l12" localSheetId="1">#REF!</definedName>
    <definedName name="______________l12" localSheetId="4">#REF!</definedName>
    <definedName name="______________l12" localSheetId="6">#REF!</definedName>
    <definedName name="______________l12" localSheetId="5">#REF!</definedName>
    <definedName name="______________l12" localSheetId="7">#REF!</definedName>
    <definedName name="______________l12">#REF!</definedName>
    <definedName name="______________l2">[8]r!$F$29</definedName>
    <definedName name="______________l3" localSheetId="2">#REF!</definedName>
    <definedName name="______________l3" localSheetId="1">#REF!</definedName>
    <definedName name="______________l3" localSheetId="4">#REF!</definedName>
    <definedName name="______________l3" localSheetId="6">#REF!</definedName>
    <definedName name="______________l3" localSheetId="5">#REF!</definedName>
    <definedName name="______________l3" localSheetId="7">#REF!</definedName>
    <definedName name="______________l3">#REF!</definedName>
    <definedName name="______________l4">[3]Sheet1!$W$2:$Y$103</definedName>
    <definedName name="______________l5" localSheetId="2">#REF!</definedName>
    <definedName name="______________l5" localSheetId="1">#REF!</definedName>
    <definedName name="______________l5" localSheetId="4">#REF!</definedName>
    <definedName name="______________l5" localSheetId="6">#REF!</definedName>
    <definedName name="______________l5" localSheetId="5">#REF!</definedName>
    <definedName name="______________l5" localSheetId="7">#REF!</definedName>
    <definedName name="______________l5">#REF!</definedName>
    <definedName name="______________l6">[8]r!$F$4</definedName>
    <definedName name="______________l7">[9]r!$F$4</definedName>
    <definedName name="______________l8">[8]r!$F$2</definedName>
    <definedName name="______________l9">[8]r!$F$3</definedName>
    <definedName name="______________loc1">#N/A</definedName>
    <definedName name="______________mm1">[4]r!$F$4</definedName>
    <definedName name="______________mm11">[8]r!$F$4</definedName>
    <definedName name="______________mm111">[9]r!$F$4</definedName>
    <definedName name="______________pc2" localSheetId="2">#REF!</definedName>
    <definedName name="______________pc2" localSheetId="1">#REF!</definedName>
    <definedName name="______________pc2" localSheetId="4">#REF!</definedName>
    <definedName name="______________pc2" localSheetId="6">#REF!</definedName>
    <definedName name="______________pc2" localSheetId="5">#REF!</definedName>
    <definedName name="______________pc2" localSheetId="7">#REF!</definedName>
    <definedName name="______________pc2">#REF!</definedName>
    <definedName name="______________pv2" localSheetId="5">#REF!</definedName>
    <definedName name="______________pv2" localSheetId="7">#REF!</definedName>
    <definedName name="______________pv2">#REF!</definedName>
    <definedName name="______________rr3">[5]v!$A$2:$E$51</definedName>
    <definedName name="______________rrr1">[5]r!$B$1:$I$145</definedName>
    <definedName name="______________ss12">[6]rdamdata!$J$8</definedName>
    <definedName name="______________ss20">[6]rdamdata!$J$7</definedName>
    <definedName name="______________ss40">[6]rdamdata!$J$6</definedName>
    <definedName name="______________var1" localSheetId="2">#REF!</definedName>
    <definedName name="______________var1" localSheetId="1">#REF!</definedName>
    <definedName name="______________var1" localSheetId="4">#REF!</definedName>
    <definedName name="______________var1" localSheetId="6">#REF!</definedName>
    <definedName name="______________var1" localSheetId="5">#REF!</definedName>
    <definedName name="______________var1" localSheetId="7">#REF!</definedName>
    <definedName name="______________var1">#REF!</definedName>
    <definedName name="______________var4" localSheetId="5">#REF!</definedName>
    <definedName name="______________var4" localSheetId="7">#REF!</definedName>
    <definedName name="______________var4">#REF!</definedName>
    <definedName name="_____________bla1">[1]leads!$H$7</definedName>
    <definedName name="_____________can430">40.73</definedName>
    <definedName name="_____________can435">43.3</definedName>
    <definedName name="_____________cur1">[8]r!$F$30</definedName>
    <definedName name="_____________IDC2">#N/A</definedName>
    <definedName name="_____________IDC21">#N/A</definedName>
    <definedName name="_____________IDC22">#N/A</definedName>
    <definedName name="_____________IDC3">#N/A</definedName>
    <definedName name="_____________imp1" localSheetId="2">#REF!</definedName>
    <definedName name="_____________imp1" localSheetId="1">#REF!</definedName>
    <definedName name="_____________imp1" localSheetId="4">#REF!</definedName>
    <definedName name="_____________imp1" localSheetId="6">#REF!</definedName>
    <definedName name="_____________imp1" localSheetId="5">#REF!</definedName>
    <definedName name="_____________imp1" localSheetId="7">#REF!</definedName>
    <definedName name="_____________imp1">#REF!</definedName>
    <definedName name="_____________imp2" localSheetId="2">#REF!</definedName>
    <definedName name="_____________imp2" localSheetId="1">#REF!</definedName>
    <definedName name="_____________imp2" localSheetId="4">#REF!</definedName>
    <definedName name="_____________imp2" localSheetId="6">#REF!</definedName>
    <definedName name="_____________imp2" localSheetId="5">#REF!</definedName>
    <definedName name="_____________imp2" localSheetId="7">#REF!</definedName>
    <definedName name="_____________imp2">#REF!</definedName>
    <definedName name="_____________imp3" localSheetId="2">#REF!</definedName>
    <definedName name="_____________imp3" localSheetId="1">#REF!</definedName>
    <definedName name="_____________imp3" localSheetId="4">#REF!</definedName>
    <definedName name="_____________imp3" localSheetId="6">#REF!</definedName>
    <definedName name="_____________imp3" localSheetId="5">#REF!</definedName>
    <definedName name="_____________imp3" localSheetId="7">#REF!</definedName>
    <definedName name="_____________imp3">#REF!</definedName>
    <definedName name="_____________imp4" localSheetId="5">#REF!</definedName>
    <definedName name="_____________imp4" localSheetId="7">#REF!</definedName>
    <definedName name="_____________imp4">#REF!</definedName>
    <definedName name="_____________imp5" localSheetId="5">#REF!</definedName>
    <definedName name="_____________imp5" localSheetId="7">#REF!</definedName>
    <definedName name="_____________imp5">#REF!</definedName>
    <definedName name="_____________imp6" localSheetId="5">#REF!</definedName>
    <definedName name="_____________imp6" localSheetId="7">#REF!</definedName>
    <definedName name="_____________imp6">#REF!</definedName>
    <definedName name="_____________l1">[2]leads!$A$3:$E$108</definedName>
    <definedName name="_____________l12" localSheetId="2">#REF!</definedName>
    <definedName name="_____________l12" localSheetId="1">#REF!</definedName>
    <definedName name="_____________l12" localSheetId="4">#REF!</definedName>
    <definedName name="_____________l12" localSheetId="6">#REF!</definedName>
    <definedName name="_____________l12" localSheetId="5">#REF!</definedName>
    <definedName name="_____________l12" localSheetId="7">#REF!</definedName>
    <definedName name="_____________l12">#REF!</definedName>
    <definedName name="_____________l2">[8]r!$F$29</definedName>
    <definedName name="_____________l3" localSheetId="2">#REF!</definedName>
    <definedName name="_____________l3" localSheetId="1">#REF!</definedName>
    <definedName name="_____________l3" localSheetId="4">#REF!</definedName>
    <definedName name="_____________l3" localSheetId="6">#REF!</definedName>
    <definedName name="_____________l3" localSheetId="5">#REF!</definedName>
    <definedName name="_____________l3" localSheetId="7">#REF!</definedName>
    <definedName name="_____________l3">#REF!</definedName>
    <definedName name="_____________l4">[3]Sheet1!$W$2:$Y$103</definedName>
    <definedName name="_____________l5" localSheetId="2">#REF!</definedName>
    <definedName name="_____________l5" localSheetId="1">#REF!</definedName>
    <definedName name="_____________l5" localSheetId="4">#REF!</definedName>
    <definedName name="_____________l5" localSheetId="6">#REF!</definedName>
    <definedName name="_____________l5" localSheetId="5">#REF!</definedName>
    <definedName name="_____________l5" localSheetId="7">#REF!</definedName>
    <definedName name="_____________l5">#REF!</definedName>
    <definedName name="_____________l6">[8]r!$F$4</definedName>
    <definedName name="_____________l7">[9]r!$F$4</definedName>
    <definedName name="_____________l8">[8]r!$F$2</definedName>
    <definedName name="_____________l9">[8]r!$F$3</definedName>
    <definedName name="_____________loc1">#N/A</definedName>
    <definedName name="_____________mm1">[4]r!$F$4</definedName>
    <definedName name="_____________mm11">[8]r!$F$4</definedName>
    <definedName name="_____________mm111">[9]r!$F$4</definedName>
    <definedName name="_____________pc2" localSheetId="2">#REF!</definedName>
    <definedName name="_____________pc2" localSheetId="1">#REF!</definedName>
    <definedName name="_____________pc2" localSheetId="4">#REF!</definedName>
    <definedName name="_____________pc2" localSheetId="6">#REF!</definedName>
    <definedName name="_____________pc2" localSheetId="5">#REF!</definedName>
    <definedName name="_____________pc2" localSheetId="7">#REF!</definedName>
    <definedName name="_____________pc2">#REF!</definedName>
    <definedName name="_____________pv2" localSheetId="5">#REF!</definedName>
    <definedName name="_____________pv2" localSheetId="7">#REF!</definedName>
    <definedName name="_____________pv2">#REF!</definedName>
    <definedName name="_____________rr3">[5]v!$A$2:$E$51</definedName>
    <definedName name="_____________rrr1">[5]r!$B$1:$I$145</definedName>
    <definedName name="_____________ss12">[6]rdamdata!$J$8</definedName>
    <definedName name="_____________ss20">[6]rdamdata!$J$7</definedName>
    <definedName name="_____________ss40">[6]rdamdata!$J$6</definedName>
    <definedName name="_____________var1" localSheetId="2">#REF!</definedName>
    <definedName name="_____________var1" localSheetId="1">#REF!</definedName>
    <definedName name="_____________var1" localSheetId="4">#REF!</definedName>
    <definedName name="_____________var1" localSheetId="6">#REF!</definedName>
    <definedName name="_____________var1" localSheetId="5">#REF!</definedName>
    <definedName name="_____________var1" localSheetId="7">#REF!</definedName>
    <definedName name="_____________var1">#REF!</definedName>
    <definedName name="_____________var4" localSheetId="5">#REF!</definedName>
    <definedName name="_____________var4" localSheetId="7">#REF!</definedName>
    <definedName name="_____________var4">#REF!</definedName>
    <definedName name="____________bla1">[1]leads!$H$7</definedName>
    <definedName name="____________can430">40.73</definedName>
    <definedName name="____________can435">43.3</definedName>
    <definedName name="____________cur1">[8]r!$F$30</definedName>
    <definedName name="____________IDC2">#N/A</definedName>
    <definedName name="____________IDC21">#N/A</definedName>
    <definedName name="____________IDC22">#N/A</definedName>
    <definedName name="____________IDC3">#N/A</definedName>
    <definedName name="____________imp1" localSheetId="2">#REF!</definedName>
    <definedName name="____________imp1" localSheetId="1">#REF!</definedName>
    <definedName name="____________imp1" localSheetId="4">#REF!</definedName>
    <definedName name="____________imp1" localSheetId="6">#REF!</definedName>
    <definedName name="____________imp1" localSheetId="5">#REF!</definedName>
    <definedName name="____________imp1" localSheetId="7">#REF!</definedName>
    <definedName name="____________imp1">#REF!</definedName>
    <definedName name="____________imp2" localSheetId="2">#REF!</definedName>
    <definedName name="____________imp2" localSheetId="1">#REF!</definedName>
    <definedName name="____________imp2" localSheetId="4">#REF!</definedName>
    <definedName name="____________imp2" localSheetId="6">#REF!</definedName>
    <definedName name="____________imp2" localSheetId="5">#REF!</definedName>
    <definedName name="____________imp2" localSheetId="7">#REF!</definedName>
    <definedName name="____________imp2">#REF!</definedName>
    <definedName name="____________imp3" localSheetId="2">#REF!</definedName>
    <definedName name="____________imp3" localSheetId="1">#REF!</definedName>
    <definedName name="____________imp3" localSheetId="4">#REF!</definedName>
    <definedName name="____________imp3" localSheetId="6">#REF!</definedName>
    <definedName name="____________imp3" localSheetId="5">#REF!</definedName>
    <definedName name="____________imp3" localSheetId="7">#REF!</definedName>
    <definedName name="____________imp3">#REF!</definedName>
    <definedName name="____________imp4" localSheetId="5">#REF!</definedName>
    <definedName name="____________imp4" localSheetId="7">#REF!</definedName>
    <definedName name="____________imp4">#REF!</definedName>
    <definedName name="____________imp5" localSheetId="5">#REF!</definedName>
    <definedName name="____________imp5" localSheetId="7">#REF!</definedName>
    <definedName name="____________imp5">#REF!</definedName>
    <definedName name="____________imp6" localSheetId="5">#REF!</definedName>
    <definedName name="____________imp6" localSheetId="7">#REF!</definedName>
    <definedName name="____________imp6">#REF!</definedName>
    <definedName name="____________l1">[2]leads!$A$3:$E$108</definedName>
    <definedName name="____________l12" localSheetId="2">#REF!</definedName>
    <definedName name="____________l12" localSheetId="1">#REF!</definedName>
    <definedName name="____________l12" localSheetId="4">#REF!</definedName>
    <definedName name="____________l12" localSheetId="6">#REF!</definedName>
    <definedName name="____________l12" localSheetId="5">#REF!</definedName>
    <definedName name="____________l12" localSheetId="7">#REF!</definedName>
    <definedName name="____________l12">#REF!</definedName>
    <definedName name="____________l2">[8]r!$F$29</definedName>
    <definedName name="____________l3" localSheetId="2">#REF!</definedName>
    <definedName name="____________l3" localSheetId="1">#REF!</definedName>
    <definedName name="____________l3" localSheetId="4">#REF!</definedName>
    <definedName name="____________l3" localSheetId="6">#REF!</definedName>
    <definedName name="____________l3" localSheetId="5">#REF!</definedName>
    <definedName name="____________l3" localSheetId="7">#REF!</definedName>
    <definedName name="____________l3">#REF!</definedName>
    <definedName name="____________l4">[3]Sheet1!$W$2:$Y$103</definedName>
    <definedName name="____________l5" localSheetId="2">#REF!</definedName>
    <definedName name="____________l5" localSheetId="1">#REF!</definedName>
    <definedName name="____________l5" localSheetId="4">#REF!</definedName>
    <definedName name="____________l5" localSheetId="6">#REF!</definedName>
    <definedName name="____________l5" localSheetId="5">#REF!</definedName>
    <definedName name="____________l5" localSheetId="7">#REF!</definedName>
    <definedName name="____________l5">#REF!</definedName>
    <definedName name="____________l6">[8]r!$F$4</definedName>
    <definedName name="____________l7">[9]r!$F$4</definedName>
    <definedName name="____________l8">[8]r!$F$2</definedName>
    <definedName name="____________l9">[8]r!$F$3</definedName>
    <definedName name="____________loc1">#N/A</definedName>
    <definedName name="____________mm1">[4]r!$F$4</definedName>
    <definedName name="____________mm11">[8]r!$F$4</definedName>
    <definedName name="____________mm111">[9]r!$F$4</definedName>
    <definedName name="____________pc2" localSheetId="2">#REF!</definedName>
    <definedName name="____________pc2" localSheetId="1">#REF!</definedName>
    <definedName name="____________pc2" localSheetId="4">#REF!</definedName>
    <definedName name="____________pc2" localSheetId="6">#REF!</definedName>
    <definedName name="____________pc2" localSheetId="5">#REF!</definedName>
    <definedName name="____________pc2" localSheetId="7">#REF!</definedName>
    <definedName name="____________pc2">#REF!</definedName>
    <definedName name="____________pv2" localSheetId="5">#REF!</definedName>
    <definedName name="____________pv2" localSheetId="7">#REF!</definedName>
    <definedName name="____________pv2">#REF!</definedName>
    <definedName name="____________rr3">[5]v!$A$2:$E$51</definedName>
    <definedName name="____________rrr1">[5]r!$B$1:$I$145</definedName>
    <definedName name="____________ss12">[6]rdamdata!$J$8</definedName>
    <definedName name="____________ss20">[6]rdamdata!$J$7</definedName>
    <definedName name="____________ss40">[6]rdamdata!$J$6</definedName>
    <definedName name="____________var1" localSheetId="2">#REF!</definedName>
    <definedName name="____________var1" localSheetId="1">#REF!</definedName>
    <definedName name="____________var1" localSheetId="4">#REF!</definedName>
    <definedName name="____________var1" localSheetId="6">#REF!</definedName>
    <definedName name="____________var1" localSheetId="5">#REF!</definedName>
    <definedName name="____________var1" localSheetId="7">#REF!</definedName>
    <definedName name="____________var1">#REF!</definedName>
    <definedName name="____________var4" localSheetId="5">#REF!</definedName>
    <definedName name="____________var4" localSheetId="7">#REF!</definedName>
    <definedName name="____________var4">#REF!</definedName>
    <definedName name="___________bla1">[22]leads!$H$7</definedName>
    <definedName name="___________can430">40.73</definedName>
    <definedName name="___________can435">43.3</definedName>
    <definedName name="___________cur1">[8]r!$F$30</definedName>
    <definedName name="___________IDC2">#N/A</definedName>
    <definedName name="___________IDC21">#N/A</definedName>
    <definedName name="___________IDC22">#N/A</definedName>
    <definedName name="___________IDC3">#N/A</definedName>
    <definedName name="___________imp1" localSheetId="2">#REF!</definedName>
    <definedName name="___________imp1" localSheetId="1">#REF!</definedName>
    <definedName name="___________imp1" localSheetId="4">#REF!</definedName>
    <definedName name="___________imp1" localSheetId="6">#REF!</definedName>
    <definedName name="___________imp1" localSheetId="5">#REF!</definedName>
    <definedName name="___________imp1" localSheetId="7">#REF!</definedName>
    <definedName name="___________imp1">#REF!</definedName>
    <definedName name="___________imp2" localSheetId="2">#REF!</definedName>
    <definedName name="___________imp2" localSheetId="1">#REF!</definedName>
    <definedName name="___________imp2" localSheetId="4">#REF!</definedName>
    <definedName name="___________imp2" localSheetId="6">#REF!</definedName>
    <definedName name="___________imp2" localSheetId="5">#REF!</definedName>
    <definedName name="___________imp2" localSheetId="7">#REF!</definedName>
    <definedName name="___________imp2">#REF!</definedName>
    <definedName name="___________imp3" localSheetId="2">#REF!</definedName>
    <definedName name="___________imp3" localSheetId="1">#REF!</definedName>
    <definedName name="___________imp3" localSheetId="4">#REF!</definedName>
    <definedName name="___________imp3" localSheetId="6">#REF!</definedName>
    <definedName name="___________imp3" localSheetId="5">#REF!</definedName>
    <definedName name="___________imp3" localSheetId="7">#REF!</definedName>
    <definedName name="___________imp3">#REF!</definedName>
    <definedName name="___________imp4" localSheetId="5">#REF!</definedName>
    <definedName name="___________imp4" localSheetId="7">#REF!</definedName>
    <definedName name="___________imp4">#REF!</definedName>
    <definedName name="___________imp5" localSheetId="5">#REF!</definedName>
    <definedName name="___________imp5" localSheetId="7">#REF!</definedName>
    <definedName name="___________imp5">#REF!</definedName>
    <definedName name="___________imp6" localSheetId="5">#REF!</definedName>
    <definedName name="___________imp6" localSheetId="7">#REF!</definedName>
    <definedName name="___________imp6">#REF!</definedName>
    <definedName name="___________l1">[23]leads!$A$3:$E$108</definedName>
    <definedName name="___________l12" localSheetId="2">#REF!</definedName>
    <definedName name="___________l12" localSheetId="1">#REF!</definedName>
    <definedName name="___________l12" localSheetId="4">#REF!</definedName>
    <definedName name="___________l12" localSheetId="6">#REF!</definedName>
    <definedName name="___________l12" localSheetId="5">#REF!</definedName>
    <definedName name="___________l12" localSheetId="7">#REF!</definedName>
    <definedName name="___________l12">#REF!</definedName>
    <definedName name="___________l2">[8]r!$F$29</definedName>
    <definedName name="___________l3" localSheetId="2">#REF!</definedName>
    <definedName name="___________l3" localSheetId="1">#REF!</definedName>
    <definedName name="___________l3" localSheetId="4">#REF!</definedName>
    <definedName name="___________l3" localSheetId="6">#REF!</definedName>
    <definedName name="___________l3" localSheetId="5">#REF!</definedName>
    <definedName name="___________l3" localSheetId="7">#REF!</definedName>
    <definedName name="___________l3">#REF!</definedName>
    <definedName name="___________l4">[24]Sheet1!$W$2:$Y$103</definedName>
    <definedName name="___________l5" localSheetId="2">#REF!</definedName>
    <definedName name="___________l5" localSheetId="1">#REF!</definedName>
    <definedName name="___________l5" localSheetId="4">#REF!</definedName>
    <definedName name="___________l5" localSheetId="6">#REF!</definedName>
    <definedName name="___________l5" localSheetId="5">#REF!</definedName>
    <definedName name="___________l5" localSheetId="7">#REF!</definedName>
    <definedName name="___________l5">#REF!</definedName>
    <definedName name="___________l6">[8]r!$F$4</definedName>
    <definedName name="___________l7">[9]r!$F$4</definedName>
    <definedName name="___________l8">[8]r!$F$2</definedName>
    <definedName name="___________l9">[8]r!$F$3</definedName>
    <definedName name="___________loc1">#N/A</definedName>
    <definedName name="___________mm1">[25]r!$F$4</definedName>
    <definedName name="___________mm11">[8]r!$F$4</definedName>
    <definedName name="___________mm111">[9]r!$F$4</definedName>
    <definedName name="___________pc2" localSheetId="2">#REF!</definedName>
    <definedName name="___________pc2" localSheetId="1">#REF!</definedName>
    <definedName name="___________pc2" localSheetId="4">#REF!</definedName>
    <definedName name="___________pc2" localSheetId="6">#REF!</definedName>
    <definedName name="___________pc2" localSheetId="5">#REF!</definedName>
    <definedName name="___________pc2" localSheetId="7">#REF!</definedName>
    <definedName name="___________pc2">#REF!</definedName>
    <definedName name="___________pv2" localSheetId="5">#REF!</definedName>
    <definedName name="___________pv2" localSheetId="7">#REF!</definedName>
    <definedName name="___________pv2">#REF!</definedName>
    <definedName name="___________rr3">[26]v!$A$2:$E$51</definedName>
    <definedName name="___________rrr1">[26]r!$B$1:$I$145</definedName>
    <definedName name="___________ss12">[27]rdamdata!$J$8</definedName>
    <definedName name="___________ss20">[27]rdamdata!$J$7</definedName>
    <definedName name="___________ss40">[27]rdamdata!$J$6</definedName>
    <definedName name="___________var1" localSheetId="2">#REF!</definedName>
    <definedName name="___________var1" localSheetId="1">#REF!</definedName>
    <definedName name="___________var1" localSheetId="4">#REF!</definedName>
    <definedName name="___________var1" localSheetId="6">#REF!</definedName>
    <definedName name="___________var1" localSheetId="5">#REF!</definedName>
    <definedName name="___________var1" localSheetId="7">#REF!</definedName>
    <definedName name="___________var1">#REF!</definedName>
    <definedName name="___________var4" localSheetId="5">#REF!</definedName>
    <definedName name="___________var4" localSheetId="7">#REF!</definedName>
    <definedName name="___________var4">#REF!</definedName>
    <definedName name="__________bla1">[28]leads!$H$7</definedName>
    <definedName name="__________can430">40.73</definedName>
    <definedName name="__________can435">43.3</definedName>
    <definedName name="__________cur1">[8]r!$F$30</definedName>
    <definedName name="__________IDC2">#N/A</definedName>
    <definedName name="__________IDC21">#N/A</definedName>
    <definedName name="__________IDC22">#N/A</definedName>
    <definedName name="__________IDC3">#N/A</definedName>
    <definedName name="__________imp1" localSheetId="2">#REF!</definedName>
    <definedName name="__________imp1" localSheetId="1">#REF!</definedName>
    <definedName name="__________imp1" localSheetId="4">#REF!</definedName>
    <definedName name="__________imp1" localSheetId="6">#REF!</definedName>
    <definedName name="__________imp1" localSheetId="5">#REF!</definedName>
    <definedName name="__________imp1" localSheetId="7">#REF!</definedName>
    <definedName name="__________imp1">#REF!</definedName>
    <definedName name="__________imp2" localSheetId="2">#REF!</definedName>
    <definedName name="__________imp2" localSheetId="1">#REF!</definedName>
    <definedName name="__________imp2" localSheetId="4">#REF!</definedName>
    <definedName name="__________imp2" localSheetId="6">#REF!</definedName>
    <definedName name="__________imp2" localSheetId="5">#REF!</definedName>
    <definedName name="__________imp2" localSheetId="7">#REF!</definedName>
    <definedName name="__________imp2">#REF!</definedName>
    <definedName name="__________imp3" localSheetId="2">#REF!</definedName>
    <definedName name="__________imp3" localSheetId="1">#REF!</definedName>
    <definedName name="__________imp3" localSheetId="4">#REF!</definedName>
    <definedName name="__________imp3" localSheetId="6">#REF!</definedName>
    <definedName name="__________imp3" localSheetId="5">#REF!</definedName>
    <definedName name="__________imp3" localSheetId="7">#REF!</definedName>
    <definedName name="__________imp3">#REF!</definedName>
    <definedName name="__________imp4" localSheetId="5">#REF!</definedName>
    <definedName name="__________imp4" localSheetId="7">#REF!</definedName>
    <definedName name="__________imp4">#REF!</definedName>
    <definedName name="__________imp5" localSheetId="5">#REF!</definedName>
    <definedName name="__________imp5" localSheetId="7">#REF!</definedName>
    <definedName name="__________imp5">#REF!</definedName>
    <definedName name="__________imp6" localSheetId="5">#REF!</definedName>
    <definedName name="__________imp6" localSheetId="7">#REF!</definedName>
    <definedName name="__________imp6">#REF!</definedName>
    <definedName name="__________l1">[29]leads!$A$3:$E$108</definedName>
    <definedName name="__________l12" localSheetId="2">#REF!</definedName>
    <definedName name="__________l12" localSheetId="1">#REF!</definedName>
    <definedName name="__________l12" localSheetId="4">#REF!</definedName>
    <definedName name="__________l12" localSheetId="6">#REF!</definedName>
    <definedName name="__________l12" localSheetId="5">#REF!</definedName>
    <definedName name="__________l12" localSheetId="7">#REF!</definedName>
    <definedName name="__________l12">#REF!</definedName>
    <definedName name="__________l2">[8]r!$F$29</definedName>
    <definedName name="__________l3" localSheetId="2">#REF!</definedName>
    <definedName name="__________l3" localSheetId="1">#REF!</definedName>
    <definedName name="__________l3" localSheetId="4">#REF!</definedName>
    <definedName name="__________l3" localSheetId="6">#REF!</definedName>
    <definedName name="__________l3" localSheetId="5">#REF!</definedName>
    <definedName name="__________l3" localSheetId="7">#REF!</definedName>
    <definedName name="__________l3">#REF!</definedName>
    <definedName name="__________l4">[30]Sheet1!$W$2:$Y$103</definedName>
    <definedName name="__________l5" localSheetId="2">#REF!</definedName>
    <definedName name="__________l5" localSheetId="1">#REF!</definedName>
    <definedName name="__________l5" localSheetId="4">#REF!</definedName>
    <definedName name="__________l5" localSheetId="6">#REF!</definedName>
    <definedName name="__________l5" localSheetId="5">#REF!</definedName>
    <definedName name="__________l5" localSheetId="7">#REF!</definedName>
    <definedName name="__________l5">#REF!</definedName>
    <definedName name="__________l6">[8]r!$F$4</definedName>
    <definedName name="__________l7">[9]r!$F$4</definedName>
    <definedName name="__________l8">[8]r!$F$2</definedName>
    <definedName name="__________l9">[8]r!$F$3</definedName>
    <definedName name="__________loc1">#N/A</definedName>
    <definedName name="__________mm1">[31]r!$F$4</definedName>
    <definedName name="__________mm11">[8]r!$F$4</definedName>
    <definedName name="__________mm111">[9]r!$F$4</definedName>
    <definedName name="__________pc2" localSheetId="2">#REF!</definedName>
    <definedName name="__________pc2" localSheetId="1">#REF!</definedName>
    <definedName name="__________pc2" localSheetId="4">#REF!</definedName>
    <definedName name="__________pc2" localSheetId="6">#REF!</definedName>
    <definedName name="__________pc2" localSheetId="5">#REF!</definedName>
    <definedName name="__________pc2" localSheetId="7">#REF!</definedName>
    <definedName name="__________pc2">#REF!</definedName>
    <definedName name="__________pv2" localSheetId="5">#REF!</definedName>
    <definedName name="__________pv2" localSheetId="7">#REF!</definedName>
    <definedName name="__________pv2">#REF!</definedName>
    <definedName name="__________rr3">[32]v!$A$2:$E$51</definedName>
    <definedName name="__________rrr1">[32]r!$B$1:$I$145</definedName>
    <definedName name="__________ss12">[33]rdamdata!$J$8</definedName>
    <definedName name="__________ss20">[33]rdamdata!$J$7</definedName>
    <definedName name="__________ss40">[33]rdamdata!$J$6</definedName>
    <definedName name="__________var1" localSheetId="2">#REF!</definedName>
    <definedName name="__________var1" localSheetId="1">#REF!</definedName>
    <definedName name="__________var1" localSheetId="4">#REF!</definedName>
    <definedName name="__________var1" localSheetId="6">#REF!</definedName>
    <definedName name="__________var1" localSheetId="5">#REF!</definedName>
    <definedName name="__________var1" localSheetId="7">#REF!</definedName>
    <definedName name="__________var1">#REF!</definedName>
    <definedName name="__________var4" localSheetId="5">#REF!</definedName>
    <definedName name="__________var4" localSheetId="7">#REF!</definedName>
    <definedName name="__________var4">#REF!</definedName>
    <definedName name="_________bla1">[34]leads!$H$7</definedName>
    <definedName name="_________can430">40.73</definedName>
    <definedName name="_________can435">43.3</definedName>
    <definedName name="_________con1">[35]ssr20506!$D$81</definedName>
    <definedName name="_________cur1">[8]r!$F$30</definedName>
    <definedName name="_________IDC2">#N/A</definedName>
    <definedName name="_________IDC21">#N/A</definedName>
    <definedName name="_________IDC22">#N/A</definedName>
    <definedName name="_________IDC3">#N/A</definedName>
    <definedName name="_________imp1" localSheetId="2">#REF!</definedName>
    <definedName name="_________imp1" localSheetId="1">#REF!</definedName>
    <definedName name="_________imp1" localSheetId="4">#REF!</definedName>
    <definedName name="_________imp1" localSheetId="6">#REF!</definedName>
    <definedName name="_________imp1" localSheetId="5">#REF!</definedName>
    <definedName name="_________imp1" localSheetId="7">#REF!</definedName>
    <definedName name="_________imp1">#REF!</definedName>
    <definedName name="_________imp2" localSheetId="2">#REF!</definedName>
    <definedName name="_________imp2" localSheetId="1">#REF!</definedName>
    <definedName name="_________imp2" localSheetId="4">#REF!</definedName>
    <definedName name="_________imp2" localSheetId="6">#REF!</definedName>
    <definedName name="_________imp2" localSheetId="5">#REF!</definedName>
    <definedName name="_________imp2" localSheetId="7">#REF!</definedName>
    <definedName name="_________imp2">#REF!</definedName>
    <definedName name="_________imp3" localSheetId="2">#REF!</definedName>
    <definedName name="_________imp3" localSheetId="1">#REF!</definedName>
    <definedName name="_________imp3" localSheetId="4">#REF!</definedName>
    <definedName name="_________imp3" localSheetId="6">#REF!</definedName>
    <definedName name="_________imp3" localSheetId="5">#REF!</definedName>
    <definedName name="_________imp3" localSheetId="7">#REF!</definedName>
    <definedName name="_________imp3">#REF!</definedName>
    <definedName name="_________imp4" localSheetId="5">#REF!</definedName>
    <definedName name="_________imp4" localSheetId="7">#REF!</definedName>
    <definedName name="_________imp4">#REF!</definedName>
    <definedName name="_________imp5" localSheetId="5">#REF!</definedName>
    <definedName name="_________imp5" localSheetId="7">#REF!</definedName>
    <definedName name="_________imp5">#REF!</definedName>
    <definedName name="_________imp6" localSheetId="5">#REF!</definedName>
    <definedName name="_________imp6" localSheetId="7">#REF!</definedName>
    <definedName name="_________imp6">#REF!</definedName>
    <definedName name="_________l1">[36]leads!$A$3:$E$108</definedName>
    <definedName name="_________l12" localSheetId="2">#REF!</definedName>
    <definedName name="_________l12" localSheetId="1">#REF!</definedName>
    <definedName name="_________l12" localSheetId="4">#REF!</definedName>
    <definedName name="_________l12" localSheetId="6">#REF!</definedName>
    <definedName name="_________l12" localSheetId="5">#REF!</definedName>
    <definedName name="_________l12" localSheetId="7">#REF!</definedName>
    <definedName name="_________l12">#REF!</definedName>
    <definedName name="_________l2">[8]r!$F$29</definedName>
    <definedName name="_________l3" localSheetId="2">#REF!</definedName>
    <definedName name="_________l3" localSheetId="1">#REF!</definedName>
    <definedName name="_________l3" localSheetId="4">#REF!</definedName>
    <definedName name="_________l3" localSheetId="6">#REF!</definedName>
    <definedName name="_________l3" localSheetId="5">#REF!</definedName>
    <definedName name="_________l3" localSheetId="7">#REF!</definedName>
    <definedName name="_________l3">#REF!</definedName>
    <definedName name="_________l4">[37]Sheet1!$W$2:$Y$103</definedName>
    <definedName name="_________l5" localSheetId="2">#REF!</definedName>
    <definedName name="_________l5" localSheetId="1">#REF!</definedName>
    <definedName name="_________l5" localSheetId="4">#REF!</definedName>
    <definedName name="_________l5" localSheetId="6">#REF!</definedName>
    <definedName name="_________l5" localSheetId="5">#REF!</definedName>
    <definedName name="_________l5" localSheetId="7">#REF!</definedName>
    <definedName name="_________l5">#REF!</definedName>
    <definedName name="_________l6">[8]r!$F$4</definedName>
    <definedName name="_________l7">[9]r!$F$4</definedName>
    <definedName name="_________l8">[8]r!$F$2</definedName>
    <definedName name="_________l9">[8]r!$F$3</definedName>
    <definedName name="_________loc1">#N/A</definedName>
    <definedName name="_________mm1">[38]r!$F$4</definedName>
    <definedName name="_________mm11">[8]r!$F$4</definedName>
    <definedName name="_________mm111">[9]r!$F$4</definedName>
    <definedName name="_________pc2" localSheetId="2">#REF!</definedName>
    <definedName name="_________pc2" localSheetId="1">#REF!</definedName>
    <definedName name="_________pc2" localSheetId="4">#REF!</definedName>
    <definedName name="_________pc2" localSheetId="6">#REF!</definedName>
    <definedName name="_________pc2" localSheetId="5">#REF!</definedName>
    <definedName name="_________pc2" localSheetId="7">#REF!</definedName>
    <definedName name="_________pc2">#REF!</definedName>
    <definedName name="_________pv2" localSheetId="5">#REF!</definedName>
    <definedName name="_________pv2" localSheetId="7">#REF!</definedName>
    <definedName name="_________pv2">#REF!</definedName>
    <definedName name="_________rr3">[39]v!$A$2:$E$51</definedName>
    <definedName name="_________rrr1">[39]r!$B$1:$I$145</definedName>
    <definedName name="_________ss12">[40]rdamdata!$J$8</definedName>
    <definedName name="_________ss20">[40]rdamdata!$J$7</definedName>
    <definedName name="_________ss40">[40]rdamdata!$J$6</definedName>
    <definedName name="_________var1" localSheetId="2">#REF!</definedName>
    <definedName name="_________var1" localSheetId="1">#REF!</definedName>
    <definedName name="_________var1" localSheetId="4">#REF!</definedName>
    <definedName name="_________var1" localSheetId="6">#REF!</definedName>
    <definedName name="_________var1" localSheetId="5">#REF!</definedName>
    <definedName name="_________var1" localSheetId="7">#REF!</definedName>
    <definedName name="_________var1">#REF!</definedName>
    <definedName name="_________var4" localSheetId="5">#REF!</definedName>
    <definedName name="_________var4" localSheetId="7">#REF!</definedName>
    <definedName name="_________var4">#REF!</definedName>
    <definedName name="________bla1">[1]leads!$H$7</definedName>
    <definedName name="________can430">40.73</definedName>
    <definedName name="________can435">43.3</definedName>
    <definedName name="________con1" localSheetId="0">[35]ssr20506!$D$81</definedName>
    <definedName name="________con1">[41]ssr20506!$D$81</definedName>
    <definedName name="________cur1">[8]r!$F$30</definedName>
    <definedName name="________hdr1">[42]E!$I$14</definedName>
    <definedName name="________hdr2">#REF!</definedName>
    <definedName name="________IDC2">#N/A</definedName>
    <definedName name="________IDC21">#N/A</definedName>
    <definedName name="________IDC22">#N/A</definedName>
    <definedName name="________IDC3">#N/A</definedName>
    <definedName name="________imp1" localSheetId="2">#REF!</definedName>
    <definedName name="________imp1" localSheetId="1">#REF!</definedName>
    <definedName name="________imp1" localSheetId="4">#REF!</definedName>
    <definedName name="________imp1" localSheetId="6">#REF!</definedName>
    <definedName name="________imp1" localSheetId="5">#REF!</definedName>
    <definedName name="________imp1" localSheetId="7">#REF!</definedName>
    <definedName name="________imp1">#REF!</definedName>
    <definedName name="________imp2" localSheetId="2">#REF!</definedName>
    <definedName name="________imp2" localSheetId="1">#REF!</definedName>
    <definedName name="________imp2" localSheetId="4">#REF!</definedName>
    <definedName name="________imp2" localSheetId="6">#REF!</definedName>
    <definedName name="________imp2" localSheetId="5">#REF!</definedName>
    <definedName name="________imp2" localSheetId="7">#REF!</definedName>
    <definedName name="________imp2">#REF!</definedName>
    <definedName name="________imp3" localSheetId="2">#REF!</definedName>
    <definedName name="________imp3" localSheetId="1">#REF!</definedName>
    <definedName name="________imp3" localSheetId="4">#REF!</definedName>
    <definedName name="________imp3" localSheetId="6">#REF!</definedName>
    <definedName name="________imp3" localSheetId="5">#REF!</definedName>
    <definedName name="________imp3" localSheetId="7">#REF!</definedName>
    <definedName name="________imp3">#REF!</definedName>
    <definedName name="________imp4" localSheetId="5">#REF!</definedName>
    <definedName name="________imp4" localSheetId="7">#REF!</definedName>
    <definedName name="________imp4">#REF!</definedName>
    <definedName name="________imp5" localSheetId="5">#REF!</definedName>
    <definedName name="________imp5" localSheetId="7">#REF!</definedName>
    <definedName name="________imp5">#REF!</definedName>
    <definedName name="________imp6" localSheetId="5">#REF!</definedName>
    <definedName name="________imp6" localSheetId="7">#REF!</definedName>
    <definedName name="________imp6">#REF!</definedName>
    <definedName name="________IRC12">[7]Sheet1!$F$9</definedName>
    <definedName name="________IRC19">[7]Sheet1!$F$10</definedName>
    <definedName name="________IRC25">[7]Sheet1!$F$11</definedName>
    <definedName name="________IRC40">[7]Sheet1!$F$12</definedName>
    <definedName name="________IRC5">[7]Sheet1!$F$7</definedName>
    <definedName name="________IRC9">[7]Sheet1!$F$8</definedName>
    <definedName name="________l1">[2]leads!$A$3:$E$108</definedName>
    <definedName name="________l12" localSheetId="2">#REF!</definedName>
    <definedName name="________l12" localSheetId="1">#REF!</definedName>
    <definedName name="________l12" localSheetId="4">#REF!</definedName>
    <definedName name="________l12" localSheetId="6">#REF!</definedName>
    <definedName name="________l12" localSheetId="5">#REF!</definedName>
    <definedName name="________l12" localSheetId="7">#REF!</definedName>
    <definedName name="________l12">#REF!</definedName>
    <definedName name="________l2">[8]r!$F$29</definedName>
    <definedName name="________l3" localSheetId="2">#REF!</definedName>
    <definedName name="________l3" localSheetId="1">#REF!</definedName>
    <definedName name="________l3" localSheetId="4">#REF!</definedName>
    <definedName name="________l3" localSheetId="6">#REF!</definedName>
    <definedName name="________l3" localSheetId="5">#REF!</definedName>
    <definedName name="________l3" localSheetId="7">#REF!</definedName>
    <definedName name="________l3">#REF!</definedName>
    <definedName name="________l4">[3]Sheet1!$W$2:$Y$103</definedName>
    <definedName name="________l5" localSheetId="2">#REF!</definedName>
    <definedName name="________l5" localSheetId="1">#REF!</definedName>
    <definedName name="________l5" localSheetId="4">#REF!</definedName>
    <definedName name="________l5" localSheetId="6">#REF!</definedName>
    <definedName name="________l5" localSheetId="5">#REF!</definedName>
    <definedName name="________l5" localSheetId="7">#REF!</definedName>
    <definedName name="________l5">#REF!</definedName>
    <definedName name="________l6">[8]r!$F$4</definedName>
    <definedName name="________l7">[9]r!$F$4</definedName>
    <definedName name="________l8">[8]r!$F$2</definedName>
    <definedName name="________l9">[8]r!$F$3</definedName>
    <definedName name="________loc1">#N/A</definedName>
    <definedName name="________mm1">[4]r!$F$4</definedName>
    <definedName name="________mm11">[8]r!$F$4</definedName>
    <definedName name="________mm111">[9]r!$F$4</definedName>
    <definedName name="________MS6">[43]MRATES!$T$17</definedName>
    <definedName name="________OH1">[43]MRATES!$T$26</definedName>
    <definedName name="________pc2" localSheetId="2">#REF!</definedName>
    <definedName name="________pc2" localSheetId="1">#REF!</definedName>
    <definedName name="________pc2" localSheetId="4">#REF!</definedName>
    <definedName name="________pc2" localSheetId="6">#REF!</definedName>
    <definedName name="________pc2" localSheetId="5">#REF!</definedName>
    <definedName name="________pc2" localSheetId="7">#REF!</definedName>
    <definedName name="________pc2">#REF!</definedName>
    <definedName name="________pv2" localSheetId="5">#REF!</definedName>
    <definedName name="________pv2" localSheetId="7">#REF!</definedName>
    <definedName name="________pv2">#REF!</definedName>
    <definedName name="________QS25">[7]Sheet1!$I$15</definedName>
    <definedName name="________QS40">[7]Sheet1!$I$16</definedName>
    <definedName name="________rr3">[5]v!$A$2:$E$51</definedName>
    <definedName name="________rrr1">[5]r!$B$1:$I$145</definedName>
    <definedName name="________SS10">[7]Sheet1!$C$7</definedName>
    <definedName name="________ss12">[6]rdamdata!$J$8</definedName>
    <definedName name="________SS150">[7]Sheet1!$I$12</definedName>
    <definedName name="________ss20">[6]rdamdata!$J$7</definedName>
    <definedName name="________SS300">[7]Sheet1!$I$14</definedName>
    <definedName name="________ss40">[6]rdamdata!$J$6</definedName>
    <definedName name="________var1" localSheetId="2">#REF!</definedName>
    <definedName name="________var1" localSheetId="1">#REF!</definedName>
    <definedName name="________var1" localSheetId="4">#REF!</definedName>
    <definedName name="________var1" localSheetId="6">#REF!</definedName>
    <definedName name="________var1" localSheetId="5">#REF!</definedName>
    <definedName name="________var1" localSheetId="7">#REF!</definedName>
    <definedName name="________var1">#REF!</definedName>
    <definedName name="________var4" localSheetId="5">#REF!</definedName>
    <definedName name="________var4" localSheetId="7">#REF!</definedName>
    <definedName name="________var4">#REF!</definedName>
    <definedName name="_______bla1">[34]leads!$H$7</definedName>
    <definedName name="_______can430">40.73</definedName>
    <definedName name="_______can435">43.3</definedName>
    <definedName name="_______con1" localSheetId="0">[44]ssr20506!$D$81</definedName>
    <definedName name="_______con1">[41]ssr20506!$D$81</definedName>
    <definedName name="_______cur1">[8]r!$F$30</definedName>
    <definedName name="_______hdr1">[42]E!$I$14</definedName>
    <definedName name="_______hdr2">#REF!</definedName>
    <definedName name="_______IDC2">#N/A</definedName>
    <definedName name="_______IDC21">#N/A</definedName>
    <definedName name="_______IDC22">#N/A</definedName>
    <definedName name="_______IDC3">#N/A</definedName>
    <definedName name="_______imp1" localSheetId="2">#REF!</definedName>
    <definedName name="_______imp1" localSheetId="1">#REF!</definedName>
    <definedName name="_______imp1" localSheetId="4">#REF!</definedName>
    <definedName name="_______imp1" localSheetId="6">#REF!</definedName>
    <definedName name="_______imp1" localSheetId="5">#REF!</definedName>
    <definedName name="_______imp1" localSheetId="7">#REF!</definedName>
    <definedName name="_______imp1">#REF!</definedName>
    <definedName name="_______imp2" localSheetId="2">#REF!</definedName>
    <definedName name="_______imp2" localSheetId="1">#REF!</definedName>
    <definedName name="_______imp2" localSheetId="4">#REF!</definedName>
    <definedName name="_______imp2" localSheetId="6">#REF!</definedName>
    <definedName name="_______imp2" localSheetId="5">#REF!</definedName>
    <definedName name="_______imp2" localSheetId="7">#REF!</definedName>
    <definedName name="_______imp2">#REF!</definedName>
    <definedName name="_______imp3" localSheetId="2">#REF!</definedName>
    <definedName name="_______imp3" localSheetId="1">#REF!</definedName>
    <definedName name="_______imp3" localSheetId="4">#REF!</definedName>
    <definedName name="_______imp3" localSheetId="6">#REF!</definedName>
    <definedName name="_______imp3" localSheetId="5">#REF!</definedName>
    <definedName name="_______imp3" localSheetId="7">#REF!</definedName>
    <definedName name="_______imp3">#REF!</definedName>
    <definedName name="_______imp4" localSheetId="5">#REF!</definedName>
    <definedName name="_______imp4" localSheetId="7">#REF!</definedName>
    <definedName name="_______imp4">#REF!</definedName>
    <definedName name="_______imp5" localSheetId="5">#REF!</definedName>
    <definedName name="_______imp5" localSheetId="7">#REF!</definedName>
    <definedName name="_______imp5">#REF!</definedName>
    <definedName name="_______imp6" localSheetId="5">#REF!</definedName>
    <definedName name="_______imp6" localSheetId="7">#REF!</definedName>
    <definedName name="_______imp6">#REF!</definedName>
    <definedName name="_______IRC12">[7]Sheet1!$F$9</definedName>
    <definedName name="_______IRC19">[7]Sheet1!$F$10</definedName>
    <definedName name="_______IRC25">[7]Sheet1!$F$11</definedName>
    <definedName name="_______IRC40">[7]Sheet1!$F$12</definedName>
    <definedName name="_______IRC5">[7]Sheet1!$F$7</definedName>
    <definedName name="_______IRC9">[7]Sheet1!$F$8</definedName>
    <definedName name="_______l1">[36]leads!$A$3:$E$108</definedName>
    <definedName name="_______l12" localSheetId="2">#REF!</definedName>
    <definedName name="_______l12" localSheetId="1">#REF!</definedName>
    <definedName name="_______l12" localSheetId="4">#REF!</definedName>
    <definedName name="_______l12" localSheetId="6">#REF!</definedName>
    <definedName name="_______l12" localSheetId="5">#REF!</definedName>
    <definedName name="_______l12" localSheetId="7">#REF!</definedName>
    <definedName name="_______l12">#REF!</definedName>
    <definedName name="_______l2">[8]r!$F$29</definedName>
    <definedName name="_______l3" localSheetId="2">#REF!</definedName>
    <definedName name="_______l3" localSheetId="1">#REF!</definedName>
    <definedName name="_______l3" localSheetId="4">#REF!</definedName>
    <definedName name="_______l3" localSheetId="6">#REF!</definedName>
    <definedName name="_______l3" localSheetId="5">#REF!</definedName>
    <definedName name="_______l3" localSheetId="7">#REF!</definedName>
    <definedName name="_______l3">#REF!</definedName>
    <definedName name="_______l4">[37]Sheet1!$W$2:$Y$103</definedName>
    <definedName name="_______l5" localSheetId="2">#REF!</definedName>
    <definedName name="_______l5" localSheetId="1">#REF!</definedName>
    <definedName name="_______l5" localSheetId="4">#REF!</definedName>
    <definedName name="_______l5" localSheetId="6">#REF!</definedName>
    <definedName name="_______l5" localSheetId="5">#REF!</definedName>
    <definedName name="_______l5" localSheetId="7">#REF!</definedName>
    <definedName name="_______l5">#REF!</definedName>
    <definedName name="_______l6">[8]r!$F$4</definedName>
    <definedName name="_______l7">[9]r!$F$4</definedName>
    <definedName name="_______l8">[8]r!$F$2</definedName>
    <definedName name="_______l9">[8]r!$F$3</definedName>
    <definedName name="_______loc1">#N/A</definedName>
    <definedName name="_______mm1">[38]r!$F$4</definedName>
    <definedName name="_______mm11">[8]r!$F$4</definedName>
    <definedName name="_______mm111">[9]r!$F$4</definedName>
    <definedName name="_______mm2">#REF!</definedName>
    <definedName name="_______mm3">#REF!</definedName>
    <definedName name="_______MS6">[43]MRATES!$T$17</definedName>
    <definedName name="_______OH1">[43]MRATES!$T$26</definedName>
    <definedName name="_______pc2" localSheetId="2">#REF!</definedName>
    <definedName name="_______pc2" localSheetId="1">#REF!</definedName>
    <definedName name="_______pc2" localSheetId="4">#REF!</definedName>
    <definedName name="_______pc2" localSheetId="6">#REF!</definedName>
    <definedName name="_______pc2" localSheetId="5">#REF!</definedName>
    <definedName name="_______pc2" localSheetId="7">#REF!</definedName>
    <definedName name="_______pc2">#REF!</definedName>
    <definedName name="_______pv2" localSheetId="5">#REF!</definedName>
    <definedName name="_______pv2" localSheetId="7">#REF!</definedName>
    <definedName name="_______pv2">#REF!</definedName>
    <definedName name="_______QS25">[7]Sheet1!$I$15</definedName>
    <definedName name="_______QS40">[7]Sheet1!$I$16</definedName>
    <definedName name="_______rr3">[39]v!$A$2:$E$51</definedName>
    <definedName name="_______rrr1">[39]r!$B$1:$I$145</definedName>
    <definedName name="_______SS10">[7]Sheet1!$C$7</definedName>
    <definedName name="_______ss12">[40]rdamdata!$J$8</definedName>
    <definedName name="_______SS150">[7]Sheet1!$I$12</definedName>
    <definedName name="_______ss20">[40]rdamdata!$J$7</definedName>
    <definedName name="_______SS300">[7]Sheet1!$I$14</definedName>
    <definedName name="_______ss40">[40]rdamdata!$J$6</definedName>
    <definedName name="_______var1" localSheetId="2">#REF!</definedName>
    <definedName name="_______var1" localSheetId="1">#REF!</definedName>
    <definedName name="_______var1" localSheetId="4">#REF!</definedName>
    <definedName name="_______var1" localSheetId="6">#REF!</definedName>
    <definedName name="_______var1" localSheetId="5">#REF!</definedName>
    <definedName name="_______var1" localSheetId="7">#REF!</definedName>
    <definedName name="_______var1">#REF!</definedName>
    <definedName name="_______var4" localSheetId="5">#REF!</definedName>
    <definedName name="_______var4" localSheetId="7">#REF!</definedName>
    <definedName name="_______var4">#REF!</definedName>
    <definedName name="______bla1">[45]leads!$H$7</definedName>
    <definedName name="______can430">40.73</definedName>
    <definedName name="______can435">43.3</definedName>
    <definedName name="______con1" localSheetId="0">[35]ssr20506!$D$81</definedName>
    <definedName name="______con1">[41]ssr20506!$D$81</definedName>
    <definedName name="______cur1">[8]r!$F$30</definedName>
    <definedName name="______hdr1">[42]E!$I$14</definedName>
    <definedName name="______hdr2">#REF!</definedName>
    <definedName name="______IDC2">#N/A</definedName>
    <definedName name="______IDC21">#N/A</definedName>
    <definedName name="______IDC22">#N/A</definedName>
    <definedName name="______IDC3">#N/A</definedName>
    <definedName name="______imp1" localSheetId="2">#REF!</definedName>
    <definedName name="______imp1" localSheetId="1">#REF!</definedName>
    <definedName name="______imp1" localSheetId="4">#REF!</definedName>
    <definedName name="______imp1" localSheetId="6">#REF!</definedName>
    <definedName name="______imp1" localSheetId="5">#REF!</definedName>
    <definedName name="______imp1" localSheetId="7">#REF!</definedName>
    <definedName name="______imp1">#REF!</definedName>
    <definedName name="______imp2" localSheetId="2">#REF!</definedName>
    <definedName name="______imp2" localSheetId="1">#REF!</definedName>
    <definedName name="______imp2" localSheetId="4">#REF!</definedName>
    <definedName name="______imp2" localSheetId="6">#REF!</definedName>
    <definedName name="______imp2" localSheetId="5">#REF!</definedName>
    <definedName name="______imp2" localSheetId="7">#REF!</definedName>
    <definedName name="______imp2">#REF!</definedName>
    <definedName name="______imp3" localSheetId="2">#REF!</definedName>
    <definedName name="______imp3" localSheetId="1">#REF!</definedName>
    <definedName name="______imp3" localSheetId="4">#REF!</definedName>
    <definedName name="______imp3" localSheetId="6">#REF!</definedName>
    <definedName name="______imp3" localSheetId="5">#REF!</definedName>
    <definedName name="______imp3" localSheetId="7">#REF!</definedName>
    <definedName name="______imp3">#REF!</definedName>
    <definedName name="______imp4" localSheetId="5">#REF!</definedName>
    <definedName name="______imp4" localSheetId="7">#REF!</definedName>
    <definedName name="______imp4">#REF!</definedName>
    <definedName name="______imp5" localSheetId="5">#REF!</definedName>
    <definedName name="______imp5" localSheetId="7">#REF!</definedName>
    <definedName name="______imp5">#REF!</definedName>
    <definedName name="______imp6" localSheetId="5">#REF!</definedName>
    <definedName name="______imp6" localSheetId="7">#REF!</definedName>
    <definedName name="______imp6">#REF!</definedName>
    <definedName name="______IRC12">[7]Sheet1!$F$9</definedName>
    <definedName name="______IRC19">[7]Sheet1!$F$10</definedName>
    <definedName name="______IRC25">[7]Sheet1!$F$11</definedName>
    <definedName name="______IRC40">[7]Sheet1!$F$12</definedName>
    <definedName name="______IRC5">[7]Sheet1!$F$7</definedName>
    <definedName name="______IRC50">[7]Sheet1!$F$13</definedName>
    <definedName name="______IRC60">[7]Sheet1!$F$14</definedName>
    <definedName name="______IRC9">[7]Sheet1!$F$8</definedName>
    <definedName name="______l1">[45]leads!$A$3:$E$108</definedName>
    <definedName name="______l12" localSheetId="2">#REF!</definedName>
    <definedName name="______l12" localSheetId="1">#REF!</definedName>
    <definedName name="______l12" localSheetId="4">#REF!</definedName>
    <definedName name="______l12" localSheetId="6">#REF!</definedName>
    <definedName name="______l12" localSheetId="5">#REF!</definedName>
    <definedName name="______l12" localSheetId="7">#REF!</definedName>
    <definedName name="______l12">#REF!</definedName>
    <definedName name="______l2">[8]r!$F$29</definedName>
    <definedName name="______l3" localSheetId="2">#REF!</definedName>
    <definedName name="______l3" localSheetId="1">#REF!</definedName>
    <definedName name="______l3" localSheetId="4">#REF!</definedName>
    <definedName name="______l3" localSheetId="6">#REF!</definedName>
    <definedName name="______l3" localSheetId="5">#REF!</definedName>
    <definedName name="______l3" localSheetId="7">#REF!</definedName>
    <definedName name="______l3">#REF!</definedName>
    <definedName name="______l4">[45]Sheet1!$W$2:$Y$103</definedName>
    <definedName name="______l5" localSheetId="2">#REF!</definedName>
    <definedName name="______l5" localSheetId="1">#REF!</definedName>
    <definedName name="______l5" localSheetId="4">#REF!</definedName>
    <definedName name="______l5" localSheetId="6">#REF!</definedName>
    <definedName name="______l5" localSheetId="5">#REF!</definedName>
    <definedName name="______l5" localSheetId="7">#REF!</definedName>
    <definedName name="______l5">#REF!</definedName>
    <definedName name="______l6">[8]r!$F$4</definedName>
    <definedName name="______l7">[9]r!$F$4</definedName>
    <definedName name="______l8">[8]r!$F$2</definedName>
    <definedName name="______l9">[8]r!$F$3</definedName>
    <definedName name="______loc1">#N/A</definedName>
    <definedName name="______mm1">[45]r!$F$4</definedName>
    <definedName name="______mm11">[8]r!$F$4</definedName>
    <definedName name="______mm111">[9]r!$F$4</definedName>
    <definedName name="______MS6" localSheetId="0">[46]MRATES!$T$17</definedName>
    <definedName name="______MS6">[43]MRATES!$T$17</definedName>
    <definedName name="______OH1" localSheetId="0">[46]MRATES!$T$26</definedName>
    <definedName name="______OH1">[43]MRATES!$T$26</definedName>
    <definedName name="______pc2" localSheetId="2">#REF!</definedName>
    <definedName name="______pc2" localSheetId="1">#REF!</definedName>
    <definedName name="______pc2" localSheetId="4">#REF!</definedName>
    <definedName name="______pc2" localSheetId="6">#REF!</definedName>
    <definedName name="______pc2" localSheetId="5">#REF!</definedName>
    <definedName name="______pc2" localSheetId="7">#REF!</definedName>
    <definedName name="______pc2">#REF!</definedName>
    <definedName name="______pv2" localSheetId="5">#REF!</definedName>
    <definedName name="______pv2" localSheetId="7">#REF!</definedName>
    <definedName name="______pv2">#REF!</definedName>
    <definedName name="______QS25">[7]Sheet1!$I$15</definedName>
    <definedName name="______QS40">[7]Sheet1!$I$16</definedName>
    <definedName name="______rr3">[45]v!$A$2:$E$51</definedName>
    <definedName name="______rrr1">[45]r!$B$1:$I$145</definedName>
    <definedName name="______SS10">[7]Sheet1!$C$7</definedName>
    <definedName name="______ss12">[6]rdamdata!$J$8</definedName>
    <definedName name="______SS150">[7]Sheet1!$I$12</definedName>
    <definedName name="______ss20">[6]rdamdata!$J$7</definedName>
    <definedName name="______SS225">[7]Sheet1!$I$13</definedName>
    <definedName name="______SS25">[7]Sheet1!$C$10</definedName>
    <definedName name="______SS300">[7]Sheet1!$I$14</definedName>
    <definedName name="______ss40">[6]rdamdata!$J$6</definedName>
    <definedName name="______SS6">[7]Sheet1!$C$6</definedName>
    <definedName name="______Tb3">[47]CONST!$W$323:$AH$360</definedName>
    <definedName name="______Tb4">[47]CONST!$D$75:$Q$262</definedName>
    <definedName name="______var1" localSheetId="2">#REF!</definedName>
    <definedName name="______var1" localSheetId="1">#REF!</definedName>
    <definedName name="______var1" localSheetId="4">#REF!</definedName>
    <definedName name="______var1" localSheetId="6">#REF!</definedName>
    <definedName name="______var1" localSheetId="5">#REF!</definedName>
    <definedName name="______var1" localSheetId="7">#REF!</definedName>
    <definedName name="______var1">#REF!</definedName>
    <definedName name="______var4" localSheetId="5">#REF!</definedName>
    <definedName name="______var4" localSheetId="7">#REF!</definedName>
    <definedName name="______var4">#REF!</definedName>
    <definedName name="_____bla1">[45]leads!$H$7</definedName>
    <definedName name="_____can430">40.73</definedName>
    <definedName name="_____can435">43.3</definedName>
    <definedName name="_____CND1">#REF!</definedName>
    <definedName name="_____cnd2">#REF!</definedName>
    <definedName name="_____cnd3">#REF!</definedName>
    <definedName name="_____con1" localSheetId="0">[35]ssr20506!$D$81</definedName>
    <definedName name="_____con1">[41]ssr20506!$D$81</definedName>
    <definedName name="_____cur1">[8]r!$F$30</definedName>
    <definedName name="_____HDR1">#REF!</definedName>
    <definedName name="_____hdr2">#REF!</definedName>
    <definedName name="_____IDC2">#N/A</definedName>
    <definedName name="_____IDC21">#N/A</definedName>
    <definedName name="_____IDC22">#N/A</definedName>
    <definedName name="_____IDC3">#N/A</definedName>
    <definedName name="_____imp1" localSheetId="2">#REF!</definedName>
    <definedName name="_____imp1" localSheetId="1">#REF!</definedName>
    <definedName name="_____imp1" localSheetId="4">#REF!</definedName>
    <definedName name="_____imp1" localSheetId="6">#REF!</definedName>
    <definedName name="_____imp1" localSheetId="5">#REF!</definedName>
    <definedName name="_____imp1" localSheetId="7">#REF!</definedName>
    <definedName name="_____imp1">#REF!</definedName>
    <definedName name="_____imp2" localSheetId="2">#REF!</definedName>
    <definedName name="_____imp2" localSheetId="1">#REF!</definedName>
    <definedName name="_____imp2" localSheetId="4">#REF!</definedName>
    <definedName name="_____imp2" localSheetId="6">#REF!</definedName>
    <definedName name="_____imp2" localSheetId="5">#REF!</definedName>
    <definedName name="_____imp2" localSheetId="7">#REF!</definedName>
    <definedName name="_____imp2">#REF!</definedName>
    <definedName name="_____imp3" localSheetId="2">#REF!</definedName>
    <definedName name="_____imp3" localSheetId="1">#REF!</definedName>
    <definedName name="_____imp3" localSheetId="4">#REF!</definedName>
    <definedName name="_____imp3" localSheetId="6">#REF!</definedName>
    <definedName name="_____imp3" localSheetId="5">#REF!</definedName>
    <definedName name="_____imp3" localSheetId="7">#REF!</definedName>
    <definedName name="_____imp3">#REF!</definedName>
    <definedName name="_____imp4" localSheetId="5">#REF!</definedName>
    <definedName name="_____imp4" localSheetId="7">#REF!</definedName>
    <definedName name="_____imp4">#REF!</definedName>
    <definedName name="_____imp5" localSheetId="5">#REF!</definedName>
    <definedName name="_____imp5" localSheetId="7">#REF!</definedName>
    <definedName name="_____imp5">#REF!</definedName>
    <definedName name="_____imp6" localSheetId="5">#REF!</definedName>
    <definedName name="_____imp6" localSheetId="7">#REF!</definedName>
    <definedName name="_____imp6">#REF!</definedName>
    <definedName name="_____IRC12" localSheetId="0">[48]MRATES!$M$9</definedName>
    <definedName name="_____IRC12">[49]MRATES!$M$9</definedName>
    <definedName name="_____IRC19" localSheetId="0">[48]MRATES!$M$10</definedName>
    <definedName name="_____IRC19">[49]MRATES!$M$10</definedName>
    <definedName name="_____IRC25" localSheetId="0">[48]MRATES!$M$11</definedName>
    <definedName name="_____IRC25">[49]MRATES!$M$11</definedName>
    <definedName name="_____IRC40" localSheetId="0">[48]MRATES!$M$12</definedName>
    <definedName name="_____IRC40">[49]MRATES!$M$12</definedName>
    <definedName name="_____IRC5" localSheetId="0">[48]MRATES!$M$7</definedName>
    <definedName name="_____IRC5">[49]MRATES!$M$7</definedName>
    <definedName name="_____IRC50">[7]Sheet1!$F$13</definedName>
    <definedName name="_____IRC60">[7]Sheet1!$F$14</definedName>
    <definedName name="_____IRC9" localSheetId="0">[48]MRATES!$M$8</definedName>
    <definedName name="_____IRC9">[49]MRATES!$M$8</definedName>
    <definedName name="_____l1">[45]leads!$A$3:$E$108</definedName>
    <definedName name="_____l12" localSheetId="2">#REF!</definedName>
    <definedName name="_____l12" localSheetId="1">#REF!</definedName>
    <definedName name="_____l12" localSheetId="4">#REF!</definedName>
    <definedName name="_____l12" localSheetId="6">#REF!</definedName>
    <definedName name="_____l12" localSheetId="5">#REF!</definedName>
    <definedName name="_____l12" localSheetId="7">#REF!</definedName>
    <definedName name="_____l12">#REF!</definedName>
    <definedName name="_____l2">[8]r!$F$29</definedName>
    <definedName name="_____l3" localSheetId="2">#REF!</definedName>
    <definedName name="_____l3" localSheetId="1">#REF!</definedName>
    <definedName name="_____l3" localSheetId="4">#REF!</definedName>
    <definedName name="_____l3" localSheetId="6">#REF!</definedName>
    <definedName name="_____l3" localSheetId="5">#REF!</definedName>
    <definedName name="_____l3" localSheetId="7">#REF!</definedName>
    <definedName name="_____l3">#REF!</definedName>
    <definedName name="_____l4">[45]Sheet1!$W$2:$Y$103</definedName>
    <definedName name="_____l5" localSheetId="2">#REF!</definedName>
    <definedName name="_____l5" localSheetId="1">#REF!</definedName>
    <definedName name="_____l5" localSheetId="4">#REF!</definedName>
    <definedName name="_____l5" localSheetId="6">#REF!</definedName>
    <definedName name="_____l5" localSheetId="5">#REF!</definedName>
    <definedName name="_____l5" localSheetId="7">#REF!</definedName>
    <definedName name="_____l5">#REF!</definedName>
    <definedName name="_____l6">[8]r!$F$4</definedName>
    <definedName name="_____l7">[9]r!$F$4</definedName>
    <definedName name="_____l8">[8]r!$F$2</definedName>
    <definedName name="_____l9">[8]r!$F$3</definedName>
    <definedName name="_____loc1">#N/A</definedName>
    <definedName name="_____mm1">[45]r!$F$4</definedName>
    <definedName name="_____mm11">[8]r!$F$4</definedName>
    <definedName name="_____mm111">[9]r!$F$4</definedName>
    <definedName name="_____MS6" localSheetId="0">[48]MRATES!$P$50</definedName>
    <definedName name="_____MS6">[49]MRATES!$P$50</definedName>
    <definedName name="_____OH1" localSheetId="0">[48]MRATES!$C$35</definedName>
    <definedName name="_____OH1">[49]MRATES!$C$35</definedName>
    <definedName name="_____pc2" localSheetId="2">#REF!</definedName>
    <definedName name="_____pc2" localSheetId="1">#REF!</definedName>
    <definedName name="_____pc2" localSheetId="4">#REF!</definedName>
    <definedName name="_____pc2" localSheetId="6">#REF!</definedName>
    <definedName name="_____pc2" localSheetId="5">#REF!</definedName>
    <definedName name="_____pc2" localSheetId="7">#REF!</definedName>
    <definedName name="_____pc2">#REF!</definedName>
    <definedName name="_____pv2" localSheetId="5">#REF!</definedName>
    <definedName name="_____pv2" localSheetId="7">#REF!</definedName>
    <definedName name="_____pv2">#REF!</definedName>
    <definedName name="_____QS25" localSheetId="0">[48]MRATES!$G$16</definedName>
    <definedName name="_____QS25">[49]MRATES!$G$16</definedName>
    <definedName name="_____QS40" localSheetId="0">[48]MRATES!$G$17</definedName>
    <definedName name="_____QS40">[49]MRATES!$G$17</definedName>
    <definedName name="_____rr3">[45]v!$A$2:$E$51</definedName>
    <definedName name="_____rrr1">[45]r!$B$1:$I$145</definedName>
    <definedName name="_____SS10" localSheetId="0">[48]MRATES!$J$7</definedName>
    <definedName name="_____SS10">[49]MRATES!$J$7</definedName>
    <definedName name="_____SS12" localSheetId="0">[48]MRATES!$J$8</definedName>
    <definedName name="_____ss12" localSheetId="4">[50]rdamdata!$J$8</definedName>
    <definedName name="_____SS12">[49]MRATES!$J$8</definedName>
    <definedName name="_____SS150" localSheetId="0">[48]MRATES!$G$13</definedName>
    <definedName name="_____SS150">[49]MRATES!$G$13</definedName>
    <definedName name="_____SS20" localSheetId="0">[48]MRATES!$J$9</definedName>
    <definedName name="_____ss20" localSheetId="4">[50]rdamdata!$J$7</definedName>
    <definedName name="_____SS20">[49]MRATES!$J$9</definedName>
    <definedName name="_____SS225">[7]Sheet1!$I$13</definedName>
    <definedName name="_____SS25">[7]Sheet1!$C$10</definedName>
    <definedName name="_____SS300" localSheetId="0">[48]MRATES!$G$15</definedName>
    <definedName name="_____SS300">[49]MRATES!$G$15</definedName>
    <definedName name="_____SS40" localSheetId="0">[48]MRATES!$J$11</definedName>
    <definedName name="_____ss40" localSheetId="4">[50]rdamdata!$J$6</definedName>
    <definedName name="_____SS40">[49]MRATES!$J$11</definedName>
    <definedName name="_____SS6">[7]Sheet1!$C$6</definedName>
    <definedName name="_____Tb3">[47]CONST!$W$323:$AH$360</definedName>
    <definedName name="_____Tb4">[47]CONST!$D$75:$Q$262</definedName>
    <definedName name="_____var1" localSheetId="2">#REF!</definedName>
    <definedName name="_____var1" localSheetId="1">#REF!</definedName>
    <definedName name="_____var1" localSheetId="4">#REF!</definedName>
    <definedName name="_____var1" localSheetId="6">#REF!</definedName>
    <definedName name="_____var1" localSheetId="5">#REF!</definedName>
    <definedName name="_____var1" localSheetId="7">#REF!</definedName>
    <definedName name="_____var1">#REF!</definedName>
    <definedName name="_____var4" localSheetId="5">#REF!</definedName>
    <definedName name="_____var4" localSheetId="7">#REF!</definedName>
    <definedName name="_____var4">#REF!</definedName>
    <definedName name="____bla1">[16]leads!$H$7</definedName>
    <definedName name="____bwu1">'[51]Ch13.00 1Mt Drop'!$F$7</definedName>
    <definedName name="____bwu2">'[51]15_Design_1.0M_Drop'!$F$7</definedName>
    <definedName name="____can430">40.73</definedName>
    <definedName name="____can435">43.3</definedName>
    <definedName name="____CBW1">#REF!</definedName>
    <definedName name="____CND1">#REF!</definedName>
    <definedName name="____cnd2">#REF!</definedName>
    <definedName name="____cnd3">#REF!</definedName>
    <definedName name="____con1" localSheetId="0">[35]ssr20506!$D$81</definedName>
    <definedName name="____con1">[41]ssr20506!$D$81</definedName>
    <definedName name="____cur1">[8]r!$F$30</definedName>
    <definedName name="____dec05" hidden="1">{"'Sheet1'!$A$4386:$N$4591"}</definedName>
    <definedName name="____du1">'[51]Ch13.00 1Mt Drop'!$F$6</definedName>
    <definedName name="____du2">'[51]15_Design_1.0M_Drop'!$F$6</definedName>
    <definedName name="____fbd1">'[51]Ch13.00 1Mt Drop'!$H$9</definedName>
    <definedName name="____fbd2">'[51]15_Design_1.0M_Drop'!$H$9</definedName>
    <definedName name="____fbu1">'[51]Ch13.00 1Mt Drop'!$F$9</definedName>
    <definedName name="____fbu2">'[51]15_Design_1.0M_Drop'!$F$9</definedName>
    <definedName name="____gld1">'[51]Ch13.00 1Mt Drop'!$H$11</definedName>
    <definedName name="____gld2">'[51]15_Design_1.0M_Drop'!$H$11</definedName>
    <definedName name="____glu1">'[51]Ch13.00 1Mt Drop'!$F$11</definedName>
    <definedName name="____glu2">'[51]15_Design_1.0M_Drop'!$F$11</definedName>
    <definedName name="____HDR1">#REF!</definedName>
    <definedName name="____hdr2">#REF!</definedName>
    <definedName name="____IDC2">#N/A</definedName>
    <definedName name="____IDC21">#N/A</definedName>
    <definedName name="____IDC22">#N/A</definedName>
    <definedName name="____IDC3">#N/A</definedName>
    <definedName name="____imp1" localSheetId="2">#REF!</definedName>
    <definedName name="____imp1" localSheetId="1">#REF!</definedName>
    <definedName name="____imp1" localSheetId="4">#REF!</definedName>
    <definedName name="____imp1" localSheetId="6">#REF!</definedName>
    <definedName name="____imp1" localSheetId="5">#REF!</definedName>
    <definedName name="____imp1" localSheetId="7">#REF!</definedName>
    <definedName name="____imp1">#REF!</definedName>
    <definedName name="____imp2" localSheetId="2">#REF!</definedName>
    <definedName name="____imp2" localSheetId="1">#REF!</definedName>
    <definedName name="____imp2" localSheetId="4">#REF!</definedName>
    <definedName name="____imp2" localSheetId="6">#REF!</definedName>
    <definedName name="____imp2" localSheetId="5">#REF!</definedName>
    <definedName name="____imp2" localSheetId="7">#REF!</definedName>
    <definedName name="____imp2">#REF!</definedName>
    <definedName name="____imp3" localSheetId="2">#REF!</definedName>
    <definedName name="____imp3" localSheetId="1">#REF!</definedName>
    <definedName name="____imp3" localSheetId="4">#REF!</definedName>
    <definedName name="____imp3" localSheetId="6">#REF!</definedName>
    <definedName name="____imp3" localSheetId="5">#REF!</definedName>
    <definedName name="____imp3" localSheetId="7">#REF!</definedName>
    <definedName name="____imp3">#REF!</definedName>
    <definedName name="____imp4" localSheetId="5">#REF!</definedName>
    <definedName name="____imp4" localSheetId="7">#REF!</definedName>
    <definedName name="____imp4">#REF!</definedName>
    <definedName name="____imp5" localSheetId="5">#REF!</definedName>
    <definedName name="____imp5" localSheetId="7">#REF!</definedName>
    <definedName name="____imp5">#REF!</definedName>
    <definedName name="____imp6" localSheetId="5">#REF!</definedName>
    <definedName name="____imp6" localSheetId="7">#REF!</definedName>
    <definedName name="____imp6">#REF!</definedName>
    <definedName name="____IRC12" localSheetId="0">[52]MRATES!$M$9</definedName>
    <definedName name="____IRC12">[53]MRATES!$M$9</definedName>
    <definedName name="____IRC19" localSheetId="0">[52]MRATES!$M$10</definedName>
    <definedName name="____IRC19">[53]MRATES!$M$10</definedName>
    <definedName name="____IRC25" localSheetId="0">[52]MRATES!$M$11</definedName>
    <definedName name="____IRC25">[53]MRATES!$M$11</definedName>
    <definedName name="____IRC40" localSheetId="0">[52]MRATES!$M$12</definedName>
    <definedName name="____IRC40">[53]MRATES!$M$12</definedName>
    <definedName name="____IRC5" localSheetId="0">[52]MRATES!$M$7</definedName>
    <definedName name="____IRC5">[53]MRATES!$M$7</definedName>
    <definedName name="____IRC50">[7]Sheet1!$F$13</definedName>
    <definedName name="____IRC60">[7]Sheet1!$F$14</definedName>
    <definedName name="____IRC65">[7]Sheet1!$F$15</definedName>
    <definedName name="____IRC75">[7]Sheet1!$F$16</definedName>
    <definedName name="____IRC9" localSheetId="0">[52]MRATES!$M$8</definedName>
    <definedName name="____IRC9">[53]MRATES!$M$8</definedName>
    <definedName name="____l1">[17]leads!$A$3:$E$108</definedName>
    <definedName name="____l12" localSheetId="2">#REF!</definedName>
    <definedName name="____l12" localSheetId="1">#REF!</definedName>
    <definedName name="____l12" localSheetId="4">#REF!</definedName>
    <definedName name="____l12" localSheetId="6">#REF!</definedName>
    <definedName name="____l12" localSheetId="5">#REF!</definedName>
    <definedName name="____l12" localSheetId="7">#REF!</definedName>
    <definedName name="____l12">#REF!</definedName>
    <definedName name="____l2">[8]r!$F$29</definedName>
    <definedName name="____l3" localSheetId="2">#REF!</definedName>
    <definedName name="____l3" localSheetId="1">#REF!</definedName>
    <definedName name="____l3" localSheetId="4">#REF!</definedName>
    <definedName name="____l3" localSheetId="6">#REF!</definedName>
    <definedName name="____l3" localSheetId="5">#REF!</definedName>
    <definedName name="____l3" localSheetId="7">#REF!</definedName>
    <definedName name="____l3">#REF!</definedName>
    <definedName name="____l4">[18]Sheet1!$W$2:$Y$103</definedName>
    <definedName name="____l5" localSheetId="2">#REF!</definedName>
    <definedName name="____l5" localSheetId="1">#REF!</definedName>
    <definedName name="____l5" localSheetId="4">#REF!</definedName>
    <definedName name="____l5" localSheetId="6">#REF!</definedName>
    <definedName name="____l5" localSheetId="5">#REF!</definedName>
    <definedName name="____l5" localSheetId="7">#REF!</definedName>
    <definedName name="____l5">#REF!</definedName>
    <definedName name="____l6">[8]r!$F$4</definedName>
    <definedName name="____l7">[9]r!$F$4</definedName>
    <definedName name="____l8">[8]r!$F$2</definedName>
    <definedName name="____l9">[8]r!$F$3</definedName>
    <definedName name="____lb1">#REF!</definedName>
    <definedName name="____lb2">#REF!</definedName>
    <definedName name="____ldw1">'[51]Ch13.00 1Mt Drop'!$F$25</definedName>
    <definedName name="____ldw2">'[51]15_Design_1.0M_Drop'!$F$25</definedName>
    <definedName name="____loc1">#N/A</definedName>
    <definedName name="____mm1">[19]r!$F$4</definedName>
    <definedName name="____mm11">[8]r!$F$4</definedName>
    <definedName name="____mm111">[9]r!$F$4</definedName>
    <definedName name="____mm2">#REF!</definedName>
    <definedName name="____mm3">#REF!</definedName>
    <definedName name="____MS6" localSheetId="0">[52]MRATES!$P$50</definedName>
    <definedName name="____MS6">[53]MRATES!$P$50</definedName>
    <definedName name="____MT1">#REF!</definedName>
    <definedName name="____MT10">#REF!</definedName>
    <definedName name="____MT100">#REF!</definedName>
    <definedName name="____MT101">#REF!</definedName>
    <definedName name="____MT102">#REF!</definedName>
    <definedName name="____MT103">#REF!</definedName>
    <definedName name="____MT104">#REF!</definedName>
    <definedName name="____MT105">#REF!</definedName>
    <definedName name="____MT106">#REF!</definedName>
    <definedName name="____MT107">#REF!</definedName>
    <definedName name="____MT108">#REF!</definedName>
    <definedName name="____MT109">#REF!</definedName>
    <definedName name="____MT11">#REF!</definedName>
    <definedName name="____MT110">#REF!</definedName>
    <definedName name="____MT111">#REF!</definedName>
    <definedName name="____MT112">#REF!</definedName>
    <definedName name="____MT113">#REF!</definedName>
    <definedName name="____MT114">#REF!</definedName>
    <definedName name="____MT115">#REF!</definedName>
    <definedName name="____MT116">#REF!</definedName>
    <definedName name="____MT117">#REF!</definedName>
    <definedName name="____MT118">#REF!</definedName>
    <definedName name="____MT119">#REF!</definedName>
    <definedName name="____MT12">#REF!</definedName>
    <definedName name="____MT120">#REF!</definedName>
    <definedName name="____MT121">#REF!</definedName>
    <definedName name="____MT122">#REF!</definedName>
    <definedName name="____MT123">#REF!</definedName>
    <definedName name="____MT124">#REF!</definedName>
    <definedName name="____MT125">#REF!</definedName>
    <definedName name="____MT126">#REF!</definedName>
    <definedName name="____MT127">#REF!</definedName>
    <definedName name="____MT128">#REF!</definedName>
    <definedName name="____MT129">#REF!</definedName>
    <definedName name="____MT13">#REF!</definedName>
    <definedName name="____MT130">#REF!</definedName>
    <definedName name="____MT131">#REF!</definedName>
    <definedName name="____MT132">#REF!</definedName>
    <definedName name="____MT133">#REF!</definedName>
    <definedName name="____MT134">#REF!</definedName>
    <definedName name="____MT135">#REF!</definedName>
    <definedName name="____MT136">#REF!</definedName>
    <definedName name="____MT137">#REF!</definedName>
    <definedName name="____MT138">#REF!</definedName>
    <definedName name="____MT139">#REF!</definedName>
    <definedName name="____MT14">#REF!</definedName>
    <definedName name="____MT140">#REF!</definedName>
    <definedName name="____MT141">#REF!</definedName>
    <definedName name="____MT142">#REF!</definedName>
    <definedName name="____MT143">#REF!</definedName>
    <definedName name="____MT144">#REF!</definedName>
    <definedName name="____MT145">#REF!</definedName>
    <definedName name="____MT146">#REF!</definedName>
    <definedName name="____MT147">#REF!</definedName>
    <definedName name="____MT148">#REF!</definedName>
    <definedName name="____MT149">#REF!</definedName>
    <definedName name="____MT15">#REF!</definedName>
    <definedName name="____MT150">#REF!</definedName>
    <definedName name="____MT16">#REF!</definedName>
    <definedName name="____MT17">#REF!</definedName>
    <definedName name="____MT18">#REF!</definedName>
    <definedName name="____MT19">#REF!</definedName>
    <definedName name="____MT2">#REF!</definedName>
    <definedName name="____MT20">#REF!</definedName>
    <definedName name="____MT21">#REF!</definedName>
    <definedName name="____MT22">#REF!</definedName>
    <definedName name="____MT23">#REF!</definedName>
    <definedName name="____MT24">#REF!</definedName>
    <definedName name="____MT25">#REF!</definedName>
    <definedName name="____MT26">#REF!</definedName>
    <definedName name="____MT27">#REF!</definedName>
    <definedName name="____MT28">#REF!</definedName>
    <definedName name="____MT29">#REF!</definedName>
    <definedName name="____MT3">#REF!</definedName>
    <definedName name="____MT30">#REF!</definedName>
    <definedName name="____MT31">#REF!</definedName>
    <definedName name="____MT32">#REF!</definedName>
    <definedName name="____MT33">#REF!</definedName>
    <definedName name="____MT34">#REF!</definedName>
    <definedName name="____MT35">#REF!</definedName>
    <definedName name="____MT36">#REF!</definedName>
    <definedName name="____MT37">#REF!</definedName>
    <definedName name="____MT38">#REF!</definedName>
    <definedName name="____MT39">#REF!</definedName>
    <definedName name="____MT4">#REF!</definedName>
    <definedName name="____MT40">#REF!</definedName>
    <definedName name="____MT41">#REF!</definedName>
    <definedName name="____MT42">#REF!</definedName>
    <definedName name="____MT43">#REF!</definedName>
    <definedName name="____MT44">#REF!</definedName>
    <definedName name="____MT45">#REF!</definedName>
    <definedName name="____MT46">#REF!</definedName>
    <definedName name="____MT47">#REF!</definedName>
    <definedName name="____MT48">#REF!</definedName>
    <definedName name="____MT49">#REF!</definedName>
    <definedName name="____MT5">#REF!</definedName>
    <definedName name="____MT50">#REF!</definedName>
    <definedName name="____MT500">#REF!</definedName>
    <definedName name="____MT51">#REF!</definedName>
    <definedName name="____MT52">#REF!</definedName>
    <definedName name="____MT53">#REF!</definedName>
    <definedName name="____MT54">#REF!</definedName>
    <definedName name="____MT55">#REF!</definedName>
    <definedName name="____MT56">#REF!</definedName>
    <definedName name="____MT57">#REF!</definedName>
    <definedName name="____MT58">#REF!</definedName>
    <definedName name="____MT59">#REF!</definedName>
    <definedName name="____MT6">#REF!</definedName>
    <definedName name="____MT60">#REF!</definedName>
    <definedName name="____MT61">#REF!</definedName>
    <definedName name="____MT62">#REF!</definedName>
    <definedName name="____MT63">#REF!</definedName>
    <definedName name="____MT64">#REF!</definedName>
    <definedName name="____MT65">#REF!</definedName>
    <definedName name="____MT66">#REF!</definedName>
    <definedName name="____MT67">#REF!</definedName>
    <definedName name="____MT68">#REF!</definedName>
    <definedName name="____MT69">#REF!</definedName>
    <definedName name="____MT7">#REF!</definedName>
    <definedName name="____MT70">#REF!</definedName>
    <definedName name="____MT71">#REF!</definedName>
    <definedName name="____MT72">#REF!</definedName>
    <definedName name="____MT73">#REF!</definedName>
    <definedName name="____MT74">#REF!</definedName>
    <definedName name="____MT75">#REF!</definedName>
    <definedName name="____MT76">#REF!</definedName>
    <definedName name="____MT77">#REF!</definedName>
    <definedName name="____MT78">#REF!</definedName>
    <definedName name="____MT79">#REF!</definedName>
    <definedName name="____MT8">#REF!</definedName>
    <definedName name="____MT80">#REF!</definedName>
    <definedName name="____MT81">#REF!</definedName>
    <definedName name="____MT82">#REF!</definedName>
    <definedName name="____MT83">#REF!</definedName>
    <definedName name="____MT84">#REF!</definedName>
    <definedName name="____MT85">#REF!</definedName>
    <definedName name="____MT86">#REF!</definedName>
    <definedName name="____MT87">#REF!</definedName>
    <definedName name="____MT88">#REF!</definedName>
    <definedName name="____MT89">#REF!</definedName>
    <definedName name="____MT9">#REF!</definedName>
    <definedName name="____MT90">#REF!</definedName>
    <definedName name="____MT91">#REF!</definedName>
    <definedName name="____MT92">#REF!</definedName>
    <definedName name="____MT93">#REF!</definedName>
    <definedName name="____MT94">#REF!</definedName>
    <definedName name="____MT95">#REF!</definedName>
    <definedName name="____MT96">#REF!</definedName>
    <definedName name="____MT97">#REF!</definedName>
    <definedName name="____MT98">#REF!</definedName>
    <definedName name="____MT99">#REF!</definedName>
    <definedName name="____OH1" localSheetId="0">[52]MRATES!$C$35</definedName>
    <definedName name="____OH1">[53]MRATES!$C$35</definedName>
    <definedName name="____pc2" localSheetId="2">#REF!</definedName>
    <definedName name="____pc2" localSheetId="1">#REF!</definedName>
    <definedName name="____pc2" localSheetId="4">#REF!</definedName>
    <definedName name="____pc2" localSheetId="6">#REF!</definedName>
    <definedName name="____pc2" localSheetId="5">#REF!</definedName>
    <definedName name="____pc2" localSheetId="7">#REF!</definedName>
    <definedName name="____pc2">#REF!</definedName>
    <definedName name="____PPA14">#REF!</definedName>
    <definedName name="____PPB154">#REF!</definedName>
    <definedName name="____PPB155">#REF!</definedName>
    <definedName name="____PPB16">#REF!</definedName>
    <definedName name="____PPB17">#REF!</definedName>
    <definedName name="____PPB18">#REF!</definedName>
    <definedName name="____PPB19">#REF!</definedName>
    <definedName name="____PPB2">#REF!</definedName>
    <definedName name="____PPB20">#REF!</definedName>
    <definedName name="____PPB21">#REF!</definedName>
    <definedName name="____PPB22">#REF!</definedName>
    <definedName name="____PPB23">#REF!</definedName>
    <definedName name="____PPB24">#REF!</definedName>
    <definedName name="____PPB25">#REF!</definedName>
    <definedName name="____PPB26">#REF!</definedName>
    <definedName name="____PPB27">#REF!</definedName>
    <definedName name="____PPB28">#REF!</definedName>
    <definedName name="____PPB29">#REF!</definedName>
    <definedName name="____PPB3">#REF!</definedName>
    <definedName name="____PPB30">#REF!</definedName>
    <definedName name="____PPB31">#REF!</definedName>
    <definedName name="____PPB32">#REF!</definedName>
    <definedName name="____PPB33">#REF!</definedName>
    <definedName name="____PPB34">#REF!</definedName>
    <definedName name="____PPB35">#REF!</definedName>
    <definedName name="____PPB36">#REF!</definedName>
    <definedName name="____PPB37">#REF!</definedName>
    <definedName name="____PPB38">#REF!</definedName>
    <definedName name="____PPB39">#REF!</definedName>
    <definedName name="____PPB4">#REF!</definedName>
    <definedName name="____PPB40">#REF!</definedName>
    <definedName name="____PPB41">#REF!</definedName>
    <definedName name="____PPB42">#REF!</definedName>
    <definedName name="____PPB43">#REF!</definedName>
    <definedName name="____PPB44">#REF!</definedName>
    <definedName name="____PPB45">#REF!</definedName>
    <definedName name="____PPB46">#REF!</definedName>
    <definedName name="____PPB47">#REF!</definedName>
    <definedName name="____PPB48">#REF!</definedName>
    <definedName name="____PPB49">#REF!</definedName>
    <definedName name="____PPB5">#REF!</definedName>
    <definedName name="____PPB50">#REF!</definedName>
    <definedName name="____PPB51">#REF!</definedName>
    <definedName name="____PPB52">#REF!</definedName>
    <definedName name="____PPB53">#REF!</definedName>
    <definedName name="____PPB54">#REF!</definedName>
    <definedName name="____PPB55">#REF!</definedName>
    <definedName name="____PPB56">#REF!</definedName>
    <definedName name="____PPB57">#REF!</definedName>
    <definedName name="____PPB58">#REF!</definedName>
    <definedName name="____PPB59">#REF!</definedName>
    <definedName name="____PPB6">#REF!</definedName>
    <definedName name="____PPB60">#REF!</definedName>
    <definedName name="____PPB61">#REF!</definedName>
    <definedName name="____PPB62">#REF!</definedName>
    <definedName name="____PPB63">#REF!</definedName>
    <definedName name="____PPB64">#REF!</definedName>
    <definedName name="____PPB65">#REF!</definedName>
    <definedName name="____PPB66">#REF!</definedName>
    <definedName name="____PPB67">#REF!</definedName>
    <definedName name="____PPB68">#REF!</definedName>
    <definedName name="____PPB69">#REF!</definedName>
    <definedName name="____PPB7">#REF!</definedName>
    <definedName name="____PPB70">#REF!</definedName>
    <definedName name="____PPB71">#REF!</definedName>
    <definedName name="____PPB72">#REF!</definedName>
    <definedName name="____PPB73">#REF!</definedName>
    <definedName name="____PPB74">#REF!</definedName>
    <definedName name="____PPB75">#REF!</definedName>
    <definedName name="____PPB76">#REF!</definedName>
    <definedName name="____PPB77">#REF!</definedName>
    <definedName name="____PPB78">#REF!</definedName>
    <definedName name="____PPB79">#REF!</definedName>
    <definedName name="____PPB8">#REF!</definedName>
    <definedName name="____PPB80">#REF!</definedName>
    <definedName name="____PPB81">#REF!</definedName>
    <definedName name="____PPB82">#REF!</definedName>
    <definedName name="____PPB83">#REF!</definedName>
    <definedName name="____PPB84">#REF!</definedName>
    <definedName name="____PPB85">#REF!</definedName>
    <definedName name="____PPB86">#REF!</definedName>
    <definedName name="____PPB87">#REF!</definedName>
    <definedName name="____PPB88">#REF!</definedName>
    <definedName name="____PPB89">#REF!</definedName>
    <definedName name="____PPB9">#REF!</definedName>
    <definedName name="____PPB90">#REF!</definedName>
    <definedName name="____PPB91">#REF!</definedName>
    <definedName name="____PPB92">#REF!</definedName>
    <definedName name="____PPB93">#REF!</definedName>
    <definedName name="____PPB94">#REF!</definedName>
    <definedName name="____PPB95">#REF!</definedName>
    <definedName name="____PPB96">#REF!</definedName>
    <definedName name="____PPB97">#REF!</definedName>
    <definedName name="____PPB98">#REF!</definedName>
    <definedName name="____PPB99">#REF!</definedName>
    <definedName name="____ppc001">#REF!</definedName>
    <definedName name="____PPC1">#REF!</definedName>
    <definedName name="____PPC10">#REF!</definedName>
    <definedName name="____PPC100">#REF!</definedName>
    <definedName name="____PPC101">#REF!</definedName>
    <definedName name="____PPC102">#REF!</definedName>
    <definedName name="____PPC103">#REF!</definedName>
    <definedName name="____PPC104">#REF!</definedName>
    <definedName name="____PPC105">#REF!</definedName>
    <definedName name="____PPC106">#REF!</definedName>
    <definedName name="____PPC107">#REF!</definedName>
    <definedName name="____PPC108">#REF!</definedName>
    <definedName name="____PPC109">#REF!</definedName>
    <definedName name="____PPC11">#REF!</definedName>
    <definedName name="____PPC110">#REF!</definedName>
    <definedName name="____PPC111">#REF!</definedName>
    <definedName name="____PPC112">#REF!</definedName>
    <definedName name="____PPC113">#REF!</definedName>
    <definedName name="____PPC114">#REF!</definedName>
    <definedName name="____PPC115">#REF!</definedName>
    <definedName name="____PPC116">#REF!</definedName>
    <definedName name="____PPC117">#REF!</definedName>
    <definedName name="____PPC118">#REF!</definedName>
    <definedName name="____PPC119">#REF!</definedName>
    <definedName name="____PPC12">#REF!</definedName>
    <definedName name="____PPC120">#REF!</definedName>
    <definedName name="____PPC121">#REF!</definedName>
    <definedName name="____PPC122">#REF!</definedName>
    <definedName name="____PPC123">#REF!</definedName>
    <definedName name="____PPC124">#REF!</definedName>
    <definedName name="____PPC125">#REF!</definedName>
    <definedName name="____PPC126">#REF!</definedName>
    <definedName name="____PPC127">#REF!</definedName>
    <definedName name="____PPC128">#REF!</definedName>
    <definedName name="____PPC129">#REF!</definedName>
    <definedName name="____PPC13">#REF!</definedName>
    <definedName name="____PPC130">#REF!</definedName>
    <definedName name="____PPC131">#REF!</definedName>
    <definedName name="____PPC132">#REF!</definedName>
    <definedName name="____PPC133">#REF!</definedName>
    <definedName name="____PPC134">#REF!</definedName>
    <definedName name="____PPC135">#REF!</definedName>
    <definedName name="____PPC136">#REF!</definedName>
    <definedName name="____PPC137">#REF!</definedName>
    <definedName name="____PPC138">#REF!</definedName>
    <definedName name="____PPC139">#REF!</definedName>
    <definedName name="____PPC14">#REF!</definedName>
    <definedName name="____PPC140">#REF!</definedName>
    <definedName name="____PPC141">#REF!</definedName>
    <definedName name="____PPC142">#REF!</definedName>
    <definedName name="____PPC143">#REF!</definedName>
    <definedName name="____PPC144">#REF!</definedName>
    <definedName name="____PPC145">#REF!</definedName>
    <definedName name="____PPC146">#REF!</definedName>
    <definedName name="____PPC147">#REF!</definedName>
    <definedName name="____PPC148">#REF!</definedName>
    <definedName name="____PPC149">#REF!</definedName>
    <definedName name="____PPC15">#REF!</definedName>
    <definedName name="____PPC150">#REF!</definedName>
    <definedName name="____PPC151">#REF!</definedName>
    <definedName name="____PPC152">#REF!</definedName>
    <definedName name="____PPC153">#REF!</definedName>
    <definedName name="____PPC154">#REF!</definedName>
    <definedName name="____PPC155">#REF!</definedName>
    <definedName name="____PPC16">#REF!</definedName>
    <definedName name="____PPC17">#REF!</definedName>
    <definedName name="____PPC18">#REF!</definedName>
    <definedName name="____PPC19">#REF!</definedName>
    <definedName name="____PPC2">#REF!</definedName>
    <definedName name="____PPC20">#REF!</definedName>
    <definedName name="____PPC21">#REF!</definedName>
    <definedName name="____PPC22">#REF!</definedName>
    <definedName name="____PPC23">#REF!</definedName>
    <definedName name="____PPC24">#REF!</definedName>
    <definedName name="____PPC25">#REF!</definedName>
    <definedName name="____PPC26">#REF!</definedName>
    <definedName name="____PPC27">#REF!</definedName>
    <definedName name="____PPC28">#REF!</definedName>
    <definedName name="____PPC29">#REF!</definedName>
    <definedName name="____PPC3">#REF!</definedName>
    <definedName name="____PPC30">#REF!</definedName>
    <definedName name="____PPC31">#REF!</definedName>
    <definedName name="____PPC32">#REF!</definedName>
    <definedName name="____PPC33">#REF!</definedName>
    <definedName name="____PPC34">#REF!</definedName>
    <definedName name="____PPC35">#REF!</definedName>
    <definedName name="____PPC36">#REF!</definedName>
    <definedName name="____PPC37">#REF!</definedName>
    <definedName name="____PPC38">#REF!</definedName>
    <definedName name="____PPC39">#REF!</definedName>
    <definedName name="____PPC4">#REF!</definedName>
    <definedName name="____PPC40">#REF!</definedName>
    <definedName name="____PPC41">#REF!</definedName>
    <definedName name="____PPC42">#REF!</definedName>
    <definedName name="____PPC43">#REF!</definedName>
    <definedName name="____PPC44">#REF!</definedName>
    <definedName name="____PPC45">#REF!</definedName>
    <definedName name="____PPC46">#REF!</definedName>
    <definedName name="____PPC47">#REF!</definedName>
    <definedName name="____PPC48">#REF!</definedName>
    <definedName name="____PPC49">#REF!</definedName>
    <definedName name="____PPC5">#REF!</definedName>
    <definedName name="____PPC50">#REF!</definedName>
    <definedName name="____PPC51">#REF!</definedName>
    <definedName name="____PPC52">#REF!</definedName>
    <definedName name="____PPC53">#REF!</definedName>
    <definedName name="____PPC54">#REF!</definedName>
    <definedName name="____PPC55">#REF!</definedName>
    <definedName name="____PPC56">#REF!</definedName>
    <definedName name="____PPC57">#REF!</definedName>
    <definedName name="____PPC58">#REF!</definedName>
    <definedName name="____PPC59">#REF!</definedName>
    <definedName name="____PPC6">#REF!</definedName>
    <definedName name="____PPC60">#REF!</definedName>
    <definedName name="____PPC61">#REF!</definedName>
    <definedName name="____PPC62">#REF!</definedName>
    <definedName name="____PPC63">#REF!</definedName>
    <definedName name="____PPC64">#REF!</definedName>
    <definedName name="____PPC65">#REF!</definedName>
    <definedName name="____PPC66">#REF!</definedName>
    <definedName name="____PPC67">#REF!</definedName>
    <definedName name="____PPC68">#REF!</definedName>
    <definedName name="____PPC69">#REF!</definedName>
    <definedName name="____PPC7">#REF!</definedName>
    <definedName name="____PPC70">#REF!</definedName>
    <definedName name="____PPC71">#REF!</definedName>
    <definedName name="____PPC72">#REF!</definedName>
    <definedName name="____PPC73">#REF!</definedName>
    <definedName name="____PPC74">#REF!</definedName>
    <definedName name="____PPC75">#REF!</definedName>
    <definedName name="____PPC76">#REF!</definedName>
    <definedName name="____PPC77">#REF!</definedName>
    <definedName name="____PPC78">#REF!</definedName>
    <definedName name="____PPC79">#REF!</definedName>
    <definedName name="____PPC8">#REF!</definedName>
    <definedName name="____PPC80">#REF!</definedName>
    <definedName name="____PPC81">#REF!</definedName>
    <definedName name="____PPC82">#REF!</definedName>
    <definedName name="____PPC83">#REF!</definedName>
    <definedName name="____PPC84">#REF!</definedName>
    <definedName name="____PPC85">#REF!</definedName>
    <definedName name="____PPC86">#REF!</definedName>
    <definedName name="____PPC87">#REF!</definedName>
    <definedName name="____PPC88">#REF!</definedName>
    <definedName name="____PPC89">#REF!</definedName>
    <definedName name="____PPC9">#REF!</definedName>
    <definedName name="____PPC90">#REF!</definedName>
    <definedName name="____PPC91">#REF!</definedName>
    <definedName name="____PPC92">#REF!</definedName>
    <definedName name="____PPC93">#REF!</definedName>
    <definedName name="____PPC94">#REF!</definedName>
    <definedName name="____PPC95">#REF!</definedName>
    <definedName name="____PPD114">#REF!</definedName>
    <definedName name="____PPD89">#REF!</definedName>
    <definedName name="____pv2" localSheetId="5">#REF!</definedName>
    <definedName name="____pv2" localSheetId="7">#REF!</definedName>
    <definedName name="____pv2">#REF!</definedName>
    <definedName name="____QS25" localSheetId="0">[52]MRATES!$G$16</definedName>
    <definedName name="____QS25">[53]MRATES!$G$16</definedName>
    <definedName name="____QS40" localSheetId="0">[52]MRATES!$G$17</definedName>
    <definedName name="____QS40">[53]MRATES!$G$17</definedName>
    <definedName name="____rr3">[20]v!$A$2:$E$51</definedName>
    <definedName name="____rrr1">[20]r!$B$1:$I$145</definedName>
    <definedName name="____SD1">#REF!</definedName>
    <definedName name="____SD10">#REF!</definedName>
    <definedName name="____SD100">#REF!</definedName>
    <definedName name="____SD101">#REF!</definedName>
    <definedName name="____SD102">#REF!</definedName>
    <definedName name="____SD103">#REF!</definedName>
    <definedName name="____SD104">#REF!</definedName>
    <definedName name="____SD105">#REF!</definedName>
    <definedName name="____SD106">#REF!</definedName>
    <definedName name="____SD107">#REF!</definedName>
    <definedName name="____SD108">#REF!</definedName>
    <definedName name="____SD109">#REF!</definedName>
    <definedName name="____SD11">#REF!</definedName>
    <definedName name="____SD110">#REF!</definedName>
    <definedName name="____SD111">#REF!</definedName>
    <definedName name="____SD112">#REF!</definedName>
    <definedName name="____SD113">#REF!</definedName>
    <definedName name="____SD114">#REF!</definedName>
    <definedName name="____SD115">#REF!</definedName>
    <definedName name="____SD116">#REF!</definedName>
    <definedName name="____SD117">#REF!</definedName>
    <definedName name="____SD118">#REF!</definedName>
    <definedName name="____SD119">#REF!</definedName>
    <definedName name="____SD12">#REF!</definedName>
    <definedName name="____SD120">#REF!</definedName>
    <definedName name="____SD121">#REF!</definedName>
    <definedName name="____SD122">#REF!</definedName>
    <definedName name="____SD123">#REF!</definedName>
    <definedName name="____SD124">#REF!</definedName>
    <definedName name="____SD125">#REF!</definedName>
    <definedName name="____SD126">#REF!</definedName>
    <definedName name="____SD127">#REF!</definedName>
    <definedName name="____SD128">#REF!</definedName>
    <definedName name="____SD129">#REF!</definedName>
    <definedName name="____SD13">#REF!</definedName>
    <definedName name="____SD130">#REF!</definedName>
    <definedName name="____SD131">#REF!</definedName>
    <definedName name="____SD132">#REF!</definedName>
    <definedName name="____SD133">#REF!</definedName>
    <definedName name="____SD134">#REF!</definedName>
    <definedName name="____SD135">#REF!</definedName>
    <definedName name="____SD136">#REF!</definedName>
    <definedName name="____SD137">#REF!</definedName>
    <definedName name="____SD138">#REF!</definedName>
    <definedName name="____SD139">#REF!</definedName>
    <definedName name="____SD14">#REF!</definedName>
    <definedName name="____SD140">#REF!</definedName>
    <definedName name="____SD141">#REF!</definedName>
    <definedName name="____SD142">#REF!</definedName>
    <definedName name="____SD143">#REF!</definedName>
    <definedName name="____SD144">#REF!</definedName>
    <definedName name="____SD145">#REF!</definedName>
    <definedName name="____SD146">#REF!</definedName>
    <definedName name="____SD147">#REF!</definedName>
    <definedName name="____SD148">#REF!</definedName>
    <definedName name="____SD149">#REF!</definedName>
    <definedName name="____SD15">#REF!</definedName>
    <definedName name="____SD150">#REF!</definedName>
    <definedName name="____SD16">#REF!</definedName>
    <definedName name="____SD17">#REF!</definedName>
    <definedName name="____SD18">#REF!</definedName>
    <definedName name="____SD19">#REF!</definedName>
    <definedName name="____SD2">#REF!</definedName>
    <definedName name="____SD20">#REF!</definedName>
    <definedName name="____SD21">#REF!</definedName>
    <definedName name="____SD22">#REF!</definedName>
    <definedName name="____SD23">#REF!</definedName>
    <definedName name="____SD24">#REF!</definedName>
    <definedName name="____SD25">#REF!</definedName>
    <definedName name="____SD250">#REF!</definedName>
    <definedName name="____SD26">#REF!</definedName>
    <definedName name="____SD27">#REF!</definedName>
    <definedName name="____SD28">#REF!</definedName>
    <definedName name="____SD29">#REF!</definedName>
    <definedName name="____SD3">#REF!</definedName>
    <definedName name="____SD30">#REF!</definedName>
    <definedName name="____SD31">#REF!</definedName>
    <definedName name="____SD32">#REF!</definedName>
    <definedName name="____SD33">#REF!</definedName>
    <definedName name="____SD34">#REF!</definedName>
    <definedName name="____SD35">#REF!</definedName>
    <definedName name="____SD36">#REF!</definedName>
    <definedName name="____SD37">#REF!</definedName>
    <definedName name="____SD38">#REF!</definedName>
    <definedName name="____SD39">#REF!</definedName>
    <definedName name="____SD4">#REF!</definedName>
    <definedName name="____SD40">#REF!</definedName>
    <definedName name="____SD41">#REF!</definedName>
    <definedName name="____SD42">#REF!</definedName>
    <definedName name="____SD43">#REF!</definedName>
    <definedName name="____SD44">#REF!</definedName>
    <definedName name="____SD45">#REF!</definedName>
    <definedName name="____SD46">#REF!</definedName>
    <definedName name="____SD47">#REF!</definedName>
    <definedName name="____SD48">#REF!</definedName>
    <definedName name="____SD49">#REF!</definedName>
    <definedName name="____SD5">#REF!</definedName>
    <definedName name="____SD50">#REF!</definedName>
    <definedName name="____SD500">#REF!</definedName>
    <definedName name="____SD51">#REF!</definedName>
    <definedName name="____SD52">#REF!</definedName>
    <definedName name="____SD53">#REF!</definedName>
    <definedName name="____SD54">#REF!</definedName>
    <definedName name="____SD55">#REF!</definedName>
    <definedName name="____SD56">#REF!</definedName>
    <definedName name="____SD57">#REF!</definedName>
    <definedName name="____SD58">#REF!</definedName>
    <definedName name="____SD59">#REF!</definedName>
    <definedName name="____SD6">#REF!</definedName>
    <definedName name="____SD60">#REF!</definedName>
    <definedName name="____SD61">#REF!</definedName>
    <definedName name="____SD62">#REF!</definedName>
    <definedName name="____SD63">#REF!</definedName>
    <definedName name="____SD64">#REF!</definedName>
    <definedName name="____SD65">#REF!</definedName>
    <definedName name="____SD66">#REF!</definedName>
    <definedName name="____SD67">#REF!</definedName>
    <definedName name="____SD68">#REF!</definedName>
    <definedName name="____SD69">#REF!</definedName>
    <definedName name="____SD7">#REF!</definedName>
    <definedName name="____SD70">#REF!</definedName>
    <definedName name="____SD71">#REF!</definedName>
    <definedName name="____SD72">#REF!</definedName>
    <definedName name="____SD73">#REF!</definedName>
    <definedName name="____SD74">#REF!</definedName>
    <definedName name="____SD75">#REF!</definedName>
    <definedName name="____SD76">#REF!</definedName>
    <definedName name="____SD77">#REF!</definedName>
    <definedName name="____SD78">#REF!</definedName>
    <definedName name="____SD79">#REF!</definedName>
    <definedName name="____SD8">#REF!</definedName>
    <definedName name="____SD80">#REF!</definedName>
    <definedName name="____SD81">#REF!</definedName>
    <definedName name="____SD82">#REF!</definedName>
    <definedName name="____SD83">#REF!</definedName>
    <definedName name="____SD84">#REF!</definedName>
    <definedName name="____SD85">#REF!</definedName>
    <definedName name="____SD86">#REF!</definedName>
    <definedName name="____SD87">#REF!</definedName>
    <definedName name="____SD88">#REF!</definedName>
    <definedName name="____SD89">#REF!</definedName>
    <definedName name="____SD9">#REF!</definedName>
    <definedName name="____SD90">#REF!</definedName>
    <definedName name="____SD91">#REF!</definedName>
    <definedName name="____SD92">#REF!</definedName>
    <definedName name="____SD93">#REF!</definedName>
    <definedName name="____SD94">#REF!</definedName>
    <definedName name="____SD95">#REF!</definedName>
    <definedName name="____SD96">#REF!</definedName>
    <definedName name="____SD97">#REF!</definedName>
    <definedName name="____SD98">#REF!</definedName>
    <definedName name="____SD99">#REF!</definedName>
    <definedName name="____SS10" localSheetId="0">[52]MRATES!$J$7</definedName>
    <definedName name="____SS10">[53]MRATES!$J$7</definedName>
    <definedName name="____SS12" localSheetId="0">[52]MRATES!$J$8</definedName>
    <definedName name="____ss12" localSheetId="4">[21]rdamdata!$J$8</definedName>
    <definedName name="____SS12">[53]MRATES!$J$8</definedName>
    <definedName name="____SS150" localSheetId="0">[52]MRATES!$G$13</definedName>
    <definedName name="____SS150">[53]MRATES!$G$13</definedName>
    <definedName name="____SS20" localSheetId="0">[52]MRATES!$J$9</definedName>
    <definedName name="____ss20" localSheetId="4">[21]rdamdata!$J$7</definedName>
    <definedName name="____SS20">[53]MRATES!$J$9</definedName>
    <definedName name="____SS225">[7]Sheet1!$I$13</definedName>
    <definedName name="____SS25">[7]Sheet1!$C$10</definedName>
    <definedName name="____SS300" localSheetId="0">[52]MRATES!$G$15</definedName>
    <definedName name="____SS300">[53]MRATES!$G$15</definedName>
    <definedName name="____SS40" localSheetId="0">[52]MRATES!$J$11</definedName>
    <definedName name="____ss40" localSheetId="4">[21]rdamdata!$J$6</definedName>
    <definedName name="____SS40">[53]MRATES!$J$11</definedName>
    <definedName name="____SS50">[7]Sheet1!$C$12</definedName>
    <definedName name="____SS6">[7]Sheet1!$C$6</definedName>
    <definedName name="____SS60">[7]Sheet1!$C$13</definedName>
    <definedName name="____SS65">[7]Sheet1!$C$14</definedName>
    <definedName name="____SS75">[7]Sheet1!$C$15</definedName>
    <definedName name="____Tb3">[47]CONST!$W$323:$AH$360</definedName>
    <definedName name="____Tb4">[47]CONST!$D$75:$Q$262</definedName>
    <definedName name="____var1" localSheetId="2">#REF!</definedName>
    <definedName name="____var1" localSheetId="1">#REF!</definedName>
    <definedName name="____var1" localSheetId="4">#REF!</definedName>
    <definedName name="____var1" localSheetId="6">#REF!</definedName>
    <definedName name="____var1" localSheetId="5">#REF!</definedName>
    <definedName name="____var1" localSheetId="7">#REF!</definedName>
    <definedName name="____var1">#REF!</definedName>
    <definedName name="____var4" localSheetId="5">#REF!</definedName>
    <definedName name="____var4" localSheetId="7">#REF!</definedName>
    <definedName name="____var4">#REF!</definedName>
    <definedName name="___bla1">[16]leads!$H$7</definedName>
    <definedName name="___bwu1">'[51]Ch13.00 1Mt Drop'!$F$7</definedName>
    <definedName name="___bwu2">'[51]15_Design_1.0M_Drop'!$F$7</definedName>
    <definedName name="___can430">40.73</definedName>
    <definedName name="___can435">43.3</definedName>
    <definedName name="___CBW1">#REF!</definedName>
    <definedName name="___CND1" localSheetId="0">#REF!</definedName>
    <definedName name="___CND1">#REF!</definedName>
    <definedName name="___cnd2" localSheetId="0">#REF!</definedName>
    <definedName name="___cnd2">#REF!</definedName>
    <definedName name="___cnd3">#REF!</definedName>
    <definedName name="___con1" localSheetId="0">[35]ssr20506!$D$81</definedName>
    <definedName name="___con1">[41]ssr20506!$D$81</definedName>
    <definedName name="___cur1">[8]r!$F$30</definedName>
    <definedName name="___dec05" hidden="1">{"'Sheet1'!$A$4386:$N$4591"}</definedName>
    <definedName name="___du1">'[51]Ch13.00 1Mt Drop'!$F$6</definedName>
    <definedName name="___du2">'[51]15_Design_1.0M_Drop'!$F$6</definedName>
    <definedName name="___fbd1">'[51]Ch13.00 1Mt Drop'!$H$9</definedName>
    <definedName name="___fbd2">'[51]15_Design_1.0M_Drop'!$H$9</definedName>
    <definedName name="___fbu1">'[51]Ch13.00 1Mt Drop'!$F$9</definedName>
    <definedName name="___fbu2">'[51]15_Design_1.0M_Drop'!$F$9</definedName>
    <definedName name="___flp1">#REF!</definedName>
    <definedName name="___gld1">'[51]Ch13.00 1Mt Drop'!$H$11</definedName>
    <definedName name="___gld2">'[51]15_Design_1.0M_Drop'!$H$11</definedName>
    <definedName name="___glu1">'[51]Ch13.00 1Mt Drop'!$F$11</definedName>
    <definedName name="___glu2">'[51]15_Design_1.0M_Drop'!$F$11</definedName>
    <definedName name="___HDR1" localSheetId="0">#REF!</definedName>
    <definedName name="___hdr1">[42]E!$I$14</definedName>
    <definedName name="___hdr2" localSheetId="2">#REF!</definedName>
    <definedName name="___hdr2" localSheetId="1">#REF!</definedName>
    <definedName name="___hdr2" localSheetId="4">#REF!</definedName>
    <definedName name="___hdr2" localSheetId="6">#REF!</definedName>
    <definedName name="___hdr2" localSheetId="5">#REF!</definedName>
    <definedName name="___hdr2" localSheetId="7">#REF!</definedName>
    <definedName name="___hdr2">#REF!</definedName>
    <definedName name="___IDC2">#N/A</definedName>
    <definedName name="___IDC21">#N/A</definedName>
    <definedName name="___IDC22">#N/A</definedName>
    <definedName name="___IDC3">#N/A</definedName>
    <definedName name="___imp1" localSheetId="2">#REF!</definedName>
    <definedName name="___imp1" localSheetId="1">#REF!</definedName>
    <definedName name="___imp1" localSheetId="4">#REF!</definedName>
    <definedName name="___imp1" localSheetId="6">#REF!</definedName>
    <definedName name="___imp1" localSheetId="5">#REF!</definedName>
    <definedName name="___imp1" localSheetId="7">#REF!</definedName>
    <definedName name="___imp1">#REF!</definedName>
    <definedName name="___imp2" localSheetId="0">#REF!</definedName>
    <definedName name="___imp2" localSheetId="4">"$#REF!.$#REF!$#REF!"</definedName>
    <definedName name="___imp2" localSheetId="5">#REF!</definedName>
    <definedName name="___imp2">#REF!</definedName>
    <definedName name="___imp3" localSheetId="0">#REF!</definedName>
    <definedName name="___imp3" localSheetId="4">"$#REF!.$#REF!$#REF!"</definedName>
    <definedName name="___imp3" localSheetId="5">#REF!</definedName>
    <definedName name="___imp3">#REF!</definedName>
    <definedName name="___imp4" localSheetId="2">#REF!</definedName>
    <definedName name="___imp4" localSheetId="1">#REF!</definedName>
    <definedName name="___imp4" localSheetId="4">#REF!</definedName>
    <definedName name="___imp4" localSheetId="6">#REF!</definedName>
    <definedName name="___imp4" localSheetId="5">#REF!</definedName>
    <definedName name="___imp4" localSheetId="7">#REF!</definedName>
    <definedName name="___imp4">#REF!</definedName>
    <definedName name="___imp5" localSheetId="0">#REF!</definedName>
    <definedName name="___imp5" localSheetId="4">"$#REF!.$#REF!$#REF!"</definedName>
    <definedName name="___imp5" localSheetId="5">#REF!</definedName>
    <definedName name="___imp5">#REF!</definedName>
    <definedName name="___imp6" localSheetId="0">#REF!</definedName>
    <definedName name="___imp6" localSheetId="4">"$#REF!.$G$59"</definedName>
    <definedName name="___imp6" localSheetId="5">#REF!</definedName>
    <definedName name="___imp6">#REF!</definedName>
    <definedName name="___IRC12" localSheetId="0">[52]MRATES!$M$9</definedName>
    <definedName name="___IRC12">[53]MRATES!$M$9</definedName>
    <definedName name="___IRC19" localSheetId="0">[52]MRATES!$M$10</definedName>
    <definedName name="___IRC19">[53]MRATES!$M$10</definedName>
    <definedName name="___IRC25" localSheetId="0">[52]MRATES!$M$11</definedName>
    <definedName name="___IRC25">[53]MRATES!$M$11</definedName>
    <definedName name="___IRC40" localSheetId="0">[52]MRATES!$M$12</definedName>
    <definedName name="___IRC40">[53]MRATES!$M$12</definedName>
    <definedName name="___IRC5" localSheetId="0">[52]MRATES!$M$7</definedName>
    <definedName name="___IRC5">[53]MRATES!$M$7</definedName>
    <definedName name="___IRC50" localSheetId="0">[48]MRATES!$M$13</definedName>
    <definedName name="___IRC50">[49]MRATES!$M$13</definedName>
    <definedName name="___IRC60" localSheetId="0">[48]MRATES!$M$14</definedName>
    <definedName name="___IRC60">[49]MRATES!$M$14</definedName>
    <definedName name="___IRC65">[7]Sheet1!$F$15</definedName>
    <definedName name="___IRC75">[7]Sheet1!$F$16</definedName>
    <definedName name="___IRC9" localSheetId="0">[52]MRATES!$M$8</definedName>
    <definedName name="___IRC9">[53]MRATES!$M$8</definedName>
    <definedName name="___l1">[17]leads!$A$3:$E$108</definedName>
    <definedName name="___l12" localSheetId="2">#REF!</definedName>
    <definedName name="___l12" localSheetId="1">#REF!</definedName>
    <definedName name="___l12" localSheetId="4">#REF!</definedName>
    <definedName name="___l12" localSheetId="6">#REF!</definedName>
    <definedName name="___l12" localSheetId="5">#REF!</definedName>
    <definedName name="___l12" localSheetId="7">#REF!</definedName>
    <definedName name="___l12">#REF!</definedName>
    <definedName name="___l2">[8]r!$F$29</definedName>
    <definedName name="___l3" localSheetId="2">#REF!</definedName>
    <definedName name="___l3" localSheetId="1">#REF!</definedName>
    <definedName name="___l3" localSheetId="4">#REF!</definedName>
    <definedName name="___l3" localSheetId="6">#REF!</definedName>
    <definedName name="___l3" localSheetId="5">#REF!</definedName>
    <definedName name="___l3" localSheetId="7">#REF!</definedName>
    <definedName name="___l3">#REF!</definedName>
    <definedName name="___l4">[18]Sheet1!$W$2:$Y$103</definedName>
    <definedName name="___l5" localSheetId="2">#REF!</definedName>
    <definedName name="___l5" localSheetId="1">#REF!</definedName>
    <definedName name="___l5" localSheetId="4">#REF!</definedName>
    <definedName name="___l5" localSheetId="6">#REF!</definedName>
    <definedName name="___l5" localSheetId="5">#REF!</definedName>
    <definedName name="___l5" localSheetId="7">#REF!</definedName>
    <definedName name="___l5">#REF!</definedName>
    <definedName name="___l6">[8]r!$F$4</definedName>
    <definedName name="___l7">[9]r!$F$4</definedName>
    <definedName name="___l8">[8]r!$F$2</definedName>
    <definedName name="___l9">[8]r!$F$3</definedName>
    <definedName name="___lb1">#REF!</definedName>
    <definedName name="___lb2">#REF!</definedName>
    <definedName name="___ldw1">'[51]Ch13.00 1Mt Drop'!$F$25</definedName>
    <definedName name="___ldw2">'[51]15_Design_1.0M_Drop'!$F$25</definedName>
    <definedName name="___loc1">#N/A</definedName>
    <definedName name="___mm1">[19]r!$F$4</definedName>
    <definedName name="___mm11">[8]r!$F$4</definedName>
    <definedName name="___mm111">[9]r!$F$4</definedName>
    <definedName name="___mm2">#REF!</definedName>
    <definedName name="___mm3">#REF!</definedName>
    <definedName name="___MS6" localSheetId="0">[52]MRATES!$P$50</definedName>
    <definedName name="___MS6" localSheetId="4">[54]MRATES!$T$17</definedName>
    <definedName name="___MS6">[53]MRATES!$P$50</definedName>
    <definedName name="___MT1">#REF!</definedName>
    <definedName name="___MT10">#REF!</definedName>
    <definedName name="___MT100">#REF!</definedName>
    <definedName name="___MT101">#REF!</definedName>
    <definedName name="___MT102">#REF!</definedName>
    <definedName name="___MT103">#REF!</definedName>
    <definedName name="___MT104">#REF!</definedName>
    <definedName name="___MT105">#REF!</definedName>
    <definedName name="___MT106">#REF!</definedName>
    <definedName name="___MT107">#REF!</definedName>
    <definedName name="___MT108">#REF!</definedName>
    <definedName name="___MT109">#REF!</definedName>
    <definedName name="___MT11">#REF!</definedName>
    <definedName name="___MT110">#REF!</definedName>
    <definedName name="___MT111">#REF!</definedName>
    <definedName name="___MT112">#REF!</definedName>
    <definedName name="___MT113">#REF!</definedName>
    <definedName name="___MT114">#REF!</definedName>
    <definedName name="___MT115">#REF!</definedName>
    <definedName name="___MT116">#REF!</definedName>
    <definedName name="___MT117">#REF!</definedName>
    <definedName name="___MT118">#REF!</definedName>
    <definedName name="___MT119">#REF!</definedName>
    <definedName name="___MT12">#REF!</definedName>
    <definedName name="___MT120">#REF!</definedName>
    <definedName name="___MT121">#REF!</definedName>
    <definedName name="___MT122">#REF!</definedName>
    <definedName name="___MT123">#REF!</definedName>
    <definedName name="___MT124">#REF!</definedName>
    <definedName name="___MT125">#REF!</definedName>
    <definedName name="___MT126">#REF!</definedName>
    <definedName name="___MT127">#REF!</definedName>
    <definedName name="___MT128">#REF!</definedName>
    <definedName name="___MT129">#REF!</definedName>
    <definedName name="___MT13">#REF!</definedName>
    <definedName name="___MT130">#REF!</definedName>
    <definedName name="___MT131">#REF!</definedName>
    <definedName name="___MT132">#REF!</definedName>
    <definedName name="___MT133">#REF!</definedName>
    <definedName name="___MT134">#REF!</definedName>
    <definedName name="___MT135">#REF!</definedName>
    <definedName name="___MT136">#REF!</definedName>
    <definedName name="___MT137">#REF!</definedName>
    <definedName name="___MT138">#REF!</definedName>
    <definedName name="___MT139">#REF!</definedName>
    <definedName name="___MT14">#REF!</definedName>
    <definedName name="___MT140">#REF!</definedName>
    <definedName name="___MT141">#REF!</definedName>
    <definedName name="___MT142">#REF!</definedName>
    <definedName name="___MT143">#REF!</definedName>
    <definedName name="___MT144">#REF!</definedName>
    <definedName name="___MT145">#REF!</definedName>
    <definedName name="___MT146">#REF!</definedName>
    <definedName name="___MT147">#REF!</definedName>
    <definedName name="___MT148">#REF!</definedName>
    <definedName name="___MT149">#REF!</definedName>
    <definedName name="___MT15">#REF!</definedName>
    <definedName name="___MT150">#REF!</definedName>
    <definedName name="___MT16">#REF!</definedName>
    <definedName name="___MT17">#REF!</definedName>
    <definedName name="___MT18">#REF!</definedName>
    <definedName name="___MT19">#REF!</definedName>
    <definedName name="___MT2">#REF!</definedName>
    <definedName name="___MT20">#REF!</definedName>
    <definedName name="___MT21">#REF!</definedName>
    <definedName name="___MT22">#REF!</definedName>
    <definedName name="___MT23">#REF!</definedName>
    <definedName name="___MT24">#REF!</definedName>
    <definedName name="___MT25">#REF!</definedName>
    <definedName name="___MT26">#REF!</definedName>
    <definedName name="___MT27">#REF!</definedName>
    <definedName name="___MT28">#REF!</definedName>
    <definedName name="___MT29">#REF!</definedName>
    <definedName name="___MT3">#REF!</definedName>
    <definedName name="___MT30">#REF!</definedName>
    <definedName name="___MT31">#REF!</definedName>
    <definedName name="___MT32">#REF!</definedName>
    <definedName name="___MT33">#REF!</definedName>
    <definedName name="___MT34">#REF!</definedName>
    <definedName name="___MT35">#REF!</definedName>
    <definedName name="___MT36">#REF!</definedName>
    <definedName name="___MT37">#REF!</definedName>
    <definedName name="___MT38">#REF!</definedName>
    <definedName name="___MT39">#REF!</definedName>
    <definedName name="___MT4">#REF!</definedName>
    <definedName name="___MT40">#REF!</definedName>
    <definedName name="___MT41">#REF!</definedName>
    <definedName name="___MT42">#REF!</definedName>
    <definedName name="___MT43">#REF!</definedName>
    <definedName name="___MT44">#REF!</definedName>
    <definedName name="___MT45">#REF!</definedName>
    <definedName name="___MT46">#REF!</definedName>
    <definedName name="___MT47">#REF!</definedName>
    <definedName name="___MT48">#REF!</definedName>
    <definedName name="___MT49">#REF!</definedName>
    <definedName name="___MT5">#REF!</definedName>
    <definedName name="___MT50">#REF!</definedName>
    <definedName name="___MT500">#REF!</definedName>
    <definedName name="___MT51">#REF!</definedName>
    <definedName name="___MT52">#REF!</definedName>
    <definedName name="___MT53">#REF!</definedName>
    <definedName name="___MT54">#REF!</definedName>
    <definedName name="___MT55">#REF!</definedName>
    <definedName name="___MT56">#REF!</definedName>
    <definedName name="___MT57">#REF!</definedName>
    <definedName name="___MT58">#REF!</definedName>
    <definedName name="___MT59">#REF!</definedName>
    <definedName name="___MT6">#REF!</definedName>
    <definedName name="___MT60">#REF!</definedName>
    <definedName name="___MT61">#REF!</definedName>
    <definedName name="___MT62">#REF!</definedName>
    <definedName name="___MT63">#REF!</definedName>
    <definedName name="___MT64">#REF!</definedName>
    <definedName name="___MT65">#REF!</definedName>
    <definedName name="___MT66">#REF!</definedName>
    <definedName name="___MT67">#REF!</definedName>
    <definedName name="___MT68">#REF!</definedName>
    <definedName name="___MT69">#REF!</definedName>
    <definedName name="___MT7">#REF!</definedName>
    <definedName name="___MT70">#REF!</definedName>
    <definedName name="___MT71">#REF!</definedName>
    <definedName name="___MT72">#REF!</definedName>
    <definedName name="___MT73">#REF!</definedName>
    <definedName name="___MT74">#REF!</definedName>
    <definedName name="___MT75">#REF!</definedName>
    <definedName name="___MT76">#REF!</definedName>
    <definedName name="___MT77">#REF!</definedName>
    <definedName name="___MT78">#REF!</definedName>
    <definedName name="___MT79">#REF!</definedName>
    <definedName name="___MT8">#REF!</definedName>
    <definedName name="___MT80">#REF!</definedName>
    <definedName name="___MT81">#REF!</definedName>
    <definedName name="___MT82">#REF!</definedName>
    <definedName name="___MT83">#REF!</definedName>
    <definedName name="___MT84">#REF!</definedName>
    <definedName name="___MT85">#REF!</definedName>
    <definedName name="___MT86">#REF!</definedName>
    <definedName name="___MT87">#REF!</definedName>
    <definedName name="___MT88">#REF!</definedName>
    <definedName name="___MT89">#REF!</definedName>
    <definedName name="___MT9">#REF!</definedName>
    <definedName name="___MT90">#REF!</definedName>
    <definedName name="___MT91">#REF!</definedName>
    <definedName name="___MT92">#REF!</definedName>
    <definedName name="___MT93">#REF!</definedName>
    <definedName name="___MT94">#REF!</definedName>
    <definedName name="___MT95">#REF!</definedName>
    <definedName name="___MT96">#REF!</definedName>
    <definedName name="___MT97">#REF!</definedName>
    <definedName name="___MT98">#REF!</definedName>
    <definedName name="___MT99">#REF!</definedName>
    <definedName name="___OH1" localSheetId="0">[52]MRATES!$C$35</definedName>
    <definedName name="___OH1">[53]MRATES!$C$35</definedName>
    <definedName name="___pc2" localSheetId="2">#REF!</definedName>
    <definedName name="___pc2" localSheetId="1">#REF!</definedName>
    <definedName name="___pc2" localSheetId="4">#REF!</definedName>
    <definedName name="___pc2" localSheetId="6">#REF!</definedName>
    <definedName name="___pc2" localSheetId="5">#REF!</definedName>
    <definedName name="___pc2" localSheetId="7">#REF!</definedName>
    <definedName name="___pc2">#REF!</definedName>
    <definedName name="___PPA14">#REF!</definedName>
    <definedName name="___PPB154">#REF!</definedName>
    <definedName name="___PPB155">#REF!</definedName>
    <definedName name="___PPB16">#REF!</definedName>
    <definedName name="___PPB17">#REF!</definedName>
    <definedName name="___PPB18">#REF!</definedName>
    <definedName name="___PPB19">#REF!</definedName>
    <definedName name="___PPB2">#REF!</definedName>
    <definedName name="___PPB20">#REF!</definedName>
    <definedName name="___PPB21">#REF!</definedName>
    <definedName name="___PPB22">#REF!</definedName>
    <definedName name="___PPB23">#REF!</definedName>
    <definedName name="___PPB24">#REF!</definedName>
    <definedName name="___PPB25">#REF!</definedName>
    <definedName name="___PPB26">#REF!</definedName>
    <definedName name="___PPB27">#REF!</definedName>
    <definedName name="___PPB28">#REF!</definedName>
    <definedName name="___PPB29">#REF!</definedName>
    <definedName name="___PPB3">#REF!</definedName>
    <definedName name="___PPB30">#REF!</definedName>
    <definedName name="___PPB31">#REF!</definedName>
    <definedName name="___PPB32">#REF!</definedName>
    <definedName name="___PPB33">#REF!</definedName>
    <definedName name="___PPB34">#REF!</definedName>
    <definedName name="___PPB35">#REF!</definedName>
    <definedName name="___PPB36">#REF!</definedName>
    <definedName name="___PPB37">#REF!</definedName>
    <definedName name="___PPB38">#REF!</definedName>
    <definedName name="___PPB39">#REF!</definedName>
    <definedName name="___PPB4">#REF!</definedName>
    <definedName name="___PPB40">#REF!</definedName>
    <definedName name="___PPB41">#REF!</definedName>
    <definedName name="___PPB42">#REF!</definedName>
    <definedName name="___PPB43">#REF!</definedName>
    <definedName name="___PPB44">#REF!</definedName>
    <definedName name="___PPB45">#REF!</definedName>
    <definedName name="___PPB46">#REF!</definedName>
    <definedName name="___PPB47">#REF!</definedName>
    <definedName name="___PPB48">#REF!</definedName>
    <definedName name="___PPB49">#REF!</definedName>
    <definedName name="___PPB5">#REF!</definedName>
    <definedName name="___PPB50">#REF!</definedName>
    <definedName name="___PPB51">#REF!</definedName>
    <definedName name="___PPB52">#REF!</definedName>
    <definedName name="___PPB53">#REF!</definedName>
    <definedName name="___PPB54">#REF!</definedName>
    <definedName name="___PPB55">#REF!</definedName>
    <definedName name="___PPB56">#REF!</definedName>
    <definedName name="___PPB57">#REF!</definedName>
    <definedName name="___PPB58">#REF!</definedName>
    <definedName name="___PPB59">#REF!</definedName>
    <definedName name="___PPB6">#REF!</definedName>
    <definedName name="___PPB60">#REF!</definedName>
    <definedName name="___PPB61">#REF!</definedName>
    <definedName name="___PPB62">#REF!</definedName>
    <definedName name="___PPB63">#REF!</definedName>
    <definedName name="___PPB64">#REF!</definedName>
    <definedName name="___PPB65">#REF!</definedName>
    <definedName name="___PPB66">#REF!</definedName>
    <definedName name="___PPB67">#REF!</definedName>
    <definedName name="___PPB68">#REF!</definedName>
    <definedName name="___PPB69">#REF!</definedName>
    <definedName name="___PPB7">#REF!</definedName>
    <definedName name="___PPB70">#REF!</definedName>
    <definedName name="___PPB71">#REF!</definedName>
    <definedName name="___PPB72">#REF!</definedName>
    <definedName name="___PPB73">#REF!</definedName>
    <definedName name="___PPB74">#REF!</definedName>
    <definedName name="___PPB75">#REF!</definedName>
    <definedName name="___PPB76">#REF!</definedName>
    <definedName name="___PPB77">#REF!</definedName>
    <definedName name="___PPB78">#REF!</definedName>
    <definedName name="___PPB79">#REF!</definedName>
    <definedName name="___PPB8">#REF!</definedName>
    <definedName name="___PPB80">#REF!</definedName>
    <definedName name="___PPB81">#REF!</definedName>
    <definedName name="___PPB82">#REF!</definedName>
    <definedName name="___PPB83">#REF!</definedName>
    <definedName name="___PPB84">#REF!</definedName>
    <definedName name="___PPB85">#REF!</definedName>
    <definedName name="___PPB86">#REF!</definedName>
    <definedName name="___PPB87">#REF!</definedName>
    <definedName name="___PPB88">#REF!</definedName>
    <definedName name="___PPB89">#REF!</definedName>
    <definedName name="___PPB9">#REF!</definedName>
    <definedName name="___PPB90">#REF!</definedName>
    <definedName name="___PPB91">#REF!</definedName>
    <definedName name="___PPB92">#REF!</definedName>
    <definedName name="___PPB93">#REF!</definedName>
    <definedName name="___PPB94">#REF!</definedName>
    <definedName name="___PPB95">#REF!</definedName>
    <definedName name="___PPB96">#REF!</definedName>
    <definedName name="___PPB97">#REF!</definedName>
    <definedName name="___PPB98">#REF!</definedName>
    <definedName name="___PPB99">#REF!</definedName>
    <definedName name="___ppc001">#REF!</definedName>
    <definedName name="___PPC1">#REF!</definedName>
    <definedName name="___PPC10">#REF!</definedName>
    <definedName name="___PPC100">#REF!</definedName>
    <definedName name="___PPC101">#REF!</definedName>
    <definedName name="___PPC102">#REF!</definedName>
    <definedName name="___PPC103">#REF!</definedName>
    <definedName name="___PPC104">#REF!</definedName>
    <definedName name="___PPC105">#REF!</definedName>
    <definedName name="___PPC106">#REF!</definedName>
    <definedName name="___PPC107">#REF!</definedName>
    <definedName name="___PPC108">#REF!</definedName>
    <definedName name="___PPC109">#REF!</definedName>
    <definedName name="___PPC11">#REF!</definedName>
    <definedName name="___PPC110">#REF!</definedName>
    <definedName name="___PPC111">#REF!</definedName>
    <definedName name="___PPC112">#REF!</definedName>
    <definedName name="___PPC113">#REF!</definedName>
    <definedName name="___PPC114">#REF!</definedName>
    <definedName name="___PPC115">#REF!</definedName>
    <definedName name="___PPC116">#REF!</definedName>
    <definedName name="___PPC117">#REF!</definedName>
    <definedName name="___PPC118">#REF!</definedName>
    <definedName name="___PPC119">#REF!</definedName>
    <definedName name="___PPC12">#REF!</definedName>
    <definedName name="___PPC120">#REF!</definedName>
    <definedName name="___PPC121">#REF!</definedName>
    <definedName name="___PPC122">#REF!</definedName>
    <definedName name="___PPC123">#REF!</definedName>
    <definedName name="___PPC124">#REF!</definedName>
    <definedName name="___PPC125">#REF!</definedName>
    <definedName name="___PPC126">#REF!</definedName>
    <definedName name="___PPC127">#REF!</definedName>
    <definedName name="___PPC128">#REF!</definedName>
    <definedName name="___PPC129">#REF!</definedName>
    <definedName name="___PPC13">#REF!</definedName>
    <definedName name="___PPC130">#REF!</definedName>
    <definedName name="___PPC131">#REF!</definedName>
    <definedName name="___PPC132">#REF!</definedName>
    <definedName name="___PPC133">#REF!</definedName>
    <definedName name="___PPC134">#REF!</definedName>
    <definedName name="___PPC135">#REF!</definedName>
    <definedName name="___PPC136">#REF!</definedName>
    <definedName name="___PPC137">#REF!</definedName>
    <definedName name="___PPC138">#REF!</definedName>
    <definedName name="___PPC139">#REF!</definedName>
    <definedName name="___PPC14">#REF!</definedName>
    <definedName name="___PPC140">#REF!</definedName>
    <definedName name="___PPC141">#REF!</definedName>
    <definedName name="___PPC142">#REF!</definedName>
    <definedName name="___PPC143">#REF!</definedName>
    <definedName name="___PPC144">#REF!</definedName>
    <definedName name="___PPC145">#REF!</definedName>
    <definedName name="___PPC146">#REF!</definedName>
    <definedName name="___PPC147">#REF!</definedName>
    <definedName name="___PPC148">#REF!</definedName>
    <definedName name="___PPC149">#REF!</definedName>
    <definedName name="___PPC15">#REF!</definedName>
    <definedName name="___PPC150">#REF!</definedName>
    <definedName name="___PPC151">#REF!</definedName>
    <definedName name="___PPC152">#REF!</definedName>
    <definedName name="___PPC153">#REF!</definedName>
    <definedName name="___PPC154">#REF!</definedName>
    <definedName name="___PPC155">#REF!</definedName>
    <definedName name="___PPC16">#REF!</definedName>
    <definedName name="___PPC17">#REF!</definedName>
    <definedName name="___PPC18">#REF!</definedName>
    <definedName name="___PPC19">#REF!</definedName>
    <definedName name="___PPC2">#REF!</definedName>
    <definedName name="___PPC20">#REF!</definedName>
    <definedName name="___PPC21">#REF!</definedName>
    <definedName name="___PPC22">#REF!</definedName>
    <definedName name="___PPC23">#REF!</definedName>
    <definedName name="___PPC24">#REF!</definedName>
    <definedName name="___PPC25">#REF!</definedName>
    <definedName name="___PPC26">#REF!</definedName>
    <definedName name="___PPC27">#REF!</definedName>
    <definedName name="___PPC28">#REF!</definedName>
    <definedName name="___PPC29">#REF!</definedName>
    <definedName name="___PPC3">#REF!</definedName>
    <definedName name="___PPC30">#REF!</definedName>
    <definedName name="___PPC31">#REF!</definedName>
    <definedName name="___PPC32">#REF!</definedName>
    <definedName name="___PPC33">#REF!</definedName>
    <definedName name="___PPC34">#REF!</definedName>
    <definedName name="___PPC35">#REF!</definedName>
    <definedName name="___PPC36">#REF!</definedName>
    <definedName name="___PPC37">#REF!</definedName>
    <definedName name="___PPC38">#REF!</definedName>
    <definedName name="___PPC39">#REF!</definedName>
    <definedName name="___PPC4">#REF!</definedName>
    <definedName name="___PPC40">#REF!</definedName>
    <definedName name="___PPC41">#REF!</definedName>
    <definedName name="___PPC42">#REF!</definedName>
    <definedName name="___PPC43">#REF!</definedName>
    <definedName name="___PPC44">#REF!</definedName>
    <definedName name="___PPC45">#REF!</definedName>
    <definedName name="___PPC46">#REF!</definedName>
    <definedName name="___PPC47">#REF!</definedName>
    <definedName name="___PPC48">#REF!</definedName>
    <definedName name="___PPC49">#REF!</definedName>
    <definedName name="___PPC5">#REF!</definedName>
    <definedName name="___PPC50">#REF!</definedName>
    <definedName name="___PPC51">#REF!</definedName>
    <definedName name="___PPC52">#REF!</definedName>
    <definedName name="___PPC53">#REF!</definedName>
    <definedName name="___PPC54">#REF!</definedName>
    <definedName name="___PPC55">#REF!</definedName>
    <definedName name="___PPC56">#REF!</definedName>
    <definedName name="___PPC57">#REF!</definedName>
    <definedName name="___PPC58">#REF!</definedName>
    <definedName name="___PPC59">#REF!</definedName>
    <definedName name="___PPC6">#REF!</definedName>
    <definedName name="___PPC60">#REF!</definedName>
    <definedName name="___PPC61">#REF!</definedName>
    <definedName name="___PPC62">#REF!</definedName>
    <definedName name="___PPC63">#REF!</definedName>
    <definedName name="___PPC64">#REF!</definedName>
    <definedName name="___PPC65">#REF!</definedName>
    <definedName name="___PPC66">#REF!</definedName>
    <definedName name="___PPC67">#REF!</definedName>
    <definedName name="___PPC68">#REF!</definedName>
    <definedName name="___PPC69">#REF!</definedName>
    <definedName name="___PPC7">#REF!</definedName>
    <definedName name="___PPC70">#REF!</definedName>
    <definedName name="___PPC71">#REF!</definedName>
    <definedName name="___PPC72">#REF!</definedName>
    <definedName name="___PPC73">#REF!</definedName>
    <definedName name="___PPC74">#REF!</definedName>
    <definedName name="___PPC75">#REF!</definedName>
    <definedName name="___PPC76">#REF!</definedName>
    <definedName name="___PPC77">#REF!</definedName>
    <definedName name="___PPC78">#REF!</definedName>
    <definedName name="___PPC79">#REF!</definedName>
    <definedName name="___PPC8">#REF!</definedName>
    <definedName name="___PPC80">#REF!</definedName>
    <definedName name="___PPC81">#REF!</definedName>
    <definedName name="___PPC82">#REF!</definedName>
    <definedName name="___PPC83">#REF!</definedName>
    <definedName name="___PPC84">#REF!</definedName>
    <definedName name="___PPC85">#REF!</definedName>
    <definedName name="___PPC86">#REF!</definedName>
    <definedName name="___PPC87">#REF!</definedName>
    <definedName name="___PPC88">#REF!</definedName>
    <definedName name="___PPC89">#REF!</definedName>
    <definedName name="___PPC9">#REF!</definedName>
    <definedName name="___PPC90">#REF!</definedName>
    <definedName name="___PPC91">#REF!</definedName>
    <definedName name="___PPC92">#REF!</definedName>
    <definedName name="___PPC93">#REF!</definedName>
    <definedName name="___PPC94">#REF!</definedName>
    <definedName name="___PPC95">#REF!</definedName>
    <definedName name="___PPD114">#REF!</definedName>
    <definedName name="___PPD89">#REF!</definedName>
    <definedName name="___pv2" localSheetId="5">#REF!</definedName>
    <definedName name="___pv2" localSheetId="7">#REF!</definedName>
    <definedName name="___pv2">#REF!</definedName>
    <definedName name="___QS25" localSheetId="0">[52]MRATES!$G$16</definedName>
    <definedName name="___QS25">[53]MRATES!$G$16</definedName>
    <definedName name="___QS40" localSheetId="0">[52]MRATES!$G$17</definedName>
    <definedName name="___QS40">[53]MRATES!$G$17</definedName>
    <definedName name="___rr3">[20]v!$A$2:$E$51</definedName>
    <definedName name="___rrr1">[20]r!$B$1:$I$145</definedName>
    <definedName name="___SD1">#REF!</definedName>
    <definedName name="___SD10">#REF!</definedName>
    <definedName name="___SD100">#REF!</definedName>
    <definedName name="___SD101">#REF!</definedName>
    <definedName name="___SD102">#REF!</definedName>
    <definedName name="___SD103">#REF!</definedName>
    <definedName name="___SD104">#REF!</definedName>
    <definedName name="___SD105">#REF!</definedName>
    <definedName name="___SD106">#REF!</definedName>
    <definedName name="___SD107">#REF!</definedName>
    <definedName name="___SD108">#REF!</definedName>
    <definedName name="___SD109">#REF!</definedName>
    <definedName name="___SD11">#REF!</definedName>
    <definedName name="___SD110">#REF!</definedName>
    <definedName name="___SD111">#REF!</definedName>
    <definedName name="___SD112">#REF!</definedName>
    <definedName name="___SD113">#REF!</definedName>
    <definedName name="___SD114">#REF!</definedName>
    <definedName name="___SD115">#REF!</definedName>
    <definedName name="___SD116">#REF!</definedName>
    <definedName name="___SD117">#REF!</definedName>
    <definedName name="___SD118">#REF!</definedName>
    <definedName name="___SD119">#REF!</definedName>
    <definedName name="___SD12">#REF!</definedName>
    <definedName name="___SD120">#REF!</definedName>
    <definedName name="___SD121">#REF!</definedName>
    <definedName name="___SD122">#REF!</definedName>
    <definedName name="___SD123">#REF!</definedName>
    <definedName name="___SD124">#REF!</definedName>
    <definedName name="___SD125">#REF!</definedName>
    <definedName name="___SD126">#REF!</definedName>
    <definedName name="___SD127">#REF!</definedName>
    <definedName name="___SD128">#REF!</definedName>
    <definedName name="___SD129">#REF!</definedName>
    <definedName name="___SD13">#REF!</definedName>
    <definedName name="___SD130">#REF!</definedName>
    <definedName name="___SD131">#REF!</definedName>
    <definedName name="___SD132">#REF!</definedName>
    <definedName name="___SD133">#REF!</definedName>
    <definedName name="___SD134">#REF!</definedName>
    <definedName name="___SD135">#REF!</definedName>
    <definedName name="___SD136">#REF!</definedName>
    <definedName name="___SD137">#REF!</definedName>
    <definedName name="___SD138">#REF!</definedName>
    <definedName name="___SD139">#REF!</definedName>
    <definedName name="___SD14">#REF!</definedName>
    <definedName name="___SD140">#REF!</definedName>
    <definedName name="___SD141">#REF!</definedName>
    <definedName name="___SD142">#REF!</definedName>
    <definedName name="___SD143">#REF!</definedName>
    <definedName name="___SD144">#REF!</definedName>
    <definedName name="___SD145">#REF!</definedName>
    <definedName name="___SD146">#REF!</definedName>
    <definedName name="___SD147">#REF!</definedName>
    <definedName name="___SD148">#REF!</definedName>
    <definedName name="___SD149">#REF!</definedName>
    <definedName name="___SD15">#REF!</definedName>
    <definedName name="___SD150">#REF!</definedName>
    <definedName name="___SD16">#REF!</definedName>
    <definedName name="___SD17">#REF!</definedName>
    <definedName name="___SD18">#REF!</definedName>
    <definedName name="___SD19">#REF!</definedName>
    <definedName name="___SD2">#REF!</definedName>
    <definedName name="___SD20">#REF!</definedName>
    <definedName name="___SD21">#REF!</definedName>
    <definedName name="___SD22">#REF!</definedName>
    <definedName name="___SD23">#REF!</definedName>
    <definedName name="___SD24">#REF!</definedName>
    <definedName name="___SD25">#REF!</definedName>
    <definedName name="___SD250">#REF!</definedName>
    <definedName name="___SD26">#REF!</definedName>
    <definedName name="___SD27">#REF!</definedName>
    <definedName name="___SD28">#REF!</definedName>
    <definedName name="___SD29">#REF!</definedName>
    <definedName name="___SD3">#REF!</definedName>
    <definedName name="___SD30">#REF!</definedName>
    <definedName name="___SD31">#REF!</definedName>
    <definedName name="___SD32">#REF!</definedName>
    <definedName name="___SD33">#REF!</definedName>
    <definedName name="___SD34">#REF!</definedName>
    <definedName name="___SD35">#REF!</definedName>
    <definedName name="___SD36">#REF!</definedName>
    <definedName name="___SD37">#REF!</definedName>
    <definedName name="___SD38">#REF!</definedName>
    <definedName name="___SD39">#REF!</definedName>
    <definedName name="___SD4">#REF!</definedName>
    <definedName name="___SD40">#REF!</definedName>
    <definedName name="___SD41">#REF!</definedName>
    <definedName name="___SD42">#REF!</definedName>
    <definedName name="___SD43">#REF!</definedName>
    <definedName name="___SD44">#REF!</definedName>
    <definedName name="___SD45">#REF!</definedName>
    <definedName name="___SD46">#REF!</definedName>
    <definedName name="___SD47">#REF!</definedName>
    <definedName name="___SD48">#REF!</definedName>
    <definedName name="___SD49">#REF!</definedName>
    <definedName name="___SD5">#REF!</definedName>
    <definedName name="___SD50">#REF!</definedName>
    <definedName name="___SD500">#REF!</definedName>
    <definedName name="___SD51">#REF!</definedName>
    <definedName name="___SD52">#REF!</definedName>
    <definedName name="___SD53">#REF!</definedName>
    <definedName name="___SD54">#REF!</definedName>
    <definedName name="___SD55">#REF!</definedName>
    <definedName name="___SD56">#REF!</definedName>
    <definedName name="___SD57">#REF!</definedName>
    <definedName name="___SD58">#REF!</definedName>
    <definedName name="___SD59">#REF!</definedName>
    <definedName name="___SD6">#REF!</definedName>
    <definedName name="___SD60">#REF!</definedName>
    <definedName name="___SD61">#REF!</definedName>
    <definedName name="___SD62">#REF!</definedName>
    <definedName name="___SD63">#REF!</definedName>
    <definedName name="___SD64">#REF!</definedName>
    <definedName name="___SD65">#REF!</definedName>
    <definedName name="___SD66">#REF!</definedName>
    <definedName name="___SD67">#REF!</definedName>
    <definedName name="___SD68">#REF!</definedName>
    <definedName name="___SD69">#REF!</definedName>
    <definedName name="___SD7">#REF!</definedName>
    <definedName name="___SD70">#REF!</definedName>
    <definedName name="___SD71">#REF!</definedName>
    <definedName name="___SD72">#REF!</definedName>
    <definedName name="___SD73">#REF!</definedName>
    <definedName name="___SD74">#REF!</definedName>
    <definedName name="___SD75">#REF!</definedName>
    <definedName name="___SD76">#REF!</definedName>
    <definedName name="___SD77">#REF!</definedName>
    <definedName name="___SD78">#REF!</definedName>
    <definedName name="___SD79">#REF!</definedName>
    <definedName name="___SD8">#REF!</definedName>
    <definedName name="___SD80">#REF!</definedName>
    <definedName name="___SD81">#REF!</definedName>
    <definedName name="___SD82">#REF!</definedName>
    <definedName name="___SD83">#REF!</definedName>
    <definedName name="___SD84">#REF!</definedName>
    <definedName name="___SD85">#REF!</definedName>
    <definedName name="___SD86">#REF!</definedName>
    <definedName name="___SD87">#REF!</definedName>
    <definedName name="___SD88">#REF!</definedName>
    <definedName name="___SD89">#REF!</definedName>
    <definedName name="___SD9">#REF!</definedName>
    <definedName name="___SD90">#REF!</definedName>
    <definedName name="___SD91">#REF!</definedName>
    <definedName name="___SD92">#REF!</definedName>
    <definedName name="___SD93">#REF!</definedName>
    <definedName name="___SD94">#REF!</definedName>
    <definedName name="___SD95">#REF!</definedName>
    <definedName name="___SD96">#REF!</definedName>
    <definedName name="___SD97">#REF!</definedName>
    <definedName name="___SD98">#REF!</definedName>
    <definedName name="___SD99">#REF!</definedName>
    <definedName name="___SS10" localSheetId="0">[52]MRATES!$J$7</definedName>
    <definedName name="___SS10">[53]MRATES!$J$7</definedName>
    <definedName name="___SS12" localSheetId="0">[52]MRATES!$J$8</definedName>
    <definedName name="___ss12" localSheetId="4">[21]rdamdata!$J$8</definedName>
    <definedName name="___SS12">[53]MRATES!$J$8</definedName>
    <definedName name="___SS150" localSheetId="0">[52]MRATES!$G$13</definedName>
    <definedName name="___SS150">[53]MRATES!$G$13</definedName>
    <definedName name="___SS20" localSheetId="0">[52]MRATES!$J$9</definedName>
    <definedName name="___ss20" localSheetId="4">[21]rdamdata!$J$7</definedName>
    <definedName name="___SS20">[53]MRATES!$J$9</definedName>
    <definedName name="___SS225" localSheetId="0">[48]MRATES!$G$14</definedName>
    <definedName name="___SS225">[49]MRATES!$G$14</definedName>
    <definedName name="___SS25" localSheetId="0">[48]MRATES!$J$10</definedName>
    <definedName name="___SS25">[49]MRATES!$J$10</definedName>
    <definedName name="___SS300" localSheetId="0">[52]MRATES!$G$15</definedName>
    <definedName name="___SS300">[53]MRATES!$G$15</definedName>
    <definedName name="___SS40" localSheetId="0">[52]MRATES!$J$11</definedName>
    <definedName name="___ss40" localSheetId="4">[21]rdamdata!$J$6</definedName>
    <definedName name="___SS40">[53]MRATES!$J$11</definedName>
    <definedName name="___SS50">[7]Sheet1!$C$12</definedName>
    <definedName name="___SS6" localSheetId="0">[48]MRATES!$J$6</definedName>
    <definedName name="___SS6">[49]MRATES!$J$6</definedName>
    <definedName name="___SS60">[7]Sheet1!$C$13</definedName>
    <definedName name="___SS65">[7]Sheet1!$C$14</definedName>
    <definedName name="___SS75">[7]Sheet1!$C$15</definedName>
    <definedName name="___Tb3" localSheetId="0">[55]CONST!$W$323:$AH$360</definedName>
    <definedName name="___Tb3">[47]CONST!$W$323:$AH$360</definedName>
    <definedName name="___Tb4" localSheetId="0">[55]CONST!$D$75:$Q$262</definedName>
    <definedName name="___Tb4">[47]CONST!$D$75:$Q$262</definedName>
    <definedName name="___var1" localSheetId="2">#REF!</definedName>
    <definedName name="___var1" localSheetId="1">#REF!</definedName>
    <definedName name="___var1" localSheetId="4">#REF!</definedName>
    <definedName name="___var1" localSheetId="6">#REF!</definedName>
    <definedName name="___var1" localSheetId="5">#REF!</definedName>
    <definedName name="___var1" localSheetId="7">#REF!</definedName>
    <definedName name="___var1">#REF!</definedName>
    <definedName name="___var4" localSheetId="5">#REF!</definedName>
    <definedName name="___var4" localSheetId="7">#REF!</definedName>
    <definedName name="___var4">#REF!</definedName>
    <definedName name="__bla1">[56]leads!$H$7</definedName>
    <definedName name="__bwu1">'[51]Ch13.00 1Mt Drop'!$F$7</definedName>
    <definedName name="__bwu2">'[51]15_Design_1.0M_Drop'!$F$7</definedName>
    <definedName name="__can430">40.73</definedName>
    <definedName name="__can435">43.3</definedName>
    <definedName name="__CBW1">#REF!</definedName>
    <definedName name="__cc1" hidden="1">{"PLANNING",#N/A,FALSE,"A"}</definedName>
    <definedName name="__CND1" localSheetId="2">#REF!</definedName>
    <definedName name="__CND1" localSheetId="0">#REF!</definedName>
    <definedName name="__CND1" localSheetId="1">#REF!</definedName>
    <definedName name="__CND1" localSheetId="4">#REF!</definedName>
    <definedName name="__CND1" localSheetId="6">#REF!</definedName>
    <definedName name="__CND1" localSheetId="5">#REF!</definedName>
    <definedName name="__CND1" localSheetId="7">#REF!</definedName>
    <definedName name="__CND1">#REF!</definedName>
    <definedName name="__cnd2" localSheetId="2">#REF!</definedName>
    <definedName name="__cnd2" localSheetId="1">#REF!</definedName>
    <definedName name="__cnd2" localSheetId="4">#REF!</definedName>
    <definedName name="__cnd2" localSheetId="6">#REF!</definedName>
    <definedName name="__cnd2" localSheetId="5">#REF!</definedName>
    <definedName name="__cnd2" localSheetId="7">#REF!</definedName>
    <definedName name="__cnd2">#REF!</definedName>
    <definedName name="__cnd3" localSheetId="5">#REF!</definedName>
    <definedName name="__cnd3" localSheetId="7">#REF!</definedName>
    <definedName name="__cnd3">#REF!</definedName>
    <definedName name="__con1" localSheetId="0">[44]ssr20506!$D$81</definedName>
    <definedName name="__con1">[41]ssr20506!$D$81</definedName>
    <definedName name="__cur1">[8]r!$F$30</definedName>
    <definedName name="__dec05" hidden="1">{"'Sheet1'!$A$4386:$N$4591"}</definedName>
    <definedName name="__du1">'[51]Ch13.00 1Mt Drop'!$F$6</definedName>
    <definedName name="__du2">'[51]15_Design_1.0M_Drop'!$F$6</definedName>
    <definedName name="__F1" localSheetId="2">#REF!</definedName>
    <definedName name="__F1" localSheetId="1">#REF!</definedName>
    <definedName name="__F1" localSheetId="4">#REF!</definedName>
    <definedName name="__F1" localSheetId="6">#REF!</definedName>
    <definedName name="__F1" localSheetId="5">#REF!</definedName>
    <definedName name="__F1" localSheetId="7">#REF!</definedName>
    <definedName name="__F1">#REF!</definedName>
    <definedName name="__fbd1">'[51]Ch13.00 1Mt Drop'!$H$9</definedName>
    <definedName name="__fbd2">'[51]15_Design_1.0M_Drop'!$H$9</definedName>
    <definedName name="__fbu1">'[51]Ch13.00 1Mt Drop'!$F$9</definedName>
    <definedName name="__fbu2">'[51]15_Design_1.0M_Drop'!$F$9</definedName>
    <definedName name="__flp1">#REF!</definedName>
    <definedName name="__gld1">'[51]Ch13.00 1Mt Drop'!$H$11</definedName>
    <definedName name="__gld2">'[51]15_Design_1.0M_Drop'!$H$11</definedName>
    <definedName name="__glu1">'[51]Ch13.00 1Mt Drop'!$F$11</definedName>
    <definedName name="__glu2">'[51]15_Design_1.0M_Drop'!$F$11</definedName>
    <definedName name="__HDR1" localSheetId="2">#REF!</definedName>
    <definedName name="__HDR1" localSheetId="1">#REF!</definedName>
    <definedName name="__HDR1" localSheetId="4">#REF!</definedName>
    <definedName name="__HDR1" localSheetId="6">#REF!</definedName>
    <definedName name="__HDR1" localSheetId="5">#REF!</definedName>
    <definedName name="__HDR1" localSheetId="7">#REF!</definedName>
    <definedName name="__HDR1">#REF!</definedName>
    <definedName name="__hdr2" localSheetId="5">#REF!</definedName>
    <definedName name="__hdr2" localSheetId="7">#REF!</definedName>
    <definedName name="__hdr2">#REF!</definedName>
    <definedName name="__IDC2">#N/A</definedName>
    <definedName name="__IDC21">#N/A</definedName>
    <definedName name="__IDC22">#N/A</definedName>
    <definedName name="__IDC3">#N/A</definedName>
    <definedName name="__imp1" localSheetId="0">#REF!</definedName>
    <definedName name="__imp1" localSheetId="4">"$#REF!.$#REF!$#REF!"</definedName>
    <definedName name="__imp1" localSheetId="5">#REF!</definedName>
    <definedName name="__imp1">#REF!</definedName>
    <definedName name="__imp2" localSheetId="0">#REF!</definedName>
    <definedName name="__imp2" localSheetId="4">"$#REF!.$#REF!$#REF!"</definedName>
    <definedName name="__imp2" localSheetId="5">#REF!</definedName>
    <definedName name="__imp2">#REF!</definedName>
    <definedName name="__imp3" localSheetId="0">#REF!</definedName>
    <definedName name="__imp3" localSheetId="4">"$#REF!.$#REF!$#REF!"</definedName>
    <definedName name="__imp3" localSheetId="5">#REF!</definedName>
    <definedName name="__imp3">#REF!</definedName>
    <definedName name="__imp4" localSheetId="0">#REF!</definedName>
    <definedName name="__imp4" localSheetId="4">"$#REF!.$G$#REF!"</definedName>
    <definedName name="__imp4" localSheetId="5">#REF!</definedName>
    <definedName name="__imp4">#REF!</definedName>
    <definedName name="__imp5" localSheetId="0">#REF!</definedName>
    <definedName name="__imp5" localSheetId="4">"$#REF!.$#REF!$#REF!"</definedName>
    <definedName name="__imp5" localSheetId="5">#REF!</definedName>
    <definedName name="__imp5">#REF!</definedName>
    <definedName name="__imp6" localSheetId="0">#REF!</definedName>
    <definedName name="__imp6" localSheetId="4">"$#REF!.$G$59"</definedName>
    <definedName name="__imp6" localSheetId="5">#REF!</definedName>
    <definedName name="__imp6">#REF!</definedName>
    <definedName name="__IRC12" localSheetId="0">[57]MRATES!$F$9</definedName>
    <definedName name="__IRC12">[58]MRATES!$F$9</definedName>
    <definedName name="__IRC19" localSheetId="0">[57]MRATES!$F$10</definedName>
    <definedName name="__IRC19">[58]MRATES!$F$10</definedName>
    <definedName name="__IRC25" localSheetId="0">[57]MRATES!$F$11</definedName>
    <definedName name="__IRC25">[58]MRATES!$F$11</definedName>
    <definedName name="__IRC40" localSheetId="0">[57]MRATES!$F$12</definedName>
    <definedName name="__IRC40">[58]MRATES!$F$12</definedName>
    <definedName name="__IRC5" localSheetId="0">[57]MRATES!$F$7</definedName>
    <definedName name="__IRC5">[58]MRATES!$F$7</definedName>
    <definedName name="__IRC50" localSheetId="0">[57]MRATES!$F$13</definedName>
    <definedName name="__IRC50">[58]MRATES!$F$13</definedName>
    <definedName name="__IRC60" localSheetId="0">[57]MRATES!$F$14</definedName>
    <definedName name="__IRC60">[58]MRATES!$F$14</definedName>
    <definedName name="__IRC65">[7]Sheet1!$F$15</definedName>
    <definedName name="__IRC75">[7]Sheet1!$F$16</definedName>
    <definedName name="__IRC9" localSheetId="0">[57]MRATES!$F$8</definedName>
    <definedName name="__IRC9">[58]MRATES!$F$8</definedName>
    <definedName name="__l1" localSheetId="0">[23]leads!$A$3:$E$108</definedName>
    <definedName name="__l1">[59]leads!$A$3:$E$108</definedName>
    <definedName name="__l12" localSheetId="2">#REF!</definedName>
    <definedName name="__l12" localSheetId="1">#REF!</definedName>
    <definedName name="__l12" localSheetId="4">#REF!</definedName>
    <definedName name="__l12" localSheetId="6">#REF!</definedName>
    <definedName name="__l12" localSheetId="5">#REF!</definedName>
    <definedName name="__l12" localSheetId="7">#REF!</definedName>
    <definedName name="__l12">#REF!</definedName>
    <definedName name="__l2">[8]r!$F$29</definedName>
    <definedName name="__l3" localSheetId="2">#REF!</definedName>
    <definedName name="__l3" localSheetId="0">#REF!</definedName>
    <definedName name="__l3" localSheetId="1">#REF!</definedName>
    <definedName name="__l3" localSheetId="4">#REF!</definedName>
    <definedName name="__l3" localSheetId="6">#REF!</definedName>
    <definedName name="__l3" localSheetId="5">#REF!</definedName>
    <definedName name="__l3" localSheetId="7">#REF!</definedName>
    <definedName name="__l3">#REF!</definedName>
    <definedName name="__l4" localSheetId="0">[24]Sheet1!$W$2:$Y$103</definedName>
    <definedName name="__l4">[60]Sheet1!$W$2:$Y$103</definedName>
    <definedName name="__l5" localSheetId="2">#REF!</definedName>
    <definedName name="__l5" localSheetId="1">#REF!</definedName>
    <definedName name="__l5" localSheetId="4">#REF!</definedName>
    <definedName name="__l5" localSheetId="6">#REF!</definedName>
    <definedName name="__l5" localSheetId="5">#REF!</definedName>
    <definedName name="__l5" localSheetId="7">#REF!</definedName>
    <definedName name="__l5">#REF!</definedName>
    <definedName name="__l6">[8]r!$F$4</definedName>
    <definedName name="__l7">[9]r!$F$4</definedName>
    <definedName name="__l8">[8]r!$F$2</definedName>
    <definedName name="__l9">[8]r!$F$3</definedName>
    <definedName name="__lb1">#REF!</definedName>
    <definedName name="__lb2">#REF!</definedName>
    <definedName name="__ldw1">'[51]Ch13.00 1Mt Drop'!$F$25</definedName>
    <definedName name="__ldw2">'[51]15_Design_1.0M_Drop'!$F$25</definedName>
    <definedName name="__loc1">#N/A</definedName>
    <definedName name="__MFL1" localSheetId="2">#REF!</definedName>
    <definedName name="__MFL1" localSheetId="1">#REF!</definedName>
    <definedName name="__MFL1" localSheetId="4">#REF!</definedName>
    <definedName name="__MFL1" localSheetId="6">#REF!</definedName>
    <definedName name="__MFL1" localSheetId="5">#REF!</definedName>
    <definedName name="__MFL1" localSheetId="7">#REF!</definedName>
    <definedName name="__MFL1">#REF!</definedName>
    <definedName name="__MIX124">[61]maya!$A$11:$A$18</definedName>
    <definedName name="__mm1">[62]r!$F$4</definedName>
    <definedName name="__mm11">[8]r!$F$4</definedName>
    <definedName name="__mm111">[9]r!$F$4</definedName>
    <definedName name="__mm2">#REF!</definedName>
    <definedName name="__mm3">#REF!</definedName>
    <definedName name="__MS6" localSheetId="0">[57]MRATES!$T$17</definedName>
    <definedName name="__MS6" localSheetId="4">[54]MRATES!$T$17</definedName>
    <definedName name="__MS6">[58]MRATES!$T$17</definedName>
    <definedName name="__MT1" localSheetId="0">#REF!</definedName>
    <definedName name="__MT1">#REF!</definedName>
    <definedName name="__MT10" localSheetId="0">#REF!</definedName>
    <definedName name="__MT10">#REF!</definedName>
    <definedName name="__MT100" localSheetId="0">#REF!</definedName>
    <definedName name="__MT100">#REF!</definedName>
    <definedName name="__MT101">#REF!</definedName>
    <definedName name="__MT102">#REF!</definedName>
    <definedName name="__MT103">#REF!</definedName>
    <definedName name="__MT104">#REF!</definedName>
    <definedName name="__MT105">#REF!</definedName>
    <definedName name="__MT106">#REF!</definedName>
    <definedName name="__MT107">#REF!</definedName>
    <definedName name="__MT108">#REF!</definedName>
    <definedName name="__MT109">#REF!</definedName>
    <definedName name="__MT11">#REF!</definedName>
    <definedName name="__MT110">#REF!</definedName>
    <definedName name="__MT111">#REF!</definedName>
    <definedName name="__MT112">#REF!</definedName>
    <definedName name="__MT113">#REF!</definedName>
    <definedName name="__MT114">#REF!</definedName>
    <definedName name="__MT115">#REF!</definedName>
    <definedName name="__MT116">#REF!</definedName>
    <definedName name="__MT117">#REF!</definedName>
    <definedName name="__MT118">#REF!</definedName>
    <definedName name="__MT119">#REF!</definedName>
    <definedName name="__MT12">#REF!</definedName>
    <definedName name="__MT120">#REF!</definedName>
    <definedName name="__MT121">#REF!</definedName>
    <definedName name="__MT122">#REF!</definedName>
    <definedName name="__MT123">#REF!</definedName>
    <definedName name="__MT124">#REF!</definedName>
    <definedName name="__MT125">#REF!</definedName>
    <definedName name="__MT126">#REF!</definedName>
    <definedName name="__MT127">#REF!</definedName>
    <definedName name="__MT128">#REF!</definedName>
    <definedName name="__MT129">#REF!</definedName>
    <definedName name="__MT13">#REF!</definedName>
    <definedName name="__MT130">#REF!</definedName>
    <definedName name="__MT131">#REF!</definedName>
    <definedName name="__MT132">#REF!</definedName>
    <definedName name="__MT133">#REF!</definedName>
    <definedName name="__MT134">#REF!</definedName>
    <definedName name="__MT135">#REF!</definedName>
    <definedName name="__MT136">#REF!</definedName>
    <definedName name="__MT137">#REF!</definedName>
    <definedName name="__MT138">#REF!</definedName>
    <definedName name="__MT139">#REF!</definedName>
    <definedName name="__MT14">#REF!</definedName>
    <definedName name="__MT140">#REF!</definedName>
    <definedName name="__MT141">#REF!</definedName>
    <definedName name="__MT142">#REF!</definedName>
    <definedName name="__MT143">#REF!</definedName>
    <definedName name="__MT144">#REF!</definedName>
    <definedName name="__MT145">#REF!</definedName>
    <definedName name="__MT146">#REF!</definedName>
    <definedName name="__MT147">#REF!</definedName>
    <definedName name="__MT148">#REF!</definedName>
    <definedName name="__MT149">#REF!</definedName>
    <definedName name="__MT15">#REF!</definedName>
    <definedName name="__MT150">#REF!</definedName>
    <definedName name="__MT16">#REF!</definedName>
    <definedName name="__MT17">#REF!</definedName>
    <definedName name="__MT18">#REF!</definedName>
    <definedName name="__MT19">#REF!</definedName>
    <definedName name="__MT2">#REF!</definedName>
    <definedName name="__MT20">#REF!</definedName>
    <definedName name="__MT21">#REF!</definedName>
    <definedName name="__MT22">#REF!</definedName>
    <definedName name="__MT23">#REF!</definedName>
    <definedName name="__MT24">#REF!</definedName>
    <definedName name="__MT25">#REF!</definedName>
    <definedName name="__MT26">#REF!</definedName>
    <definedName name="__MT27">#REF!</definedName>
    <definedName name="__MT28">#REF!</definedName>
    <definedName name="__MT29">#REF!</definedName>
    <definedName name="__MT3">#REF!</definedName>
    <definedName name="__MT30">#REF!</definedName>
    <definedName name="__MT31">#REF!</definedName>
    <definedName name="__MT32">#REF!</definedName>
    <definedName name="__MT33">#REF!</definedName>
    <definedName name="__MT34">#REF!</definedName>
    <definedName name="__MT35">#REF!</definedName>
    <definedName name="__MT36">#REF!</definedName>
    <definedName name="__MT37">#REF!</definedName>
    <definedName name="__MT38">#REF!</definedName>
    <definedName name="__MT39">#REF!</definedName>
    <definedName name="__MT4">#REF!</definedName>
    <definedName name="__MT40">#REF!</definedName>
    <definedName name="__MT41">#REF!</definedName>
    <definedName name="__MT42">#REF!</definedName>
    <definedName name="__MT43">#REF!</definedName>
    <definedName name="__MT44">#REF!</definedName>
    <definedName name="__MT45">#REF!</definedName>
    <definedName name="__MT46">#REF!</definedName>
    <definedName name="__MT47">#REF!</definedName>
    <definedName name="__MT48">#REF!</definedName>
    <definedName name="__MT49">#REF!</definedName>
    <definedName name="__MT5">#REF!</definedName>
    <definedName name="__MT50">#REF!</definedName>
    <definedName name="__MT500">#REF!</definedName>
    <definedName name="__MT51">#REF!</definedName>
    <definedName name="__MT52">#REF!</definedName>
    <definedName name="__MT53">#REF!</definedName>
    <definedName name="__MT54">#REF!</definedName>
    <definedName name="__MT55">#REF!</definedName>
    <definedName name="__MT56">#REF!</definedName>
    <definedName name="__MT57">#REF!</definedName>
    <definedName name="__MT58">#REF!</definedName>
    <definedName name="__MT59">#REF!</definedName>
    <definedName name="__MT6">#REF!</definedName>
    <definedName name="__MT60">#REF!</definedName>
    <definedName name="__MT61">#REF!</definedName>
    <definedName name="__MT62">#REF!</definedName>
    <definedName name="__MT63">#REF!</definedName>
    <definedName name="__MT64">#REF!</definedName>
    <definedName name="__MT65">#REF!</definedName>
    <definedName name="__MT66">#REF!</definedName>
    <definedName name="__MT67">#REF!</definedName>
    <definedName name="__MT68">#REF!</definedName>
    <definedName name="__MT69">#REF!</definedName>
    <definedName name="__MT7">#REF!</definedName>
    <definedName name="__MT70">#REF!</definedName>
    <definedName name="__MT71">#REF!</definedName>
    <definedName name="__MT72">#REF!</definedName>
    <definedName name="__MT73">#REF!</definedName>
    <definedName name="__MT74">#REF!</definedName>
    <definedName name="__MT75">#REF!</definedName>
    <definedName name="__MT76">#REF!</definedName>
    <definedName name="__MT77">#REF!</definedName>
    <definedName name="__MT78">#REF!</definedName>
    <definedName name="__MT79">#REF!</definedName>
    <definedName name="__MT8">#REF!</definedName>
    <definedName name="__MT80">#REF!</definedName>
    <definedName name="__MT81">#REF!</definedName>
    <definedName name="__MT82">#REF!</definedName>
    <definedName name="__MT83">#REF!</definedName>
    <definedName name="__MT84">#REF!</definedName>
    <definedName name="__MT85">#REF!</definedName>
    <definedName name="__MT86">#REF!</definedName>
    <definedName name="__MT87">#REF!</definedName>
    <definedName name="__MT88">#REF!</definedName>
    <definedName name="__MT89">#REF!</definedName>
    <definedName name="__MT9">#REF!</definedName>
    <definedName name="__MT90">#REF!</definedName>
    <definedName name="__MT91">#REF!</definedName>
    <definedName name="__MT92">#REF!</definedName>
    <definedName name="__MT93">#REF!</definedName>
    <definedName name="__MT94">#REF!</definedName>
    <definedName name="__MT95">#REF!</definedName>
    <definedName name="__MT96">#REF!</definedName>
    <definedName name="__MT97">#REF!</definedName>
    <definedName name="__MT98">#REF!</definedName>
    <definedName name="__MT99">#REF!</definedName>
    <definedName name="__OH1" localSheetId="0">[57]MRATES!$T$26</definedName>
    <definedName name="__OH1">[58]MRATES!$T$26</definedName>
    <definedName name="__pc2" localSheetId="2">#REF!</definedName>
    <definedName name="__pc2" localSheetId="1">#REF!</definedName>
    <definedName name="__pc2" localSheetId="4">#REF!</definedName>
    <definedName name="__pc2" localSheetId="6">#REF!</definedName>
    <definedName name="__pc2" localSheetId="5">#REF!</definedName>
    <definedName name="__pc2" localSheetId="7">#REF!</definedName>
    <definedName name="__pc2">#REF!</definedName>
    <definedName name="__PPA14" localSheetId="0">#REF!</definedName>
    <definedName name="__PPA14">#REF!</definedName>
    <definedName name="__PPB154" localSheetId="0">#REF!</definedName>
    <definedName name="__PPB154">#REF!</definedName>
    <definedName name="__PPB155" localSheetId="0">#REF!</definedName>
    <definedName name="__PPB155">#REF!</definedName>
    <definedName name="__PPB16">#REF!</definedName>
    <definedName name="__PPB17">#REF!</definedName>
    <definedName name="__PPB18">#REF!</definedName>
    <definedName name="__PPB19">#REF!</definedName>
    <definedName name="__PPB2">#REF!</definedName>
    <definedName name="__PPB20">#REF!</definedName>
    <definedName name="__PPB21">#REF!</definedName>
    <definedName name="__PPB22">#REF!</definedName>
    <definedName name="__PPB23">#REF!</definedName>
    <definedName name="__PPB24">#REF!</definedName>
    <definedName name="__PPB25">#REF!</definedName>
    <definedName name="__PPB26">#REF!</definedName>
    <definedName name="__PPB27">#REF!</definedName>
    <definedName name="__PPB28">#REF!</definedName>
    <definedName name="__PPB29">#REF!</definedName>
    <definedName name="__PPB3">#REF!</definedName>
    <definedName name="__PPB30">#REF!</definedName>
    <definedName name="__PPB31">#REF!</definedName>
    <definedName name="__PPB32">#REF!</definedName>
    <definedName name="__PPB33">#REF!</definedName>
    <definedName name="__PPB34">#REF!</definedName>
    <definedName name="__PPB35">#REF!</definedName>
    <definedName name="__PPB36">#REF!</definedName>
    <definedName name="__PPB37">#REF!</definedName>
    <definedName name="__PPB38">#REF!</definedName>
    <definedName name="__PPB39">#REF!</definedName>
    <definedName name="__PPB4">#REF!</definedName>
    <definedName name="__PPB40">#REF!</definedName>
    <definedName name="__PPB41">#REF!</definedName>
    <definedName name="__PPB42">#REF!</definedName>
    <definedName name="__PPB43">#REF!</definedName>
    <definedName name="__PPB44">#REF!</definedName>
    <definedName name="__PPB45">#REF!</definedName>
    <definedName name="__PPB46">#REF!</definedName>
    <definedName name="__PPB47">#REF!</definedName>
    <definedName name="__PPB48">#REF!</definedName>
    <definedName name="__PPB49">#REF!</definedName>
    <definedName name="__PPB5">#REF!</definedName>
    <definedName name="__PPB50">#REF!</definedName>
    <definedName name="__PPB51">#REF!</definedName>
    <definedName name="__PPB52">#REF!</definedName>
    <definedName name="__PPB53">#REF!</definedName>
    <definedName name="__PPB54">#REF!</definedName>
    <definedName name="__PPB55">#REF!</definedName>
    <definedName name="__PPB56">#REF!</definedName>
    <definedName name="__PPB57">#REF!</definedName>
    <definedName name="__PPB58">#REF!</definedName>
    <definedName name="__PPB59">#REF!</definedName>
    <definedName name="__PPB6">#REF!</definedName>
    <definedName name="__PPB60">#REF!</definedName>
    <definedName name="__PPB61">#REF!</definedName>
    <definedName name="__PPB62">#REF!</definedName>
    <definedName name="__PPB63">#REF!</definedName>
    <definedName name="__PPB64">#REF!</definedName>
    <definedName name="__PPB65">#REF!</definedName>
    <definedName name="__PPB66">#REF!</definedName>
    <definedName name="__PPB67">#REF!</definedName>
    <definedName name="__PPB68">#REF!</definedName>
    <definedName name="__PPB69">#REF!</definedName>
    <definedName name="__PPB7">#REF!</definedName>
    <definedName name="__PPB70">#REF!</definedName>
    <definedName name="__PPB71">#REF!</definedName>
    <definedName name="__PPB72">#REF!</definedName>
    <definedName name="__PPB73">#REF!</definedName>
    <definedName name="__PPB74">#REF!</definedName>
    <definedName name="__PPB75">#REF!</definedName>
    <definedName name="__PPB76">#REF!</definedName>
    <definedName name="__PPB77">#REF!</definedName>
    <definedName name="__PPB78">#REF!</definedName>
    <definedName name="__PPB79">#REF!</definedName>
    <definedName name="__PPB8">#REF!</definedName>
    <definedName name="__PPB80">#REF!</definedName>
    <definedName name="__PPB81">#REF!</definedName>
    <definedName name="__PPB82">#REF!</definedName>
    <definedName name="__PPB83">#REF!</definedName>
    <definedName name="__PPB84">#REF!</definedName>
    <definedName name="__PPB85">#REF!</definedName>
    <definedName name="__PPB86">#REF!</definedName>
    <definedName name="__PPB87">#REF!</definedName>
    <definedName name="__PPB88">#REF!</definedName>
    <definedName name="__PPB89">#REF!</definedName>
    <definedName name="__PPB9">#REF!</definedName>
    <definedName name="__PPB90">#REF!</definedName>
    <definedName name="__PPB91">#REF!</definedName>
    <definedName name="__PPB92">#REF!</definedName>
    <definedName name="__PPB93">#REF!</definedName>
    <definedName name="__PPB94">#REF!</definedName>
    <definedName name="__PPB95">#REF!</definedName>
    <definedName name="__PPB96">#REF!</definedName>
    <definedName name="__PPB97">#REF!</definedName>
    <definedName name="__PPB98">#REF!</definedName>
    <definedName name="__PPB99">#REF!</definedName>
    <definedName name="__ppc001">#REF!</definedName>
    <definedName name="__PPC1">#REF!</definedName>
    <definedName name="__PPC10">#REF!</definedName>
    <definedName name="__PPC100">#REF!</definedName>
    <definedName name="__PPC101">#REF!</definedName>
    <definedName name="__PPC102">#REF!</definedName>
    <definedName name="__PPC103">#REF!</definedName>
    <definedName name="__PPC104">#REF!</definedName>
    <definedName name="__PPC105">#REF!</definedName>
    <definedName name="__PPC106">#REF!</definedName>
    <definedName name="__PPC107">#REF!</definedName>
    <definedName name="__PPC108">#REF!</definedName>
    <definedName name="__PPC109">#REF!</definedName>
    <definedName name="__PPC11">#REF!</definedName>
    <definedName name="__PPC110">#REF!</definedName>
    <definedName name="__PPC111">#REF!</definedName>
    <definedName name="__PPC112">#REF!</definedName>
    <definedName name="__PPC113">#REF!</definedName>
    <definedName name="__PPC114">#REF!</definedName>
    <definedName name="__PPC115">#REF!</definedName>
    <definedName name="__PPC116">#REF!</definedName>
    <definedName name="__PPC117">#REF!</definedName>
    <definedName name="__PPC118">#REF!</definedName>
    <definedName name="__PPC119">#REF!</definedName>
    <definedName name="__PPC12">#REF!</definedName>
    <definedName name="__PPC120">#REF!</definedName>
    <definedName name="__PPC121">#REF!</definedName>
    <definedName name="__PPC122">#REF!</definedName>
    <definedName name="__PPC123">#REF!</definedName>
    <definedName name="__PPC124">#REF!</definedName>
    <definedName name="__PPC125">#REF!</definedName>
    <definedName name="__PPC126">#REF!</definedName>
    <definedName name="__PPC127">#REF!</definedName>
    <definedName name="__PPC128">#REF!</definedName>
    <definedName name="__PPC129">#REF!</definedName>
    <definedName name="__PPC13">#REF!</definedName>
    <definedName name="__PPC130">#REF!</definedName>
    <definedName name="__PPC131">#REF!</definedName>
    <definedName name="__PPC132">#REF!</definedName>
    <definedName name="__PPC133">#REF!</definedName>
    <definedName name="__PPC134">#REF!</definedName>
    <definedName name="__PPC135">#REF!</definedName>
    <definedName name="__PPC136">#REF!</definedName>
    <definedName name="__PPC137">#REF!</definedName>
    <definedName name="__PPC138">#REF!</definedName>
    <definedName name="__PPC139">#REF!</definedName>
    <definedName name="__PPC14">#REF!</definedName>
    <definedName name="__PPC140">#REF!</definedName>
    <definedName name="__PPC141">#REF!</definedName>
    <definedName name="__PPC142">#REF!</definedName>
    <definedName name="__PPC143">#REF!</definedName>
    <definedName name="__PPC144">#REF!</definedName>
    <definedName name="__PPC145">#REF!</definedName>
    <definedName name="__PPC146">#REF!</definedName>
    <definedName name="__PPC147">#REF!</definedName>
    <definedName name="__PPC148">#REF!</definedName>
    <definedName name="__PPC149">#REF!</definedName>
    <definedName name="__PPC15">#REF!</definedName>
    <definedName name="__PPC150">#REF!</definedName>
    <definedName name="__PPC151">#REF!</definedName>
    <definedName name="__PPC152">#REF!</definedName>
    <definedName name="__PPC153">#REF!</definedName>
    <definedName name="__PPC154">#REF!</definedName>
    <definedName name="__PPC155">#REF!</definedName>
    <definedName name="__PPC16">#REF!</definedName>
    <definedName name="__PPC17">#REF!</definedName>
    <definedName name="__PPC18">#REF!</definedName>
    <definedName name="__PPC19">#REF!</definedName>
    <definedName name="__PPC2">#REF!</definedName>
    <definedName name="__PPC20">#REF!</definedName>
    <definedName name="__PPC21">#REF!</definedName>
    <definedName name="__PPC22">#REF!</definedName>
    <definedName name="__PPC23">#REF!</definedName>
    <definedName name="__PPC24">#REF!</definedName>
    <definedName name="__PPC25">#REF!</definedName>
    <definedName name="__PPC26">#REF!</definedName>
    <definedName name="__PPC27">#REF!</definedName>
    <definedName name="__PPC28">#REF!</definedName>
    <definedName name="__PPC29">#REF!</definedName>
    <definedName name="__PPC3">#REF!</definedName>
    <definedName name="__PPC30">#REF!</definedName>
    <definedName name="__PPC31">#REF!</definedName>
    <definedName name="__PPC32">#REF!</definedName>
    <definedName name="__PPC33">#REF!</definedName>
    <definedName name="__PPC34">#REF!</definedName>
    <definedName name="__PPC35">#REF!</definedName>
    <definedName name="__PPC36">#REF!</definedName>
    <definedName name="__PPC37">#REF!</definedName>
    <definedName name="__PPC38">#REF!</definedName>
    <definedName name="__PPC39">#REF!</definedName>
    <definedName name="__PPC4">#REF!</definedName>
    <definedName name="__PPC40">#REF!</definedName>
    <definedName name="__PPC41">#REF!</definedName>
    <definedName name="__PPC42">#REF!</definedName>
    <definedName name="__PPC43">#REF!</definedName>
    <definedName name="__PPC44">#REF!</definedName>
    <definedName name="__PPC45">#REF!</definedName>
    <definedName name="__PPC46">#REF!</definedName>
    <definedName name="__PPC47">#REF!</definedName>
    <definedName name="__PPC48">#REF!</definedName>
    <definedName name="__PPC49">#REF!</definedName>
    <definedName name="__PPC5">#REF!</definedName>
    <definedName name="__PPC50">#REF!</definedName>
    <definedName name="__PPC51">#REF!</definedName>
    <definedName name="__PPC52">#REF!</definedName>
    <definedName name="__PPC53">#REF!</definedName>
    <definedName name="__PPC54">#REF!</definedName>
    <definedName name="__PPC55">#REF!</definedName>
    <definedName name="__PPC56">#REF!</definedName>
    <definedName name="__PPC57">#REF!</definedName>
    <definedName name="__PPC58">#REF!</definedName>
    <definedName name="__PPC59">#REF!</definedName>
    <definedName name="__PPC6">#REF!</definedName>
    <definedName name="__PPC60">#REF!</definedName>
    <definedName name="__PPC61">#REF!</definedName>
    <definedName name="__PPC62">#REF!</definedName>
    <definedName name="__PPC63">#REF!</definedName>
    <definedName name="__PPC64">#REF!</definedName>
    <definedName name="__PPC65">#REF!</definedName>
    <definedName name="__PPC66">#REF!</definedName>
    <definedName name="__PPC67">#REF!</definedName>
    <definedName name="__PPC68">#REF!</definedName>
    <definedName name="__PPC69">#REF!</definedName>
    <definedName name="__PPC7">#REF!</definedName>
    <definedName name="__PPC70">#REF!</definedName>
    <definedName name="__PPC71">#REF!</definedName>
    <definedName name="__PPC72">#REF!</definedName>
    <definedName name="__PPC73">#REF!</definedName>
    <definedName name="__PPC74">#REF!</definedName>
    <definedName name="__PPC75">#REF!</definedName>
    <definedName name="__PPC76">#REF!</definedName>
    <definedName name="__PPC77">#REF!</definedName>
    <definedName name="__PPC78">#REF!</definedName>
    <definedName name="__PPC79">#REF!</definedName>
    <definedName name="__PPC8">#REF!</definedName>
    <definedName name="__PPC80">#REF!</definedName>
    <definedName name="__PPC81">#REF!</definedName>
    <definedName name="__PPC82">#REF!</definedName>
    <definedName name="__PPC83">#REF!</definedName>
    <definedName name="__PPC84">#REF!</definedName>
    <definedName name="__PPC85">#REF!</definedName>
    <definedName name="__PPC86">#REF!</definedName>
    <definedName name="__PPC87">#REF!</definedName>
    <definedName name="__PPC88">#REF!</definedName>
    <definedName name="__PPC89">#REF!</definedName>
    <definedName name="__PPC9">#REF!</definedName>
    <definedName name="__PPC90">#REF!</definedName>
    <definedName name="__PPC91">#REF!</definedName>
    <definedName name="__PPC92">#REF!</definedName>
    <definedName name="__PPC93">#REF!</definedName>
    <definedName name="__PPC94">#REF!</definedName>
    <definedName name="__PPC95">#REF!</definedName>
    <definedName name="__PPD114">#REF!</definedName>
    <definedName name="__PPD89">#REF!</definedName>
    <definedName name="__pv2" localSheetId="5">#REF!</definedName>
    <definedName name="__pv2" localSheetId="7">#REF!</definedName>
    <definedName name="__pv2">#REF!</definedName>
    <definedName name="__qih1">#REF!</definedName>
    <definedName name="__QS25" localSheetId="0">[57]MRATES!$I$15</definedName>
    <definedName name="__QS25">[58]MRATES!$I$15</definedName>
    <definedName name="__QS40" localSheetId="0">[57]MRATES!$I$16</definedName>
    <definedName name="__QS40">[58]MRATES!$I$16</definedName>
    <definedName name="__rr3">[63]v!$A$2:$E$51</definedName>
    <definedName name="__rrr1">[63]r!$B$1:$I$145</definedName>
    <definedName name="__SD1" localSheetId="0">#REF!</definedName>
    <definedName name="__SD1">#REF!</definedName>
    <definedName name="__SD10" localSheetId="0">#REF!</definedName>
    <definedName name="__SD10">#REF!</definedName>
    <definedName name="__SD100" localSheetId="0">#REF!</definedName>
    <definedName name="__SD100">#REF!</definedName>
    <definedName name="__SD101">#REF!</definedName>
    <definedName name="__SD102">#REF!</definedName>
    <definedName name="__SD103">#REF!</definedName>
    <definedName name="__SD104">#REF!</definedName>
    <definedName name="__SD105">#REF!</definedName>
    <definedName name="__SD106">#REF!</definedName>
    <definedName name="__SD107">#REF!</definedName>
    <definedName name="__SD108">#REF!</definedName>
    <definedName name="__SD109">#REF!</definedName>
    <definedName name="__SD11">#REF!</definedName>
    <definedName name="__SD110">#REF!</definedName>
    <definedName name="__SD111">#REF!</definedName>
    <definedName name="__SD112">#REF!</definedName>
    <definedName name="__SD113">#REF!</definedName>
    <definedName name="__SD114">#REF!</definedName>
    <definedName name="__SD115">#REF!</definedName>
    <definedName name="__SD116">#REF!</definedName>
    <definedName name="__SD117">#REF!</definedName>
    <definedName name="__SD118">#REF!</definedName>
    <definedName name="__SD119">#REF!</definedName>
    <definedName name="__SD12">#REF!</definedName>
    <definedName name="__SD120">#REF!</definedName>
    <definedName name="__SD121">#REF!</definedName>
    <definedName name="__SD122">#REF!</definedName>
    <definedName name="__SD123">#REF!</definedName>
    <definedName name="__SD124">#REF!</definedName>
    <definedName name="__SD125">#REF!</definedName>
    <definedName name="__SD126">#REF!</definedName>
    <definedName name="__SD127">#REF!</definedName>
    <definedName name="__SD128">#REF!</definedName>
    <definedName name="__SD129">#REF!</definedName>
    <definedName name="__SD13">#REF!</definedName>
    <definedName name="__SD130">#REF!</definedName>
    <definedName name="__SD131">#REF!</definedName>
    <definedName name="__SD132">#REF!</definedName>
    <definedName name="__SD133">#REF!</definedName>
    <definedName name="__SD134">#REF!</definedName>
    <definedName name="__SD135">#REF!</definedName>
    <definedName name="__SD136">#REF!</definedName>
    <definedName name="__SD137">#REF!</definedName>
    <definedName name="__SD138">#REF!</definedName>
    <definedName name="__SD139">#REF!</definedName>
    <definedName name="__SD14">#REF!</definedName>
    <definedName name="__SD140">#REF!</definedName>
    <definedName name="__SD141">#REF!</definedName>
    <definedName name="__SD142">#REF!</definedName>
    <definedName name="__SD143">#REF!</definedName>
    <definedName name="__SD144">#REF!</definedName>
    <definedName name="__SD145">#REF!</definedName>
    <definedName name="__SD146">#REF!</definedName>
    <definedName name="__SD147">#REF!</definedName>
    <definedName name="__SD148">#REF!</definedName>
    <definedName name="__SD149">#REF!</definedName>
    <definedName name="__SD15">#REF!</definedName>
    <definedName name="__SD150">#REF!</definedName>
    <definedName name="__SD16">#REF!</definedName>
    <definedName name="__SD17">#REF!</definedName>
    <definedName name="__SD18">#REF!</definedName>
    <definedName name="__SD19">#REF!</definedName>
    <definedName name="__SD2">#REF!</definedName>
    <definedName name="__SD20">#REF!</definedName>
    <definedName name="__SD21">#REF!</definedName>
    <definedName name="__SD22">#REF!</definedName>
    <definedName name="__SD23">#REF!</definedName>
    <definedName name="__SD24">#REF!</definedName>
    <definedName name="__SD25">#REF!</definedName>
    <definedName name="__SD250">#REF!</definedName>
    <definedName name="__SD26">#REF!</definedName>
    <definedName name="__SD27">#REF!</definedName>
    <definedName name="__SD28">#REF!</definedName>
    <definedName name="__SD29">#REF!</definedName>
    <definedName name="__SD3">#REF!</definedName>
    <definedName name="__SD30">#REF!</definedName>
    <definedName name="__SD31">#REF!</definedName>
    <definedName name="__SD32">#REF!</definedName>
    <definedName name="__SD33">#REF!</definedName>
    <definedName name="__SD34">#REF!</definedName>
    <definedName name="__SD35">#REF!</definedName>
    <definedName name="__SD36">#REF!</definedName>
    <definedName name="__SD37">#REF!</definedName>
    <definedName name="__SD38">#REF!</definedName>
    <definedName name="__SD39">#REF!</definedName>
    <definedName name="__SD4">#REF!</definedName>
    <definedName name="__SD40">#REF!</definedName>
    <definedName name="__SD41">#REF!</definedName>
    <definedName name="__SD42">#REF!</definedName>
    <definedName name="__SD43">#REF!</definedName>
    <definedName name="__SD44">#REF!</definedName>
    <definedName name="__SD45">#REF!</definedName>
    <definedName name="__SD46">#REF!</definedName>
    <definedName name="__SD47">#REF!</definedName>
    <definedName name="__SD48">#REF!</definedName>
    <definedName name="__SD49">#REF!</definedName>
    <definedName name="__SD5">#REF!</definedName>
    <definedName name="__SD50">#REF!</definedName>
    <definedName name="__SD500">#REF!</definedName>
    <definedName name="__SD51">#REF!</definedName>
    <definedName name="__SD52">#REF!</definedName>
    <definedName name="__SD53">#REF!</definedName>
    <definedName name="__SD54">#REF!</definedName>
    <definedName name="__SD55">#REF!</definedName>
    <definedName name="__SD56">#REF!</definedName>
    <definedName name="__SD57">#REF!</definedName>
    <definedName name="__SD58">#REF!</definedName>
    <definedName name="__SD59">#REF!</definedName>
    <definedName name="__SD6">#REF!</definedName>
    <definedName name="__SD60">#REF!</definedName>
    <definedName name="__SD61">#REF!</definedName>
    <definedName name="__SD62">#REF!</definedName>
    <definedName name="__SD63">#REF!</definedName>
    <definedName name="__SD64">#REF!</definedName>
    <definedName name="__SD65">#REF!</definedName>
    <definedName name="__SD66">#REF!</definedName>
    <definedName name="__SD67">#REF!</definedName>
    <definedName name="__SD68">#REF!</definedName>
    <definedName name="__SD69">#REF!</definedName>
    <definedName name="__SD7">#REF!</definedName>
    <definedName name="__SD70">#REF!</definedName>
    <definedName name="__SD71">#REF!</definedName>
    <definedName name="__SD72">#REF!</definedName>
    <definedName name="__SD73">#REF!</definedName>
    <definedName name="__SD74">#REF!</definedName>
    <definedName name="__SD75">#REF!</definedName>
    <definedName name="__SD76">#REF!</definedName>
    <definedName name="__SD77">#REF!</definedName>
    <definedName name="__SD78">#REF!</definedName>
    <definedName name="__SD79">#REF!</definedName>
    <definedName name="__SD8">#REF!</definedName>
    <definedName name="__SD80">#REF!</definedName>
    <definedName name="__SD81">#REF!</definedName>
    <definedName name="__SD82">#REF!</definedName>
    <definedName name="__SD83">#REF!</definedName>
    <definedName name="__SD84">#REF!</definedName>
    <definedName name="__SD85">#REF!</definedName>
    <definedName name="__SD86">#REF!</definedName>
    <definedName name="__SD87">#REF!</definedName>
    <definedName name="__SD88">#REF!</definedName>
    <definedName name="__SD89">#REF!</definedName>
    <definedName name="__SD9">#REF!</definedName>
    <definedName name="__SD90">#REF!</definedName>
    <definedName name="__SD91">#REF!</definedName>
    <definedName name="__SD92">#REF!</definedName>
    <definedName name="__SD93">#REF!</definedName>
    <definedName name="__SD94">#REF!</definedName>
    <definedName name="__SD95">#REF!</definedName>
    <definedName name="__SD96">#REF!</definedName>
    <definedName name="__SD97">#REF!</definedName>
    <definedName name="__SD98">#REF!</definedName>
    <definedName name="__SD99">#REF!</definedName>
    <definedName name="__SS10" localSheetId="0">[57]MRATES!$C$7</definedName>
    <definedName name="__SS10">[58]MRATES!$C$7</definedName>
    <definedName name="__SS12" localSheetId="0">[57]MRATES!$C$8</definedName>
    <definedName name="__ss12" localSheetId="4">[64]rdamdata!$J$8</definedName>
    <definedName name="__SS12">[58]MRATES!$C$8</definedName>
    <definedName name="__SS150" localSheetId="0">[57]MRATES!$I$12</definedName>
    <definedName name="__SS150">[58]MRATES!$I$12</definedName>
    <definedName name="__SS20" localSheetId="0">[57]MRATES!$C$9</definedName>
    <definedName name="__ss20" localSheetId="4">[64]rdamdata!$J$7</definedName>
    <definedName name="__SS20">[58]MRATES!$C$9</definedName>
    <definedName name="__SS225" localSheetId="0">[57]MRATES!$I$13</definedName>
    <definedName name="__SS225">[58]MRATES!$I$13</definedName>
    <definedName name="__SS25" localSheetId="0">[57]MRATES!$C$10</definedName>
    <definedName name="__SS25">[58]MRATES!$C$10</definedName>
    <definedName name="__SS300" localSheetId="0">[57]MRATES!$I$14</definedName>
    <definedName name="__SS300">[58]MRATES!$I$14</definedName>
    <definedName name="__SS40" localSheetId="0">[57]MRATES!$C$11</definedName>
    <definedName name="__ss40" localSheetId="4">[64]rdamdata!$J$6</definedName>
    <definedName name="__SS40">[58]MRATES!$C$11</definedName>
    <definedName name="__SS50">[7]Sheet1!$C$12</definedName>
    <definedName name="__SS6" localSheetId="0">[57]MRATES!$C$6</definedName>
    <definedName name="__SS6">[58]MRATES!$C$6</definedName>
    <definedName name="__SS60">[7]Sheet1!$C$13</definedName>
    <definedName name="__SS65">[7]Sheet1!$C$14</definedName>
    <definedName name="__SS75">[7]Sheet1!$C$15</definedName>
    <definedName name="__Tb3" localSheetId="0">[55]CONST!$W$323:$AH$360</definedName>
    <definedName name="__Tb3">[65]CONST!$W$323:$AH$360</definedName>
    <definedName name="__Tb4" localSheetId="0">[55]CONST!$D$75:$Q$262</definedName>
    <definedName name="__Tb4">[65]CONST!$D$75:$Q$262</definedName>
    <definedName name="__var1" localSheetId="2">#REF!</definedName>
    <definedName name="__var1" localSheetId="1">#REF!</definedName>
    <definedName name="__var1" localSheetId="4">#REF!</definedName>
    <definedName name="__var1" localSheetId="6">#REF!</definedName>
    <definedName name="__var1" localSheetId="5">#REF!</definedName>
    <definedName name="__var1" localSheetId="7">#REF!</definedName>
    <definedName name="__var1">#REF!</definedName>
    <definedName name="__var4" localSheetId="5">#REF!</definedName>
    <definedName name="__var4" localSheetId="7">#REF!</definedName>
    <definedName name="__var4">#REF!</definedName>
    <definedName name="_055" localSheetId="5">#REF!</definedName>
    <definedName name="_055" localSheetId="7">#REF!</definedName>
    <definedName name="_055">#REF!</definedName>
    <definedName name="_1__Bitumen_pressure">[66]Usage!$C$11</definedName>
    <definedName name="_10_mm" localSheetId="2">#REF!</definedName>
    <definedName name="_10_mm" localSheetId="1">#REF!</definedName>
    <definedName name="_10_mm" localSheetId="4">#REF!</definedName>
    <definedName name="_10_mm" localSheetId="6">#REF!</definedName>
    <definedName name="_10_mm" localSheetId="5">#REF!</definedName>
    <definedName name="_10_mm" localSheetId="7">#REF!</definedName>
    <definedName name="_10_mm">#REF!</definedName>
    <definedName name="_1000_mm_diameter" localSheetId="5">#REF!</definedName>
    <definedName name="_1000_mm_diameter" localSheetId="7">#REF!</definedName>
    <definedName name="_1000_mm_diameter">#REF!</definedName>
    <definedName name="_12_mm" localSheetId="5">#REF!</definedName>
    <definedName name="_12_mm" localSheetId="7">#REF!</definedName>
    <definedName name="_12_mm">#REF!</definedName>
    <definedName name="_1220_mm_diameter" localSheetId="5">#REF!</definedName>
    <definedName name="_1220_mm_diameter" localSheetId="7">#REF!</definedName>
    <definedName name="_1220_mm_diameter">#REF!</definedName>
    <definedName name="_150_mm_thickness">'[66]Common '!$D$294</definedName>
    <definedName name="_1Excel_BuiltIn_Print_Area_6_1" localSheetId="0">#REF!</definedName>
    <definedName name="_1Excel_BuiltIn_Print_Area_6_1" localSheetId="7">#REF!</definedName>
    <definedName name="_1Excel_BuiltIn_Print_Area_6_1">#REF!</definedName>
    <definedName name="_20_mm" localSheetId="2">#REF!</definedName>
    <definedName name="_20_mm" localSheetId="1">#REF!</definedName>
    <definedName name="_20_mm" localSheetId="4">#REF!</definedName>
    <definedName name="_20_mm" localSheetId="6">#REF!</definedName>
    <definedName name="_20_mm" localSheetId="5">#REF!</definedName>
    <definedName name="_20_mm" localSheetId="7">#REF!</definedName>
    <definedName name="_20_mm">#REF!</definedName>
    <definedName name="_25_mm" localSheetId="5">#REF!</definedName>
    <definedName name="_25_mm" localSheetId="7">#REF!</definedName>
    <definedName name="_25_mm">#REF!</definedName>
    <definedName name="_250_mm_diameter" localSheetId="5">#REF!</definedName>
    <definedName name="_250_mm_diameter" localSheetId="7">#REF!</definedName>
    <definedName name="_250_mm_diameter">#REF!</definedName>
    <definedName name="_300_mm_diameter" localSheetId="5">#REF!</definedName>
    <definedName name="_300_mm_diameter" localSheetId="7">#REF!</definedName>
    <definedName name="_300_mm_diameter">#REF!</definedName>
    <definedName name="_40_mm" localSheetId="5">#REF!</definedName>
    <definedName name="_40_mm" localSheetId="7">#REF!</definedName>
    <definedName name="_40_mm">#REF!</definedName>
    <definedName name="_40_mm_size_OG" localSheetId="5">#REF!</definedName>
    <definedName name="_40_mm_size_OG" localSheetId="7">#REF!</definedName>
    <definedName name="_40_mm_size_OG">#REF!</definedName>
    <definedName name="_40_mm_SS_5_HBG" localSheetId="2">[67]Material!#REF!</definedName>
    <definedName name="_40_mm_SS_5_HBG" localSheetId="1">[67]Material!#REF!</definedName>
    <definedName name="_40_mm_SS_5_HBG" localSheetId="4">[67]Material!#REF!</definedName>
    <definedName name="_40_mm_SS_5_HBG" localSheetId="6">[67]Material!#REF!</definedName>
    <definedName name="_40_mm_SS_5_HBG" localSheetId="5">[67]Material!#REF!</definedName>
    <definedName name="_40_mm_SS_5_HBG">[67]Material!#REF!</definedName>
    <definedName name="_40_mm_thick_ness" localSheetId="2">#REF!</definedName>
    <definedName name="_40_mm_thick_ness" localSheetId="1">#REF!</definedName>
    <definedName name="_40_mm_thick_ness" localSheetId="4">#REF!</definedName>
    <definedName name="_40_mm_thick_ness" localSheetId="6">#REF!</definedName>
    <definedName name="_40_mm_thick_ness" localSheetId="5">#REF!</definedName>
    <definedName name="_40_mm_thick_ness" localSheetId="7">#REF!</definedName>
    <definedName name="_40_mm_thick_ness">#REF!</definedName>
    <definedName name="_45_mm" localSheetId="5">#REF!</definedName>
    <definedName name="_45_mm" localSheetId="7">#REF!</definedName>
    <definedName name="_45_mm">#REF!</definedName>
    <definedName name="_450_mm_diameter" localSheetId="5">#REF!</definedName>
    <definedName name="_450_mm_diameter" localSheetId="7">#REF!</definedName>
    <definedName name="_450_mm_diameter">#REF!</definedName>
    <definedName name="_50_mm" localSheetId="5">#REF!</definedName>
    <definedName name="_50_mm" localSheetId="7">#REF!</definedName>
    <definedName name="_50_mm">#REF!</definedName>
    <definedName name="_6_mm" localSheetId="5">#REF!</definedName>
    <definedName name="_6_mm" localSheetId="7">#REF!</definedName>
    <definedName name="_6_mm">#REF!</definedName>
    <definedName name="_6_mm_SS_5_HBG_m_c" localSheetId="2">[67]Material!#REF!</definedName>
    <definedName name="_6_mm_SS_5_HBG_m_c" localSheetId="1">[67]Material!#REF!</definedName>
    <definedName name="_6_mm_SS_5_HBG_m_c" localSheetId="4">[67]Material!#REF!</definedName>
    <definedName name="_6_mm_SS_5_HBG_m_c" localSheetId="6">[67]Material!#REF!</definedName>
    <definedName name="_6_mm_SS_5_HBG_m_c" localSheetId="5">[67]Material!#REF!</definedName>
    <definedName name="_6_mm_SS_5_HBG_m_c">[67]Material!#REF!</definedName>
    <definedName name="_600_mm_diameter" localSheetId="2">#REF!</definedName>
    <definedName name="_600_mm_diameter" localSheetId="1">#REF!</definedName>
    <definedName name="_600_mm_diameter" localSheetId="4">#REF!</definedName>
    <definedName name="_600_mm_diameter" localSheetId="6">#REF!</definedName>
    <definedName name="_600_mm_diameter" localSheetId="5">#REF!</definedName>
    <definedName name="_600_mm_diameter" localSheetId="7">#REF!</definedName>
    <definedName name="_600_mm_diameter">#REF!</definedName>
    <definedName name="_75_mm_thick_ness">'[66]Common '!$D$287</definedName>
    <definedName name="_750_mm_diameter" localSheetId="2">#REF!</definedName>
    <definedName name="_750_mm_diameter" localSheetId="1">#REF!</definedName>
    <definedName name="_750_mm_diameter" localSheetId="4">#REF!</definedName>
    <definedName name="_750_mm_diameter" localSheetId="6">#REF!</definedName>
    <definedName name="_750_mm_diameter" localSheetId="5">#REF!</definedName>
    <definedName name="_750_mm_diameter" localSheetId="7">#REF!</definedName>
    <definedName name="_750_mm_diameter">#REF!</definedName>
    <definedName name="_800_mm_diameter" localSheetId="5">#REF!</definedName>
    <definedName name="_800_mm_diameter" localSheetId="7">#REF!</definedName>
    <definedName name="_800_mm_diameter">#REF!</definedName>
    <definedName name="_ApL1" localSheetId="5">#REF!</definedName>
    <definedName name="_ApL1" localSheetId="7">#REF!</definedName>
    <definedName name="_ApL1">#REF!</definedName>
    <definedName name="_ApL2" localSheetId="5">#REF!</definedName>
    <definedName name="_ApL2" localSheetId="7">#REF!</definedName>
    <definedName name="_ApL2">#REF!</definedName>
    <definedName name="_bla1" localSheetId="0">[22]leads!$H$7</definedName>
    <definedName name="_bla1">[16]leads!$H$7</definedName>
    <definedName name="_bwu1">'[51]Ch13.00 1Mt Drop'!$F$7</definedName>
    <definedName name="_bwu2">'[51]15_Design_1.0M_Drop'!$F$7</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BW1" localSheetId="2">#REF!</definedName>
    <definedName name="_CBW1" localSheetId="1">#REF!</definedName>
    <definedName name="_CBW1" localSheetId="4">#REF!</definedName>
    <definedName name="_CBW1" localSheetId="6">#REF!</definedName>
    <definedName name="_CBW1" localSheetId="5">#REF!</definedName>
    <definedName name="_CBW1" localSheetId="7">#REF!</definedName>
    <definedName name="_CBW1">#REF!</definedName>
    <definedName name="_cc1" hidden="1">{"PLANNING",#N/A,FALSE,"A"}</definedName>
    <definedName name="_CEM" localSheetId="2">#REF!</definedName>
    <definedName name="_CEM" localSheetId="1">#REF!</definedName>
    <definedName name="_CEM" localSheetId="4">#REF!</definedName>
    <definedName name="_CEM" localSheetId="6">#REF!</definedName>
    <definedName name="_CEM" localSheetId="5">#REF!</definedName>
    <definedName name="_CEM" localSheetId="7">#REF!</definedName>
    <definedName name="_CEM">#REF!</definedName>
    <definedName name="_CHI1" localSheetId="5">#REF!</definedName>
    <definedName name="_CHI1" localSheetId="7">#REF!</definedName>
    <definedName name="_CHI1">#REF!</definedName>
    <definedName name="_CHI2" localSheetId="5">#REF!</definedName>
    <definedName name="_CHI2" localSheetId="7">#REF!</definedName>
    <definedName name="_CHI2">#REF!</definedName>
    <definedName name="_cir" localSheetId="0">[68]Cover!$E$27</definedName>
    <definedName name="_cir">[69]Cover!$E$27</definedName>
    <definedName name="_CND1" localSheetId="2">#REF!</definedName>
    <definedName name="_CND1" localSheetId="0">#REF!</definedName>
    <definedName name="_CND1" localSheetId="1">#REF!</definedName>
    <definedName name="_CND1" localSheetId="4">#REF!</definedName>
    <definedName name="_CND1" localSheetId="6">#REF!</definedName>
    <definedName name="_CND1" localSheetId="5">#REF!</definedName>
    <definedName name="_CND1" localSheetId="7">#REF!</definedName>
    <definedName name="_CND1">#REF!</definedName>
    <definedName name="_cnd2" localSheetId="2">#REF!</definedName>
    <definedName name="_cnd2" localSheetId="1">#REF!</definedName>
    <definedName name="_cnd2" localSheetId="4">#REF!</definedName>
    <definedName name="_cnd2" localSheetId="6">#REF!</definedName>
    <definedName name="_cnd2" localSheetId="5">#REF!</definedName>
    <definedName name="_cnd2" localSheetId="7">#REF!</definedName>
    <definedName name="_cnd2">#REF!</definedName>
    <definedName name="_cnd3" localSheetId="5">#REF!</definedName>
    <definedName name="_cnd3" localSheetId="7">#REF!</definedName>
    <definedName name="_cnd3">#REF!</definedName>
    <definedName name="_con1" localSheetId="0">[44]ssr20506!$D$81</definedName>
    <definedName name="_con1">[41]ssr20506!$D$81</definedName>
    <definedName name="_cur1">[8]r!$F$30</definedName>
    <definedName name="_dec05" hidden="1">{"'Sheet1'!$A$4386:$N$4591"}</definedName>
    <definedName name="_div" localSheetId="0">[68]Cover!$E$28</definedName>
    <definedName name="_div">[69]Cover!$E$28</definedName>
    <definedName name="_du1">'[51]Ch13.00 1Mt Drop'!$F$6</definedName>
    <definedName name="_du2">'[51]15_Design_1.0M_Drop'!$F$6</definedName>
    <definedName name="_E02" localSheetId="0">[70]mlead!$C$8</definedName>
    <definedName name="_E02">[71]mlead!$C$8</definedName>
    <definedName name="_E04" localSheetId="0">[72]mlead!$C$10</definedName>
    <definedName name="_E04">[73]mlead!$C$10</definedName>
    <definedName name="_E05" localSheetId="0">[72]mlead!$C$11</definedName>
    <definedName name="_E05">[73]mlead!$C$11</definedName>
    <definedName name="_E12" localSheetId="0">[70]mlead!$C$18</definedName>
    <definedName name="_E12">[71]mlead!$C$18</definedName>
    <definedName name="_E22" localSheetId="0">[72]mlead!$C$28</definedName>
    <definedName name="_E22">[73]mlead!$C$28</definedName>
    <definedName name="_E32" localSheetId="0">[72]mlead!$C$38</definedName>
    <definedName name="_E32">[73]mlead!$C$38</definedName>
    <definedName name="_F1" localSheetId="2">#REF!</definedName>
    <definedName name="_F1" localSheetId="1">#REF!</definedName>
    <definedName name="_F1" localSheetId="4">#REF!</definedName>
    <definedName name="_F1" localSheetId="6">#REF!</definedName>
    <definedName name="_F1" localSheetId="5">#REF!</definedName>
    <definedName name="_F1" localSheetId="7">#REF!</definedName>
    <definedName name="_F1">#REF!</definedName>
    <definedName name="_fbd1">'[51]Ch13.00 1Mt Drop'!$H$9</definedName>
    <definedName name="_fbd2">'[51]15_Design_1.0M_Drop'!$H$9</definedName>
    <definedName name="_fbu1">'[51]Ch13.00 1Mt Drop'!$F$9</definedName>
    <definedName name="_fbu2">'[51]15_Design_1.0M_Drop'!$F$9</definedName>
    <definedName name="_Fill" hidden="1">#REF!</definedName>
    <definedName name="_flp1">#REF!</definedName>
    <definedName name="_gld1">'[51]Ch13.00 1Mt Drop'!$H$11</definedName>
    <definedName name="_gld2">'[51]15_Design_1.0M_Drop'!$H$11</definedName>
    <definedName name="_glu1">'[51]Ch13.00 1Mt Drop'!$F$11</definedName>
    <definedName name="_glu2">'[51]15_Design_1.0M_Drop'!$F$11</definedName>
    <definedName name="_GRA" localSheetId="2">#REF!</definedName>
    <definedName name="_GRA" localSheetId="1">#REF!</definedName>
    <definedName name="_GRA" localSheetId="4">#REF!</definedName>
    <definedName name="_GRA" localSheetId="6">#REF!</definedName>
    <definedName name="_GRA" localSheetId="5">#REF!</definedName>
    <definedName name="_GRA" localSheetId="7">#REF!</definedName>
    <definedName name="_GRA">#REF!</definedName>
    <definedName name="_HDR1" localSheetId="5">#REF!</definedName>
    <definedName name="_HDR1" localSheetId="7">#REF!</definedName>
    <definedName name="_HDR1">#REF!</definedName>
    <definedName name="_hdr2" localSheetId="5">#REF!</definedName>
    <definedName name="_hdr2" localSheetId="7">#REF!</definedName>
    <definedName name="_hdr2">#REF!</definedName>
    <definedName name="_I06" localSheetId="5">#REF!</definedName>
    <definedName name="_I06" localSheetId="7">#REF!</definedName>
    <definedName name="_I06">#REF!</definedName>
    <definedName name="_I10" localSheetId="5">#REF!</definedName>
    <definedName name="_I10" localSheetId="7">#REF!</definedName>
    <definedName name="_I10">#REF!</definedName>
    <definedName name="_I12" localSheetId="5">#REF!</definedName>
    <definedName name="_I12" localSheetId="7">#REF!</definedName>
    <definedName name="_I12">#REF!</definedName>
    <definedName name="_I150" localSheetId="5">#REF!</definedName>
    <definedName name="_I150" localSheetId="7">#REF!</definedName>
    <definedName name="_I150">#REF!</definedName>
    <definedName name="_I20" localSheetId="5">#REF!</definedName>
    <definedName name="_I20" localSheetId="7">#REF!</definedName>
    <definedName name="_I20">#REF!</definedName>
    <definedName name="_I25" localSheetId="5">#REF!</definedName>
    <definedName name="_I25" localSheetId="7">#REF!</definedName>
    <definedName name="_I25">#REF!</definedName>
    <definedName name="_I40" localSheetId="5">#REF!</definedName>
    <definedName name="_I40" localSheetId="7">#REF!</definedName>
    <definedName name="_I40">#REF!</definedName>
    <definedName name="_I50" localSheetId="5">#REF!</definedName>
    <definedName name="_I50" localSheetId="7">#REF!</definedName>
    <definedName name="_I50">#REF!</definedName>
    <definedName name="_I60" localSheetId="5">#REF!</definedName>
    <definedName name="_I60" localSheetId="7">#REF!</definedName>
    <definedName name="_I60">#REF!</definedName>
    <definedName name="_I65" localSheetId="5">#REF!</definedName>
    <definedName name="_I65" localSheetId="7">#REF!</definedName>
    <definedName name="_I65">#REF!</definedName>
    <definedName name="_I75" localSheetId="5">#REF!</definedName>
    <definedName name="_I75" localSheetId="7">#REF!</definedName>
    <definedName name="_I75">#REF!</definedName>
    <definedName name="_IDC2">#N/A</definedName>
    <definedName name="_IDC21">#N/A</definedName>
    <definedName name="_IDC22">#N/A</definedName>
    <definedName name="_IDC3">#N/A</definedName>
    <definedName name="_imp1" localSheetId="0">#REF!</definedName>
    <definedName name="_imp1" localSheetId="4">#REF!</definedName>
    <definedName name="_imp1" localSheetId="5">#REF!</definedName>
    <definedName name="_imp1" localSheetId="7">#REF!</definedName>
    <definedName name="_imp1">#REF!</definedName>
    <definedName name="_imp123" localSheetId="2">#REF!</definedName>
    <definedName name="_imp123" localSheetId="1">#REF!</definedName>
    <definedName name="_imp123" localSheetId="4">#REF!</definedName>
    <definedName name="_imp123" localSheetId="6">#REF!</definedName>
    <definedName name="_imp123" localSheetId="5">#REF!</definedName>
    <definedName name="_imp123" localSheetId="7">#REF!</definedName>
    <definedName name="_imp123">#REF!</definedName>
    <definedName name="_imp2" localSheetId="0">#REF!</definedName>
    <definedName name="_imp2" localSheetId="4">#REF!</definedName>
    <definedName name="_imp2" localSheetId="5">#REF!</definedName>
    <definedName name="_imp2" localSheetId="7">#REF!</definedName>
    <definedName name="_imp2">#REF!</definedName>
    <definedName name="_imp3" localSheetId="0">#REF!</definedName>
    <definedName name="_imp3" localSheetId="4">#REF!</definedName>
    <definedName name="_imp3" localSheetId="5">#REF!</definedName>
    <definedName name="_imp3" localSheetId="7">#REF!</definedName>
    <definedName name="_imp3">#REF!</definedName>
    <definedName name="_imp4" localSheetId="0">#REF!</definedName>
    <definedName name="_imp4" localSheetId="4">#REF!</definedName>
    <definedName name="_imp4" localSheetId="5">#REF!</definedName>
    <definedName name="_imp4" localSheetId="7">#REF!</definedName>
    <definedName name="_imp4">#REF!</definedName>
    <definedName name="_imp5" localSheetId="0">#REF!</definedName>
    <definedName name="_imp5" localSheetId="4">#REF!</definedName>
    <definedName name="_imp5" localSheetId="5">#REF!</definedName>
    <definedName name="_imp5" localSheetId="7">#REF!</definedName>
    <definedName name="_imp5">#REF!</definedName>
    <definedName name="_imp6" localSheetId="0">#REF!</definedName>
    <definedName name="_imp6" localSheetId="4">#REF!</definedName>
    <definedName name="_imp6" localSheetId="5">#REF!</definedName>
    <definedName name="_imp6" localSheetId="7">#REF!</definedName>
    <definedName name="_imp6">#REF!</definedName>
    <definedName name="_IRC12" localSheetId="0">[74]MRATES!$M$9</definedName>
    <definedName name="_IRC12" localSheetId="4">[7]Sheet1!$F$9</definedName>
    <definedName name="_IRC12">[75]MRATES!$M$9</definedName>
    <definedName name="_IRC19" localSheetId="0">[74]MRATES!$M$10</definedName>
    <definedName name="_IRC19" localSheetId="4">[7]Sheet1!$F$10</definedName>
    <definedName name="_IRC19">[75]MRATES!$M$10</definedName>
    <definedName name="_IRC25" localSheetId="0">[74]MRATES!$M$11</definedName>
    <definedName name="_IRC25" localSheetId="4">[7]Sheet1!$F$11</definedName>
    <definedName name="_IRC25">[75]MRATES!$M$11</definedName>
    <definedName name="_IRC40" localSheetId="0">[74]MRATES!$M$12</definedName>
    <definedName name="_IRC40" localSheetId="4">[7]Sheet1!$F$12</definedName>
    <definedName name="_IRC40">[75]MRATES!$M$12</definedName>
    <definedName name="_IRC5" localSheetId="0">[74]MRATES!$M$7</definedName>
    <definedName name="_IRC5" localSheetId="4">[7]Sheet1!$F$7</definedName>
    <definedName name="_IRC5">[75]MRATES!$M$7</definedName>
    <definedName name="_IRC50" localSheetId="0">[74]MRATES!$M$13</definedName>
    <definedName name="_IRC50" localSheetId="4">[7]Sheet1!$F$13</definedName>
    <definedName name="_IRC50">[75]MRATES!$M$13</definedName>
    <definedName name="_IRC60" localSheetId="0">[74]MRATES!$M$14</definedName>
    <definedName name="_IRC60" localSheetId="4">[7]Sheet1!$F$14</definedName>
    <definedName name="_IRC60">[75]MRATES!$M$14</definedName>
    <definedName name="_IRC65">[7]Sheet1!$F$15</definedName>
    <definedName name="_IRC75">[7]Sheet1!$F$16</definedName>
    <definedName name="_IRC9" localSheetId="0">[74]MRATES!$M$8</definedName>
    <definedName name="_IRC9" localSheetId="4">[7]Sheet1!$F$8</definedName>
    <definedName name="_IRC9">[75]MRATES!$M$8</definedName>
    <definedName name="_knr2" localSheetId="2">#REF!</definedName>
    <definedName name="_knr2" localSheetId="1">#REF!</definedName>
    <definedName name="_knr2" localSheetId="4">#REF!</definedName>
    <definedName name="_knr2" localSheetId="6">#REF!</definedName>
    <definedName name="_knr2" localSheetId="5">#REF!</definedName>
    <definedName name="_knr2" localSheetId="7">#REF!</definedName>
    <definedName name="_knr2">#REF!</definedName>
    <definedName name="_L_BX" localSheetId="2">#REF!</definedName>
    <definedName name="_L_BX" localSheetId="0">[76]Quarry!#REF!</definedName>
    <definedName name="_L_BX" localSheetId="1">#REF!</definedName>
    <definedName name="_L_BX" localSheetId="4">[77]Quarry!#REF!</definedName>
    <definedName name="_L_BX" localSheetId="6">#REF!</definedName>
    <definedName name="_L_BX" localSheetId="5">#REF!</definedName>
    <definedName name="_L_BX" localSheetId="7">#REF!</definedName>
    <definedName name="_L_BX">#REF!</definedName>
    <definedName name="_L_CX" localSheetId="2">#REF!</definedName>
    <definedName name="_L_CX" localSheetId="0">[76]Quarry!#REF!</definedName>
    <definedName name="_L_CX" localSheetId="1">#REF!</definedName>
    <definedName name="_L_CX" localSheetId="4">[77]Quarry!#REF!</definedName>
    <definedName name="_L_CX" localSheetId="6">#REF!</definedName>
    <definedName name="_L_CX" localSheetId="5">#REF!</definedName>
    <definedName name="_L_CX" localSheetId="7">#REF!</definedName>
    <definedName name="_L_CX">#REF!</definedName>
    <definedName name="_l1" localSheetId="0">[76]Quarry!#REF!</definedName>
    <definedName name="_l1" localSheetId="4">[77]Quarry!#REF!</definedName>
    <definedName name="_l1" localSheetId="5">#REF!</definedName>
    <definedName name="_l1" localSheetId="7">#REF!</definedName>
    <definedName name="_l1">#REF!</definedName>
    <definedName name="_l12" localSheetId="2">#REF!</definedName>
    <definedName name="_l12" localSheetId="0">#REF!</definedName>
    <definedName name="_l12" localSheetId="1">#REF!</definedName>
    <definedName name="_l12" localSheetId="4">#REF!</definedName>
    <definedName name="_l12" localSheetId="6">#REF!</definedName>
    <definedName name="_l12" localSheetId="5">#REF!</definedName>
    <definedName name="_l12" localSheetId="7">#REF!</definedName>
    <definedName name="_l12">#REF!</definedName>
    <definedName name="_L2" localSheetId="0">[76]Quarry!#REF!</definedName>
    <definedName name="_L2" localSheetId="4">[77]Quarry!#REF!</definedName>
    <definedName name="_L2" localSheetId="5">#REF!</definedName>
    <definedName name="_L2" localSheetId="7">#REF!</definedName>
    <definedName name="_L2">#REF!</definedName>
    <definedName name="_L3" localSheetId="2">#REF!</definedName>
    <definedName name="_L3" localSheetId="0">[76]Quarry!#REF!</definedName>
    <definedName name="_L3" localSheetId="1">#REF!</definedName>
    <definedName name="_L3" localSheetId="4">[77]Quarry!#REF!</definedName>
    <definedName name="_L3" localSheetId="6">#REF!</definedName>
    <definedName name="_L3" localSheetId="5">#REF!</definedName>
    <definedName name="_L3" localSheetId="7">#REF!</definedName>
    <definedName name="_L3">#REF!</definedName>
    <definedName name="_L4" localSheetId="0">[76]Quarry!#REF!</definedName>
    <definedName name="_L4" localSheetId="4">[77]Quarry!#REF!</definedName>
    <definedName name="_L4" localSheetId="5">#REF!</definedName>
    <definedName name="_L4" localSheetId="7">#REF!</definedName>
    <definedName name="_L4">#REF!</definedName>
    <definedName name="_l5" localSheetId="2">#REF!</definedName>
    <definedName name="_l5" localSheetId="0">#REF!</definedName>
    <definedName name="_l5" localSheetId="1">#REF!</definedName>
    <definedName name="_l5" localSheetId="4">#REF!</definedName>
    <definedName name="_l5" localSheetId="6">#REF!</definedName>
    <definedName name="_l5" localSheetId="5">#REF!</definedName>
    <definedName name="_l5" localSheetId="7">#REF!</definedName>
    <definedName name="_l5">#REF!</definedName>
    <definedName name="_l6">[8]r!$F$4</definedName>
    <definedName name="_l7">[9]r!$F$4</definedName>
    <definedName name="_l8">[8]r!$F$2</definedName>
    <definedName name="_l9">[8]r!$F$3</definedName>
    <definedName name="_lb1">#REF!</definedName>
    <definedName name="_lb2">#REF!</definedName>
    <definedName name="_ldw1">'[51]Ch13.00 1Mt Drop'!$F$25</definedName>
    <definedName name="_ldw2">'[51]15_Design_1.0M_Drop'!$F$25</definedName>
    <definedName name="_LEAD" localSheetId="0">[78]RMR!$E$33</definedName>
    <definedName name="_LEAD">[79]RMR!$E$33</definedName>
    <definedName name="_loc1">#N/A</definedName>
    <definedName name="_M15" localSheetId="0">[72]mlead!$D$21</definedName>
    <definedName name="_M15">[73]mlead!$D$21</definedName>
    <definedName name="_M17" localSheetId="0">[70]mlead!$D$23</definedName>
    <definedName name="_M17">[71]mlead!$D$23</definedName>
    <definedName name="_M23" localSheetId="0">[72]mlead!$D$29</definedName>
    <definedName name="_M23">[73]mlead!$D$29</definedName>
    <definedName name="_M27" localSheetId="0">[72]mlead!$D$33</definedName>
    <definedName name="_M27">[73]mlead!$D$33</definedName>
    <definedName name="_M32" localSheetId="0">[72]mlead!$D$38</definedName>
    <definedName name="_M32">[73]mlead!$D$38</definedName>
    <definedName name="_M38" localSheetId="0">[70]mlead!$D$44</definedName>
    <definedName name="_M38">[71]mlead!$D$44</definedName>
    <definedName name="_M40" localSheetId="0">[72]mlead!$D$46</definedName>
    <definedName name="_M40">[73]mlead!$D$46</definedName>
    <definedName name="_M67" localSheetId="0">[80]mlead!$D$73</definedName>
    <definedName name="_M67">[81]mlead!$D$73</definedName>
    <definedName name="_MFL1" localSheetId="2">#REF!</definedName>
    <definedName name="_MFL1" localSheetId="1">#REF!</definedName>
    <definedName name="_MFL1" localSheetId="4">#REF!</definedName>
    <definedName name="_MFL1" localSheetId="6">#REF!</definedName>
    <definedName name="_MFL1" localSheetId="5">#REF!</definedName>
    <definedName name="_MFL1" localSheetId="7">#REF!</definedName>
    <definedName name="_MFL1">#REF!</definedName>
    <definedName name="_MIX124">[61]maya!$A$11:$A$18</definedName>
    <definedName name="_mm1" localSheetId="0">[25]r!$F$4</definedName>
    <definedName name="_mm1">[19]r!$F$4</definedName>
    <definedName name="_mm11">[8]r!$F$4</definedName>
    <definedName name="_mm111">[9]r!$F$4</definedName>
    <definedName name="_mm2">#REF!</definedName>
    <definedName name="_mm3">#REF!</definedName>
    <definedName name="_MS6" localSheetId="0">[74]MRATES!$P$50</definedName>
    <definedName name="_MS6" localSheetId="4">[43]MRATES!$T$17</definedName>
    <definedName name="_MS6">[75]MRATES!$P$50</definedName>
    <definedName name="_MT1" localSheetId="2">#REF!</definedName>
    <definedName name="_MT1" localSheetId="0">#REF!</definedName>
    <definedName name="_MT1" localSheetId="1">#REF!</definedName>
    <definedName name="_MT1" localSheetId="4">#REF!</definedName>
    <definedName name="_MT1" localSheetId="6">#REF!</definedName>
    <definedName name="_MT1" localSheetId="5">#REF!</definedName>
    <definedName name="_MT1" localSheetId="7">#REF!</definedName>
    <definedName name="_MT1">#REF!</definedName>
    <definedName name="_MT10" localSheetId="0">#REF!</definedName>
    <definedName name="_MT10" localSheetId="4">#REF!</definedName>
    <definedName name="_MT10" localSheetId="5">#REF!</definedName>
    <definedName name="_MT10" localSheetId="7">#REF!</definedName>
    <definedName name="_MT10">#REF!</definedName>
    <definedName name="_MT100" localSheetId="0">#REF!</definedName>
    <definedName name="_MT100" localSheetId="4">#REF!</definedName>
    <definedName name="_MT100" localSheetId="5">#REF!</definedName>
    <definedName name="_MT100" localSheetId="7">#REF!</definedName>
    <definedName name="_MT100">#REF!</definedName>
    <definedName name="_MT101" localSheetId="4">#REF!</definedName>
    <definedName name="_MT101" localSheetId="5">#REF!</definedName>
    <definedName name="_MT101" localSheetId="7">#REF!</definedName>
    <definedName name="_MT101">#REF!</definedName>
    <definedName name="_MT102" localSheetId="4">#REF!</definedName>
    <definedName name="_MT102" localSheetId="5">#REF!</definedName>
    <definedName name="_MT102" localSheetId="7">#REF!</definedName>
    <definedName name="_MT102">#REF!</definedName>
    <definedName name="_MT103" localSheetId="4">#REF!</definedName>
    <definedName name="_MT103" localSheetId="5">#REF!</definedName>
    <definedName name="_MT103" localSheetId="7">#REF!</definedName>
    <definedName name="_MT103">#REF!</definedName>
    <definedName name="_MT104" localSheetId="4">#REF!</definedName>
    <definedName name="_MT104" localSheetId="5">#REF!</definedName>
    <definedName name="_MT104" localSheetId="7">#REF!</definedName>
    <definedName name="_MT104">#REF!</definedName>
    <definedName name="_MT105" localSheetId="4">#REF!</definedName>
    <definedName name="_MT105" localSheetId="5">#REF!</definedName>
    <definedName name="_MT105" localSheetId="7">#REF!</definedName>
    <definedName name="_MT105">#REF!</definedName>
    <definedName name="_MT106" localSheetId="4">#REF!</definedName>
    <definedName name="_MT106" localSheetId="5">#REF!</definedName>
    <definedName name="_MT106" localSheetId="7">#REF!</definedName>
    <definedName name="_MT106">#REF!</definedName>
    <definedName name="_MT107" localSheetId="4">#REF!</definedName>
    <definedName name="_MT107" localSheetId="5">#REF!</definedName>
    <definedName name="_MT107" localSheetId="7">#REF!</definedName>
    <definedName name="_MT107">#REF!</definedName>
    <definedName name="_MT108" localSheetId="4">#REF!</definedName>
    <definedName name="_MT108" localSheetId="5">#REF!</definedName>
    <definedName name="_MT108" localSheetId="7">#REF!</definedName>
    <definedName name="_MT108">#REF!</definedName>
    <definedName name="_MT109" localSheetId="4">#REF!</definedName>
    <definedName name="_MT109" localSheetId="5">#REF!</definedName>
    <definedName name="_MT109" localSheetId="7">#REF!</definedName>
    <definedName name="_MT109">#REF!</definedName>
    <definedName name="_MT11" localSheetId="4">#REF!</definedName>
    <definedName name="_MT11" localSheetId="5">#REF!</definedName>
    <definedName name="_MT11" localSheetId="7">#REF!</definedName>
    <definedName name="_MT11">#REF!</definedName>
    <definedName name="_MT110" localSheetId="4">#REF!</definedName>
    <definedName name="_MT110" localSheetId="5">#REF!</definedName>
    <definedName name="_MT110" localSheetId="7">#REF!</definedName>
    <definedName name="_MT110">#REF!</definedName>
    <definedName name="_MT111" localSheetId="4">#REF!</definedName>
    <definedName name="_MT111" localSheetId="5">#REF!</definedName>
    <definedName name="_MT111" localSheetId="7">#REF!</definedName>
    <definedName name="_MT111">#REF!</definedName>
    <definedName name="_MT112" localSheetId="4">#REF!</definedName>
    <definedName name="_MT112" localSheetId="5">#REF!</definedName>
    <definedName name="_MT112" localSheetId="7">#REF!</definedName>
    <definedName name="_MT112">#REF!</definedName>
    <definedName name="_MT113" localSheetId="4">#REF!</definedName>
    <definedName name="_MT113" localSheetId="5">#REF!</definedName>
    <definedName name="_MT113" localSheetId="7">#REF!</definedName>
    <definedName name="_MT113">#REF!</definedName>
    <definedName name="_MT114" localSheetId="4">#REF!</definedName>
    <definedName name="_MT114" localSheetId="5">#REF!</definedName>
    <definedName name="_MT114" localSheetId="7">#REF!</definedName>
    <definedName name="_MT114">#REF!</definedName>
    <definedName name="_MT115" localSheetId="4">#REF!</definedName>
    <definedName name="_MT115" localSheetId="5">#REF!</definedName>
    <definedName name="_MT115" localSheetId="7">#REF!</definedName>
    <definedName name="_MT115">#REF!</definedName>
    <definedName name="_MT116" localSheetId="4">#REF!</definedName>
    <definedName name="_MT116" localSheetId="5">#REF!</definedName>
    <definedName name="_MT116" localSheetId="7">#REF!</definedName>
    <definedName name="_MT116">#REF!</definedName>
    <definedName name="_MT117" localSheetId="4">#REF!</definedName>
    <definedName name="_MT117" localSheetId="5">#REF!</definedName>
    <definedName name="_MT117" localSheetId="7">#REF!</definedName>
    <definedName name="_MT117">#REF!</definedName>
    <definedName name="_MT118" localSheetId="4">#REF!</definedName>
    <definedName name="_MT118" localSheetId="5">#REF!</definedName>
    <definedName name="_MT118" localSheetId="7">#REF!</definedName>
    <definedName name="_MT118">#REF!</definedName>
    <definedName name="_MT119" localSheetId="4">#REF!</definedName>
    <definedName name="_MT119" localSheetId="5">#REF!</definedName>
    <definedName name="_MT119" localSheetId="7">#REF!</definedName>
    <definedName name="_MT119">#REF!</definedName>
    <definedName name="_MT12" localSheetId="4">#REF!</definedName>
    <definedName name="_MT12" localSheetId="5">#REF!</definedName>
    <definedName name="_MT12" localSheetId="7">#REF!</definedName>
    <definedName name="_MT12">#REF!</definedName>
    <definedName name="_MT120" localSheetId="4">#REF!</definedName>
    <definedName name="_MT120" localSheetId="5">#REF!</definedName>
    <definedName name="_MT120" localSheetId="7">#REF!</definedName>
    <definedName name="_MT120">#REF!</definedName>
    <definedName name="_MT121" localSheetId="4">#REF!</definedName>
    <definedName name="_MT121" localSheetId="5">#REF!</definedName>
    <definedName name="_MT121" localSheetId="7">#REF!</definedName>
    <definedName name="_MT121">#REF!</definedName>
    <definedName name="_MT122" localSheetId="4">#REF!</definedName>
    <definedName name="_MT122" localSheetId="5">#REF!</definedName>
    <definedName name="_MT122" localSheetId="7">#REF!</definedName>
    <definedName name="_MT122">#REF!</definedName>
    <definedName name="_MT123" localSheetId="4">#REF!</definedName>
    <definedName name="_MT123" localSheetId="5">#REF!</definedName>
    <definedName name="_MT123" localSheetId="7">#REF!</definedName>
    <definedName name="_MT123">#REF!</definedName>
    <definedName name="_MT124" localSheetId="4">#REF!</definedName>
    <definedName name="_MT124" localSheetId="5">#REF!</definedName>
    <definedName name="_MT124" localSheetId="7">#REF!</definedName>
    <definedName name="_MT124">#REF!</definedName>
    <definedName name="_MT125" localSheetId="4">#REF!</definedName>
    <definedName name="_MT125" localSheetId="5">#REF!</definedName>
    <definedName name="_MT125" localSheetId="7">#REF!</definedName>
    <definedName name="_MT125">#REF!</definedName>
    <definedName name="_MT126" localSheetId="4">#REF!</definedName>
    <definedName name="_MT126" localSheetId="5">#REF!</definedName>
    <definedName name="_MT126" localSheetId="7">#REF!</definedName>
    <definedName name="_MT126">#REF!</definedName>
    <definedName name="_MT127" localSheetId="4">#REF!</definedName>
    <definedName name="_MT127" localSheetId="5">#REF!</definedName>
    <definedName name="_MT127" localSheetId="7">#REF!</definedName>
    <definedName name="_MT127">#REF!</definedName>
    <definedName name="_MT128" localSheetId="4">#REF!</definedName>
    <definedName name="_MT128" localSheetId="5">#REF!</definedName>
    <definedName name="_MT128" localSheetId="7">#REF!</definedName>
    <definedName name="_MT128">#REF!</definedName>
    <definedName name="_MT129" localSheetId="4">#REF!</definedName>
    <definedName name="_MT129" localSheetId="5">#REF!</definedName>
    <definedName name="_MT129" localSheetId="7">#REF!</definedName>
    <definedName name="_MT129">#REF!</definedName>
    <definedName name="_MT13" localSheetId="4">#REF!</definedName>
    <definedName name="_MT13" localSheetId="5">#REF!</definedName>
    <definedName name="_MT13" localSheetId="7">#REF!</definedName>
    <definedName name="_MT13">#REF!</definedName>
    <definedName name="_MT130" localSheetId="4">#REF!</definedName>
    <definedName name="_MT130" localSheetId="5">#REF!</definedName>
    <definedName name="_MT130" localSheetId="7">#REF!</definedName>
    <definedName name="_MT130">#REF!</definedName>
    <definedName name="_MT131" localSheetId="4">#REF!</definedName>
    <definedName name="_MT131" localSheetId="5">#REF!</definedName>
    <definedName name="_MT131" localSheetId="7">#REF!</definedName>
    <definedName name="_MT131">#REF!</definedName>
    <definedName name="_MT132" localSheetId="4">#REF!</definedName>
    <definedName name="_MT132" localSheetId="5">#REF!</definedName>
    <definedName name="_MT132" localSheetId="7">#REF!</definedName>
    <definedName name="_MT132">#REF!</definedName>
    <definedName name="_MT133" localSheetId="4">#REF!</definedName>
    <definedName name="_MT133" localSheetId="5">#REF!</definedName>
    <definedName name="_MT133" localSheetId="7">#REF!</definedName>
    <definedName name="_MT133">#REF!</definedName>
    <definedName name="_MT134" localSheetId="4">#REF!</definedName>
    <definedName name="_MT134" localSheetId="5">#REF!</definedName>
    <definedName name="_MT134" localSheetId="7">#REF!</definedName>
    <definedName name="_MT134">#REF!</definedName>
    <definedName name="_MT135" localSheetId="4">#REF!</definedName>
    <definedName name="_MT135" localSheetId="5">#REF!</definedName>
    <definedName name="_MT135" localSheetId="7">#REF!</definedName>
    <definedName name="_MT135">#REF!</definedName>
    <definedName name="_MT136" localSheetId="4">#REF!</definedName>
    <definedName name="_MT136" localSheetId="5">#REF!</definedName>
    <definedName name="_MT136" localSheetId="7">#REF!</definedName>
    <definedName name="_MT136">#REF!</definedName>
    <definedName name="_MT137" localSheetId="4">#REF!</definedName>
    <definedName name="_MT137" localSheetId="5">#REF!</definedName>
    <definedName name="_MT137" localSheetId="7">#REF!</definedName>
    <definedName name="_MT137">#REF!</definedName>
    <definedName name="_MT138" localSheetId="4">#REF!</definedName>
    <definedName name="_MT138" localSheetId="5">#REF!</definedName>
    <definedName name="_MT138" localSheetId="7">#REF!</definedName>
    <definedName name="_MT138">#REF!</definedName>
    <definedName name="_MT139" localSheetId="4">#REF!</definedName>
    <definedName name="_MT139" localSheetId="5">#REF!</definedName>
    <definedName name="_MT139" localSheetId="7">#REF!</definedName>
    <definedName name="_MT139">#REF!</definedName>
    <definedName name="_MT14" localSheetId="4">#REF!</definedName>
    <definedName name="_MT14" localSheetId="5">#REF!</definedName>
    <definedName name="_MT14" localSheetId="7">#REF!</definedName>
    <definedName name="_MT14">#REF!</definedName>
    <definedName name="_MT140" localSheetId="4">#REF!</definedName>
    <definedName name="_MT140" localSheetId="5">#REF!</definedName>
    <definedName name="_MT140" localSheetId="7">#REF!</definedName>
    <definedName name="_MT140">#REF!</definedName>
    <definedName name="_MT141" localSheetId="4">#REF!</definedName>
    <definedName name="_MT141" localSheetId="5">#REF!</definedName>
    <definedName name="_MT141" localSheetId="7">#REF!</definedName>
    <definedName name="_MT141">#REF!</definedName>
    <definedName name="_MT142" localSheetId="4">#REF!</definedName>
    <definedName name="_MT142" localSheetId="5">#REF!</definedName>
    <definedName name="_MT142" localSheetId="7">#REF!</definedName>
    <definedName name="_MT142">#REF!</definedName>
    <definedName name="_MT143" localSheetId="4">#REF!</definedName>
    <definedName name="_MT143" localSheetId="5">#REF!</definedName>
    <definedName name="_MT143" localSheetId="7">#REF!</definedName>
    <definedName name="_MT143">#REF!</definedName>
    <definedName name="_MT144" localSheetId="4">#REF!</definedName>
    <definedName name="_MT144" localSheetId="5">#REF!</definedName>
    <definedName name="_MT144" localSheetId="7">#REF!</definedName>
    <definedName name="_MT144">#REF!</definedName>
    <definedName name="_MT145" localSheetId="4">#REF!</definedName>
    <definedName name="_MT145" localSheetId="5">#REF!</definedName>
    <definedName name="_MT145" localSheetId="7">#REF!</definedName>
    <definedName name="_MT145">#REF!</definedName>
    <definedName name="_MT146" localSheetId="4">#REF!</definedName>
    <definedName name="_MT146" localSheetId="5">#REF!</definedName>
    <definedName name="_MT146" localSheetId="7">#REF!</definedName>
    <definedName name="_MT146">#REF!</definedName>
    <definedName name="_MT147" localSheetId="4">#REF!</definedName>
    <definedName name="_MT147" localSheetId="5">#REF!</definedName>
    <definedName name="_MT147" localSheetId="7">#REF!</definedName>
    <definedName name="_MT147">#REF!</definedName>
    <definedName name="_MT148" localSheetId="4">#REF!</definedName>
    <definedName name="_MT148" localSheetId="5">#REF!</definedName>
    <definedName name="_MT148" localSheetId="7">#REF!</definedName>
    <definedName name="_MT148">#REF!</definedName>
    <definedName name="_MT149" localSheetId="4">#REF!</definedName>
    <definedName name="_MT149" localSheetId="5">#REF!</definedName>
    <definedName name="_MT149" localSheetId="7">#REF!</definedName>
    <definedName name="_MT149">#REF!</definedName>
    <definedName name="_MT15" localSheetId="4">#REF!</definedName>
    <definedName name="_MT15" localSheetId="5">#REF!</definedName>
    <definedName name="_MT15" localSheetId="7">#REF!</definedName>
    <definedName name="_MT15">#REF!</definedName>
    <definedName name="_MT150" localSheetId="4">#REF!</definedName>
    <definedName name="_MT150" localSheetId="5">#REF!</definedName>
    <definedName name="_MT150" localSheetId="7">#REF!</definedName>
    <definedName name="_MT150">#REF!</definedName>
    <definedName name="_MT16" localSheetId="4">#REF!</definedName>
    <definedName name="_MT16" localSheetId="5">#REF!</definedName>
    <definedName name="_MT16" localSheetId="7">#REF!</definedName>
    <definedName name="_MT16">#REF!</definedName>
    <definedName name="_MT17" localSheetId="4">#REF!</definedName>
    <definedName name="_MT17" localSheetId="5">#REF!</definedName>
    <definedName name="_MT17" localSheetId="7">#REF!</definedName>
    <definedName name="_MT17">#REF!</definedName>
    <definedName name="_MT18" localSheetId="4">#REF!</definedName>
    <definedName name="_MT18" localSheetId="5">#REF!</definedName>
    <definedName name="_MT18" localSheetId="7">#REF!</definedName>
    <definedName name="_MT18">#REF!</definedName>
    <definedName name="_MT19" localSheetId="4">#REF!</definedName>
    <definedName name="_MT19" localSheetId="5">#REF!</definedName>
    <definedName name="_MT19" localSheetId="7">#REF!</definedName>
    <definedName name="_MT19">#REF!</definedName>
    <definedName name="_MT2" localSheetId="4">#REF!</definedName>
    <definedName name="_MT2" localSheetId="5">#REF!</definedName>
    <definedName name="_MT2" localSheetId="7">#REF!</definedName>
    <definedName name="_MT2">#REF!</definedName>
    <definedName name="_MT20" localSheetId="4">#REF!</definedName>
    <definedName name="_MT20" localSheetId="5">#REF!</definedName>
    <definedName name="_MT20" localSheetId="7">#REF!</definedName>
    <definedName name="_MT20">#REF!</definedName>
    <definedName name="_MT21" localSheetId="4">#REF!</definedName>
    <definedName name="_MT21" localSheetId="5">#REF!</definedName>
    <definedName name="_MT21" localSheetId="7">#REF!</definedName>
    <definedName name="_MT21">#REF!</definedName>
    <definedName name="_MT22" localSheetId="4">#REF!</definedName>
    <definedName name="_MT22" localSheetId="5">#REF!</definedName>
    <definedName name="_MT22" localSheetId="7">#REF!</definedName>
    <definedName name="_MT22">#REF!</definedName>
    <definedName name="_MT23" localSheetId="4">#REF!</definedName>
    <definedName name="_MT23" localSheetId="5">#REF!</definedName>
    <definedName name="_MT23" localSheetId="7">#REF!</definedName>
    <definedName name="_MT23">#REF!</definedName>
    <definedName name="_MT24" localSheetId="4">#REF!</definedName>
    <definedName name="_MT24" localSheetId="5">#REF!</definedName>
    <definedName name="_MT24" localSheetId="7">#REF!</definedName>
    <definedName name="_MT24">#REF!</definedName>
    <definedName name="_MT25" localSheetId="4">#REF!</definedName>
    <definedName name="_MT25" localSheetId="5">#REF!</definedName>
    <definedName name="_MT25" localSheetId="7">#REF!</definedName>
    <definedName name="_MT25">#REF!</definedName>
    <definedName name="_MT26" localSheetId="4">#REF!</definedName>
    <definedName name="_MT26" localSheetId="5">#REF!</definedName>
    <definedName name="_MT26" localSheetId="7">#REF!</definedName>
    <definedName name="_MT26">#REF!</definedName>
    <definedName name="_MT27" localSheetId="4">#REF!</definedName>
    <definedName name="_MT27" localSheetId="5">#REF!</definedName>
    <definedName name="_MT27" localSheetId="7">#REF!</definedName>
    <definedName name="_MT27">#REF!</definedName>
    <definedName name="_MT28" localSheetId="4">#REF!</definedName>
    <definedName name="_MT28" localSheetId="5">#REF!</definedName>
    <definedName name="_MT28" localSheetId="7">#REF!</definedName>
    <definedName name="_MT28">#REF!</definedName>
    <definedName name="_MT29" localSheetId="4">#REF!</definedName>
    <definedName name="_MT29" localSheetId="5">#REF!</definedName>
    <definedName name="_MT29" localSheetId="7">#REF!</definedName>
    <definedName name="_MT29">#REF!</definedName>
    <definedName name="_MT3" localSheetId="4">#REF!</definedName>
    <definedName name="_MT3" localSheetId="5">#REF!</definedName>
    <definedName name="_MT3" localSheetId="7">#REF!</definedName>
    <definedName name="_MT3">#REF!</definedName>
    <definedName name="_MT30" localSheetId="4">#REF!</definedName>
    <definedName name="_MT30" localSheetId="5">#REF!</definedName>
    <definedName name="_MT30" localSheetId="7">#REF!</definedName>
    <definedName name="_MT30">#REF!</definedName>
    <definedName name="_MT31" localSheetId="4">#REF!</definedName>
    <definedName name="_MT31" localSheetId="5">#REF!</definedName>
    <definedName name="_MT31" localSheetId="7">#REF!</definedName>
    <definedName name="_MT31">#REF!</definedName>
    <definedName name="_MT32" localSheetId="4">#REF!</definedName>
    <definedName name="_MT32" localSheetId="5">#REF!</definedName>
    <definedName name="_MT32" localSheetId="7">#REF!</definedName>
    <definedName name="_MT32">#REF!</definedName>
    <definedName name="_MT33" localSheetId="4">#REF!</definedName>
    <definedName name="_MT33" localSheetId="5">#REF!</definedName>
    <definedName name="_MT33" localSheetId="7">#REF!</definedName>
    <definedName name="_MT33">#REF!</definedName>
    <definedName name="_MT34" localSheetId="4">#REF!</definedName>
    <definedName name="_MT34" localSheetId="5">#REF!</definedName>
    <definedName name="_MT34" localSheetId="7">#REF!</definedName>
    <definedName name="_MT34">#REF!</definedName>
    <definedName name="_MT35" localSheetId="4">#REF!</definedName>
    <definedName name="_MT35" localSheetId="5">#REF!</definedName>
    <definedName name="_MT35" localSheetId="7">#REF!</definedName>
    <definedName name="_MT35">#REF!</definedName>
    <definedName name="_MT36" localSheetId="4">#REF!</definedName>
    <definedName name="_MT36" localSheetId="5">#REF!</definedName>
    <definedName name="_MT36" localSheetId="7">#REF!</definedName>
    <definedName name="_MT36">#REF!</definedName>
    <definedName name="_MT37" localSheetId="4">#REF!</definedName>
    <definedName name="_MT37" localSheetId="5">#REF!</definedName>
    <definedName name="_MT37" localSheetId="7">#REF!</definedName>
    <definedName name="_MT37">#REF!</definedName>
    <definedName name="_MT38" localSheetId="4">#REF!</definedName>
    <definedName name="_MT38" localSheetId="5">#REF!</definedName>
    <definedName name="_MT38" localSheetId="7">#REF!</definedName>
    <definedName name="_MT38">#REF!</definedName>
    <definedName name="_MT39" localSheetId="4">#REF!</definedName>
    <definedName name="_MT39" localSheetId="5">#REF!</definedName>
    <definedName name="_MT39" localSheetId="7">#REF!</definedName>
    <definedName name="_MT39">#REF!</definedName>
    <definedName name="_MT4" localSheetId="4">#REF!</definedName>
    <definedName name="_MT4" localSheetId="5">#REF!</definedName>
    <definedName name="_MT4" localSheetId="7">#REF!</definedName>
    <definedName name="_MT4">#REF!</definedName>
    <definedName name="_MT40" localSheetId="4">#REF!</definedName>
    <definedName name="_MT40" localSheetId="5">#REF!</definedName>
    <definedName name="_MT40" localSheetId="7">#REF!</definedName>
    <definedName name="_MT40">#REF!</definedName>
    <definedName name="_MT41" localSheetId="4">#REF!</definedName>
    <definedName name="_MT41" localSheetId="5">#REF!</definedName>
    <definedName name="_MT41" localSheetId="7">#REF!</definedName>
    <definedName name="_MT41">#REF!</definedName>
    <definedName name="_MT42" localSheetId="4">#REF!</definedName>
    <definedName name="_MT42" localSheetId="5">#REF!</definedName>
    <definedName name="_MT42" localSheetId="7">#REF!</definedName>
    <definedName name="_MT42">#REF!</definedName>
    <definedName name="_MT43" localSheetId="4">#REF!</definedName>
    <definedName name="_MT43" localSheetId="5">#REF!</definedName>
    <definedName name="_MT43" localSheetId="7">#REF!</definedName>
    <definedName name="_MT43">#REF!</definedName>
    <definedName name="_MT44" localSheetId="4">#REF!</definedName>
    <definedName name="_MT44" localSheetId="5">#REF!</definedName>
    <definedName name="_MT44" localSheetId="7">#REF!</definedName>
    <definedName name="_MT44">#REF!</definedName>
    <definedName name="_MT45" localSheetId="4">#REF!</definedName>
    <definedName name="_MT45" localSheetId="5">#REF!</definedName>
    <definedName name="_MT45" localSheetId="7">#REF!</definedName>
    <definedName name="_MT45">#REF!</definedName>
    <definedName name="_MT46" localSheetId="4">#REF!</definedName>
    <definedName name="_MT46" localSheetId="5">#REF!</definedName>
    <definedName name="_MT46" localSheetId="7">#REF!</definedName>
    <definedName name="_MT46">#REF!</definedName>
    <definedName name="_MT47" localSheetId="4">#REF!</definedName>
    <definedName name="_MT47" localSheetId="5">#REF!</definedName>
    <definedName name="_MT47" localSheetId="7">#REF!</definedName>
    <definedName name="_MT47">#REF!</definedName>
    <definedName name="_MT48" localSheetId="4">#REF!</definedName>
    <definedName name="_MT48" localSheetId="5">#REF!</definedName>
    <definedName name="_MT48" localSheetId="7">#REF!</definedName>
    <definedName name="_MT48">#REF!</definedName>
    <definedName name="_MT49" localSheetId="4">#REF!</definedName>
    <definedName name="_MT49" localSheetId="5">#REF!</definedName>
    <definedName name="_MT49" localSheetId="7">#REF!</definedName>
    <definedName name="_MT49">#REF!</definedName>
    <definedName name="_MT5" localSheetId="4">#REF!</definedName>
    <definedName name="_MT5" localSheetId="5">#REF!</definedName>
    <definedName name="_MT5" localSheetId="7">#REF!</definedName>
    <definedName name="_MT5">#REF!</definedName>
    <definedName name="_MT50" localSheetId="4">#REF!</definedName>
    <definedName name="_MT50" localSheetId="5">#REF!</definedName>
    <definedName name="_MT50" localSheetId="7">#REF!</definedName>
    <definedName name="_MT50">#REF!</definedName>
    <definedName name="_MT500" localSheetId="4">#REF!</definedName>
    <definedName name="_MT500" localSheetId="5">#REF!</definedName>
    <definedName name="_MT500" localSheetId="7">#REF!</definedName>
    <definedName name="_MT500">#REF!</definedName>
    <definedName name="_MT51" localSheetId="4">#REF!</definedName>
    <definedName name="_MT51" localSheetId="5">#REF!</definedName>
    <definedName name="_MT51" localSheetId="7">#REF!</definedName>
    <definedName name="_MT51">#REF!</definedName>
    <definedName name="_MT52" localSheetId="4">#REF!</definedName>
    <definedName name="_MT52" localSheetId="5">#REF!</definedName>
    <definedName name="_MT52" localSheetId="7">#REF!</definedName>
    <definedName name="_MT52">#REF!</definedName>
    <definedName name="_MT53" localSheetId="4">#REF!</definedName>
    <definedName name="_MT53" localSheetId="5">#REF!</definedName>
    <definedName name="_MT53" localSheetId="7">#REF!</definedName>
    <definedName name="_MT53">#REF!</definedName>
    <definedName name="_MT54" localSheetId="4">#REF!</definedName>
    <definedName name="_MT54" localSheetId="5">#REF!</definedName>
    <definedName name="_MT54" localSheetId="7">#REF!</definedName>
    <definedName name="_MT54">#REF!</definedName>
    <definedName name="_MT55" localSheetId="4">#REF!</definedName>
    <definedName name="_MT55" localSheetId="5">#REF!</definedName>
    <definedName name="_MT55" localSheetId="7">#REF!</definedName>
    <definedName name="_MT55">#REF!</definedName>
    <definedName name="_MT56" localSheetId="4">#REF!</definedName>
    <definedName name="_MT56" localSheetId="5">#REF!</definedName>
    <definedName name="_MT56" localSheetId="7">#REF!</definedName>
    <definedName name="_MT56">#REF!</definedName>
    <definedName name="_MT57" localSheetId="4">#REF!</definedName>
    <definedName name="_MT57" localSheetId="5">#REF!</definedName>
    <definedName name="_MT57" localSheetId="7">#REF!</definedName>
    <definedName name="_MT57">#REF!</definedName>
    <definedName name="_MT58" localSheetId="4">#REF!</definedName>
    <definedName name="_MT58" localSheetId="5">#REF!</definedName>
    <definedName name="_MT58" localSheetId="7">#REF!</definedName>
    <definedName name="_MT58">#REF!</definedName>
    <definedName name="_MT59" localSheetId="4">#REF!</definedName>
    <definedName name="_MT59" localSheetId="5">#REF!</definedName>
    <definedName name="_MT59" localSheetId="7">#REF!</definedName>
    <definedName name="_MT59">#REF!</definedName>
    <definedName name="_MT6" localSheetId="4">#REF!</definedName>
    <definedName name="_MT6" localSheetId="5">#REF!</definedName>
    <definedName name="_MT6" localSheetId="7">#REF!</definedName>
    <definedName name="_MT6">#REF!</definedName>
    <definedName name="_MT60" localSheetId="4">#REF!</definedName>
    <definedName name="_MT60" localSheetId="5">#REF!</definedName>
    <definedName name="_MT60" localSheetId="7">#REF!</definedName>
    <definedName name="_MT60">#REF!</definedName>
    <definedName name="_MT61" localSheetId="4">#REF!</definedName>
    <definedName name="_MT61" localSheetId="5">#REF!</definedName>
    <definedName name="_MT61" localSheetId="7">#REF!</definedName>
    <definedName name="_MT61">#REF!</definedName>
    <definedName name="_MT62" localSheetId="4">#REF!</definedName>
    <definedName name="_MT62" localSheetId="5">#REF!</definedName>
    <definedName name="_MT62" localSheetId="7">#REF!</definedName>
    <definedName name="_MT62">#REF!</definedName>
    <definedName name="_MT63" localSheetId="4">#REF!</definedName>
    <definedName name="_MT63" localSheetId="5">#REF!</definedName>
    <definedName name="_MT63" localSheetId="7">#REF!</definedName>
    <definedName name="_MT63">#REF!</definedName>
    <definedName name="_MT64" localSheetId="4">#REF!</definedName>
    <definedName name="_MT64" localSheetId="5">#REF!</definedName>
    <definedName name="_MT64" localSheetId="7">#REF!</definedName>
    <definedName name="_MT64">#REF!</definedName>
    <definedName name="_MT65" localSheetId="4">#REF!</definedName>
    <definedName name="_MT65" localSheetId="5">#REF!</definedName>
    <definedName name="_MT65" localSheetId="7">#REF!</definedName>
    <definedName name="_MT65">#REF!</definedName>
    <definedName name="_MT66" localSheetId="4">#REF!</definedName>
    <definedName name="_MT66" localSheetId="5">#REF!</definedName>
    <definedName name="_MT66" localSheetId="7">#REF!</definedName>
    <definedName name="_MT66">#REF!</definedName>
    <definedName name="_MT67" localSheetId="4">#REF!</definedName>
    <definedName name="_MT67" localSheetId="5">#REF!</definedName>
    <definedName name="_MT67" localSheetId="7">#REF!</definedName>
    <definedName name="_MT67">#REF!</definedName>
    <definedName name="_MT68" localSheetId="4">#REF!</definedName>
    <definedName name="_MT68" localSheetId="5">#REF!</definedName>
    <definedName name="_MT68" localSheetId="7">#REF!</definedName>
    <definedName name="_MT68">#REF!</definedName>
    <definedName name="_MT69" localSheetId="4">#REF!</definedName>
    <definedName name="_MT69" localSheetId="5">#REF!</definedName>
    <definedName name="_MT69" localSheetId="7">#REF!</definedName>
    <definedName name="_MT69">#REF!</definedName>
    <definedName name="_MT7" localSheetId="4">#REF!</definedName>
    <definedName name="_MT7" localSheetId="5">#REF!</definedName>
    <definedName name="_MT7" localSheetId="7">#REF!</definedName>
    <definedName name="_MT7">#REF!</definedName>
    <definedName name="_MT70" localSheetId="4">#REF!</definedName>
    <definedName name="_MT70" localSheetId="5">#REF!</definedName>
    <definedName name="_MT70" localSheetId="7">#REF!</definedName>
    <definedName name="_MT70">#REF!</definedName>
    <definedName name="_MT71" localSheetId="4">#REF!</definedName>
    <definedName name="_MT71" localSheetId="5">#REF!</definedName>
    <definedName name="_MT71" localSheetId="7">#REF!</definedName>
    <definedName name="_MT71">#REF!</definedName>
    <definedName name="_MT72" localSheetId="4">#REF!</definedName>
    <definedName name="_MT72" localSheetId="5">#REF!</definedName>
    <definedName name="_MT72" localSheetId="7">#REF!</definedName>
    <definedName name="_MT72">#REF!</definedName>
    <definedName name="_MT73" localSheetId="4">#REF!</definedName>
    <definedName name="_MT73" localSheetId="5">#REF!</definedName>
    <definedName name="_MT73" localSheetId="7">#REF!</definedName>
    <definedName name="_MT73">#REF!</definedName>
    <definedName name="_MT74" localSheetId="4">#REF!</definedName>
    <definedName name="_MT74" localSheetId="5">#REF!</definedName>
    <definedName name="_MT74" localSheetId="7">#REF!</definedName>
    <definedName name="_MT74">#REF!</definedName>
    <definedName name="_MT75" localSheetId="4">#REF!</definedName>
    <definedName name="_MT75" localSheetId="5">#REF!</definedName>
    <definedName name="_MT75" localSheetId="7">#REF!</definedName>
    <definedName name="_MT75">#REF!</definedName>
    <definedName name="_MT76" localSheetId="4">#REF!</definedName>
    <definedName name="_MT76" localSheetId="5">#REF!</definedName>
    <definedName name="_MT76" localSheetId="7">#REF!</definedName>
    <definedName name="_MT76">#REF!</definedName>
    <definedName name="_MT77" localSheetId="4">#REF!</definedName>
    <definedName name="_MT77" localSheetId="5">#REF!</definedName>
    <definedName name="_MT77" localSheetId="7">#REF!</definedName>
    <definedName name="_MT77">#REF!</definedName>
    <definedName name="_MT78" localSheetId="4">#REF!</definedName>
    <definedName name="_MT78" localSheetId="5">#REF!</definedName>
    <definedName name="_MT78" localSheetId="7">#REF!</definedName>
    <definedName name="_MT78">#REF!</definedName>
    <definedName name="_MT79" localSheetId="4">#REF!</definedName>
    <definedName name="_MT79" localSheetId="5">#REF!</definedName>
    <definedName name="_MT79" localSheetId="7">#REF!</definedName>
    <definedName name="_MT79">#REF!</definedName>
    <definedName name="_MT8" localSheetId="4">#REF!</definedName>
    <definedName name="_MT8" localSheetId="5">#REF!</definedName>
    <definedName name="_MT8" localSheetId="7">#REF!</definedName>
    <definedName name="_MT8">#REF!</definedName>
    <definedName name="_MT80" localSheetId="4">#REF!</definedName>
    <definedName name="_MT80" localSheetId="5">#REF!</definedName>
    <definedName name="_MT80" localSheetId="7">#REF!</definedName>
    <definedName name="_MT80">#REF!</definedName>
    <definedName name="_MT81" localSheetId="4">#REF!</definedName>
    <definedName name="_MT81" localSheetId="5">#REF!</definedName>
    <definedName name="_MT81" localSheetId="7">#REF!</definedName>
    <definedName name="_MT81">#REF!</definedName>
    <definedName name="_MT82" localSheetId="4">#REF!</definedName>
    <definedName name="_MT82" localSheetId="5">#REF!</definedName>
    <definedName name="_MT82" localSheetId="7">#REF!</definedName>
    <definedName name="_MT82">#REF!</definedName>
    <definedName name="_MT83" localSheetId="4">#REF!</definedName>
    <definedName name="_MT83" localSheetId="5">#REF!</definedName>
    <definedName name="_MT83" localSheetId="7">#REF!</definedName>
    <definedName name="_MT83">#REF!</definedName>
    <definedName name="_MT84" localSheetId="4">#REF!</definedName>
    <definedName name="_MT84" localSheetId="5">#REF!</definedName>
    <definedName name="_MT84" localSheetId="7">#REF!</definedName>
    <definedName name="_MT84">#REF!</definedName>
    <definedName name="_MT85" localSheetId="4">#REF!</definedName>
    <definedName name="_MT85" localSheetId="5">#REF!</definedName>
    <definedName name="_MT85" localSheetId="7">#REF!</definedName>
    <definedName name="_MT85">#REF!</definedName>
    <definedName name="_MT86" localSheetId="4">#REF!</definedName>
    <definedName name="_MT86" localSheetId="5">#REF!</definedName>
    <definedName name="_MT86" localSheetId="7">#REF!</definedName>
    <definedName name="_MT86">#REF!</definedName>
    <definedName name="_MT87" localSheetId="4">#REF!</definedName>
    <definedName name="_MT87" localSheetId="5">#REF!</definedName>
    <definedName name="_MT87" localSheetId="7">#REF!</definedName>
    <definedName name="_MT87">#REF!</definedName>
    <definedName name="_MT88" localSheetId="4">#REF!</definedName>
    <definedName name="_MT88" localSheetId="5">#REF!</definedName>
    <definedName name="_MT88" localSheetId="7">#REF!</definedName>
    <definedName name="_MT88">#REF!</definedName>
    <definedName name="_MT89" localSheetId="4">#REF!</definedName>
    <definedName name="_MT89" localSheetId="5">#REF!</definedName>
    <definedName name="_MT89" localSheetId="7">#REF!</definedName>
    <definedName name="_MT89">#REF!</definedName>
    <definedName name="_MT9" localSheetId="4">#REF!</definedName>
    <definedName name="_MT9" localSheetId="5">#REF!</definedName>
    <definedName name="_MT9" localSheetId="7">#REF!</definedName>
    <definedName name="_MT9">#REF!</definedName>
    <definedName name="_MT90" localSheetId="4">#REF!</definedName>
    <definedName name="_MT90" localSheetId="5">#REF!</definedName>
    <definedName name="_MT90" localSheetId="7">#REF!</definedName>
    <definedName name="_MT90">#REF!</definedName>
    <definedName name="_MT91" localSheetId="4">#REF!</definedName>
    <definedName name="_MT91" localSheetId="5">#REF!</definedName>
    <definedName name="_MT91" localSheetId="7">#REF!</definedName>
    <definedName name="_MT91">#REF!</definedName>
    <definedName name="_MT92" localSheetId="4">#REF!</definedName>
    <definedName name="_MT92" localSheetId="5">#REF!</definedName>
    <definedName name="_MT92" localSheetId="7">#REF!</definedName>
    <definedName name="_MT92">#REF!</definedName>
    <definedName name="_MT93" localSheetId="4">#REF!</definedName>
    <definedName name="_MT93" localSheetId="5">#REF!</definedName>
    <definedName name="_MT93" localSheetId="7">#REF!</definedName>
    <definedName name="_MT93">#REF!</definedName>
    <definedName name="_MT94" localSheetId="4">#REF!</definedName>
    <definedName name="_MT94" localSheetId="5">#REF!</definedName>
    <definedName name="_MT94" localSheetId="7">#REF!</definedName>
    <definedName name="_MT94">#REF!</definedName>
    <definedName name="_MT95" localSheetId="4">#REF!</definedName>
    <definedName name="_MT95" localSheetId="5">#REF!</definedName>
    <definedName name="_MT95" localSheetId="7">#REF!</definedName>
    <definedName name="_MT95">#REF!</definedName>
    <definedName name="_MT96" localSheetId="4">#REF!</definedName>
    <definedName name="_MT96" localSheetId="5">#REF!</definedName>
    <definedName name="_MT96" localSheetId="7">#REF!</definedName>
    <definedName name="_MT96">#REF!</definedName>
    <definedName name="_MT97" localSheetId="4">#REF!</definedName>
    <definedName name="_MT97" localSheetId="5">#REF!</definedName>
    <definedName name="_MT97" localSheetId="7">#REF!</definedName>
    <definedName name="_MT97">#REF!</definedName>
    <definedName name="_MT98" localSheetId="4">#REF!</definedName>
    <definedName name="_MT98" localSheetId="5">#REF!</definedName>
    <definedName name="_MT98" localSheetId="7">#REF!</definedName>
    <definedName name="_MT98">#REF!</definedName>
    <definedName name="_MT99" localSheetId="4">#REF!</definedName>
    <definedName name="_MT99" localSheetId="5">#REF!</definedName>
    <definedName name="_MT99" localSheetId="7">#REF!</definedName>
    <definedName name="_MT99">#REF!</definedName>
    <definedName name="_NW">[82]Cover!$C$8</definedName>
    <definedName name="_O10" localSheetId="2">#REF!</definedName>
    <definedName name="_O10" localSheetId="1">#REF!</definedName>
    <definedName name="_O10" localSheetId="4">#REF!</definedName>
    <definedName name="_O10" localSheetId="6">#REF!</definedName>
    <definedName name="_O10" localSheetId="5">#REF!</definedName>
    <definedName name="_O10" localSheetId="7">#REF!</definedName>
    <definedName name="_O10">#REF!</definedName>
    <definedName name="_O100" localSheetId="5">#REF!</definedName>
    <definedName name="_O100" localSheetId="7">#REF!</definedName>
    <definedName name="_O100">#REF!</definedName>
    <definedName name="_O12" localSheetId="5">#REF!</definedName>
    <definedName name="_O12" localSheetId="7">#REF!</definedName>
    <definedName name="_O12">#REF!</definedName>
    <definedName name="_O150" localSheetId="5">#REF!</definedName>
    <definedName name="_O150" localSheetId="7">#REF!</definedName>
    <definedName name="_O150">#REF!</definedName>
    <definedName name="_O20" localSheetId="5">#REF!</definedName>
    <definedName name="_O20" localSheetId="7">#REF!</definedName>
    <definedName name="_O20">#REF!</definedName>
    <definedName name="_O300" localSheetId="5">#REF!</definedName>
    <definedName name="_O300" localSheetId="7">#REF!</definedName>
    <definedName name="_O300">#REF!</definedName>
    <definedName name="_O45" localSheetId="5">#REF!</definedName>
    <definedName name="_O45" localSheetId="7">#REF!</definedName>
    <definedName name="_O45">#REF!</definedName>
    <definedName name="_O450" localSheetId="5">#REF!</definedName>
    <definedName name="_O450" localSheetId="7">#REF!</definedName>
    <definedName name="_O450">#REF!</definedName>
    <definedName name="_O55" localSheetId="5">#REF!</definedName>
    <definedName name="_O55" localSheetId="7">#REF!</definedName>
    <definedName name="_O55">#REF!</definedName>
    <definedName name="_O65" localSheetId="5">#REF!</definedName>
    <definedName name="_O65" localSheetId="7">#REF!</definedName>
    <definedName name="_O65">#REF!</definedName>
    <definedName name="_O75" localSheetId="5">#REF!</definedName>
    <definedName name="_O75" localSheetId="7">#REF!</definedName>
    <definedName name="_O75">#REF!</definedName>
    <definedName name="_OH1" localSheetId="0">[74]MRATES!$C$35</definedName>
    <definedName name="_OH1" localSheetId="4">[43]MRATES!$T$26</definedName>
    <definedName name="_OH1">[75]MRATES!$C$35</definedName>
    <definedName name="_OQUA" localSheetId="2">#REF!</definedName>
    <definedName name="_OQUA" localSheetId="1">#REF!</definedName>
    <definedName name="_OQUA" localSheetId="4">#REF!</definedName>
    <definedName name="_OQUA" localSheetId="6">#REF!</definedName>
    <definedName name="_OQUA" localSheetId="5">#REF!</definedName>
    <definedName name="_OQUA" localSheetId="7">#REF!</definedName>
    <definedName name="_OQUA">#REF!</definedName>
    <definedName name="_Order1" hidden="1">255</definedName>
    <definedName name="_pc2" localSheetId="0">#REF!</definedName>
    <definedName name="_pc2" localSheetId="5">#REF!</definedName>
    <definedName name="_pc2" localSheetId="7">#REF!</definedName>
    <definedName name="_pc2">#REF!</definedName>
    <definedName name="_pipe_con_1100" localSheetId="2">[83]mlead!#REF!</definedName>
    <definedName name="_pipe_con_1100" localSheetId="0">[72]mlead!#REF!</definedName>
    <definedName name="_pipe_con_1100" localSheetId="1">[83]mlead!#REF!</definedName>
    <definedName name="_pipe_con_1100" localSheetId="4">[83]mlead!#REF!</definedName>
    <definedName name="_pipe_con_1100" localSheetId="6">[83]mlead!#REF!</definedName>
    <definedName name="_pipe_con_1100" localSheetId="5">[83]mlead!#REF!</definedName>
    <definedName name="_pipe_con_1100" localSheetId="7">[83]mlead!#REF!</definedName>
    <definedName name="_pipe_con_1100">[83]mlead!#REF!</definedName>
    <definedName name="_pipe_con_500" localSheetId="2">[83]mlead!#REF!</definedName>
    <definedName name="_pipe_con_500" localSheetId="0">[72]mlead!#REF!</definedName>
    <definedName name="_pipe_con_500" localSheetId="1">[83]mlead!#REF!</definedName>
    <definedName name="_pipe_con_500" localSheetId="4">[83]mlead!#REF!</definedName>
    <definedName name="_pipe_con_500" localSheetId="6">[83]mlead!#REF!</definedName>
    <definedName name="_pipe_con_500" localSheetId="5">[83]mlead!#REF!</definedName>
    <definedName name="_pipe_con_500">[83]mlead!#REF!</definedName>
    <definedName name="_pipe_con_700" localSheetId="0">[72]mlead!#REF!</definedName>
    <definedName name="_pipe_con_700" localSheetId="5">[83]mlead!#REF!</definedName>
    <definedName name="_pipe_con_700">[83]mlead!#REF!</definedName>
    <definedName name="_pipe_ic_1100" localSheetId="0">[72]mlead!#REF!</definedName>
    <definedName name="_pipe_ic_1100" localSheetId="5">[83]mlead!#REF!</definedName>
    <definedName name="_pipe_ic_1100">[83]mlead!#REF!</definedName>
    <definedName name="_pipe_ic_500" localSheetId="0">[72]mlead!#REF!</definedName>
    <definedName name="_pipe_ic_500" localSheetId="5">[83]mlead!#REF!</definedName>
    <definedName name="_pipe_ic_500">[83]mlead!#REF!</definedName>
    <definedName name="_pipe_ic_700" localSheetId="0">[72]mlead!#REF!</definedName>
    <definedName name="_pipe_ic_700" localSheetId="5">[83]mlead!#REF!</definedName>
    <definedName name="_pipe_ic_700">[83]mlead!#REF!</definedName>
    <definedName name="_PL" localSheetId="0">[76]RMR!$D$33</definedName>
    <definedName name="_PL">[77]RMR!$D$33</definedName>
    <definedName name="_PPA14" localSheetId="2">#REF!</definedName>
    <definedName name="_PPA14" localSheetId="0">#REF!</definedName>
    <definedName name="_PPA14" localSheetId="1">#REF!</definedName>
    <definedName name="_PPA14" localSheetId="4">#REF!</definedName>
    <definedName name="_PPA14" localSheetId="6">#REF!</definedName>
    <definedName name="_PPA14" localSheetId="5">#REF!</definedName>
    <definedName name="_PPA14" localSheetId="7">#REF!</definedName>
    <definedName name="_PPA14">#REF!</definedName>
    <definedName name="_PPB154" localSheetId="0">#REF!</definedName>
    <definedName name="_PPB154" localSheetId="4">#REF!</definedName>
    <definedName name="_PPB154" localSheetId="5">#REF!</definedName>
    <definedName name="_PPB154" localSheetId="7">#REF!</definedName>
    <definedName name="_PPB154">#REF!</definedName>
    <definedName name="_PPB155" localSheetId="0">#REF!</definedName>
    <definedName name="_PPB155" localSheetId="4">#REF!</definedName>
    <definedName name="_PPB155" localSheetId="5">#REF!</definedName>
    <definedName name="_PPB155" localSheetId="7">#REF!</definedName>
    <definedName name="_PPB155">#REF!</definedName>
    <definedName name="_PPB16" localSheetId="4">#REF!</definedName>
    <definedName name="_PPB16" localSheetId="5">#REF!</definedName>
    <definedName name="_PPB16" localSheetId="7">#REF!</definedName>
    <definedName name="_PPB16">#REF!</definedName>
    <definedName name="_PPB17" localSheetId="4">#REF!</definedName>
    <definedName name="_PPB17" localSheetId="5">#REF!</definedName>
    <definedName name="_PPB17" localSheetId="7">#REF!</definedName>
    <definedName name="_PPB17">#REF!</definedName>
    <definedName name="_PPB18" localSheetId="4">#REF!</definedName>
    <definedName name="_PPB18" localSheetId="5">#REF!</definedName>
    <definedName name="_PPB18" localSheetId="7">#REF!</definedName>
    <definedName name="_PPB18">#REF!</definedName>
    <definedName name="_PPB19" localSheetId="4">#REF!</definedName>
    <definedName name="_PPB19" localSheetId="5">#REF!</definedName>
    <definedName name="_PPB19" localSheetId="7">#REF!</definedName>
    <definedName name="_PPB19">#REF!</definedName>
    <definedName name="_PPB2" localSheetId="4">#REF!</definedName>
    <definedName name="_PPB2" localSheetId="5">#REF!</definedName>
    <definedName name="_PPB2" localSheetId="7">#REF!</definedName>
    <definedName name="_PPB2">#REF!</definedName>
    <definedName name="_PPB20" localSheetId="4">#REF!</definedName>
    <definedName name="_PPB20" localSheetId="5">#REF!</definedName>
    <definedName name="_PPB20" localSheetId="7">#REF!</definedName>
    <definedName name="_PPB20">#REF!</definedName>
    <definedName name="_PPB21" localSheetId="4">#REF!</definedName>
    <definedName name="_PPB21" localSheetId="5">#REF!</definedName>
    <definedName name="_PPB21" localSheetId="7">#REF!</definedName>
    <definedName name="_PPB21">#REF!</definedName>
    <definedName name="_PPB22" localSheetId="4">#REF!</definedName>
    <definedName name="_PPB22" localSheetId="5">#REF!</definedName>
    <definedName name="_PPB22" localSheetId="7">#REF!</definedName>
    <definedName name="_PPB22">#REF!</definedName>
    <definedName name="_PPB23" localSheetId="4">#REF!</definedName>
    <definedName name="_PPB23" localSheetId="5">#REF!</definedName>
    <definedName name="_PPB23" localSheetId="7">#REF!</definedName>
    <definedName name="_PPB23">#REF!</definedName>
    <definedName name="_PPB24" localSheetId="4">#REF!</definedName>
    <definedName name="_PPB24" localSheetId="5">#REF!</definedName>
    <definedName name="_PPB24" localSheetId="7">#REF!</definedName>
    <definedName name="_PPB24">#REF!</definedName>
    <definedName name="_PPB25" localSheetId="4">#REF!</definedName>
    <definedName name="_PPB25" localSheetId="5">#REF!</definedName>
    <definedName name="_PPB25" localSheetId="7">#REF!</definedName>
    <definedName name="_PPB25">#REF!</definedName>
    <definedName name="_PPB26" localSheetId="4">#REF!</definedName>
    <definedName name="_PPB26" localSheetId="5">#REF!</definedName>
    <definedName name="_PPB26" localSheetId="7">#REF!</definedName>
    <definedName name="_PPB26">#REF!</definedName>
    <definedName name="_PPB27" localSheetId="4">#REF!</definedName>
    <definedName name="_PPB27" localSheetId="5">#REF!</definedName>
    <definedName name="_PPB27" localSheetId="7">#REF!</definedName>
    <definedName name="_PPB27">#REF!</definedName>
    <definedName name="_PPB28" localSheetId="4">#REF!</definedName>
    <definedName name="_PPB28" localSheetId="5">#REF!</definedName>
    <definedName name="_PPB28" localSheetId="7">#REF!</definedName>
    <definedName name="_PPB28">#REF!</definedName>
    <definedName name="_PPB29" localSheetId="4">#REF!</definedName>
    <definedName name="_PPB29" localSheetId="5">#REF!</definedName>
    <definedName name="_PPB29" localSheetId="7">#REF!</definedName>
    <definedName name="_PPB29">#REF!</definedName>
    <definedName name="_PPB3" localSheetId="4">#REF!</definedName>
    <definedName name="_PPB3" localSheetId="5">#REF!</definedName>
    <definedName name="_PPB3" localSheetId="7">#REF!</definedName>
    <definedName name="_PPB3">#REF!</definedName>
    <definedName name="_PPB30" localSheetId="4">#REF!</definedName>
    <definedName name="_PPB30" localSheetId="5">#REF!</definedName>
    <definedName name="_PPB30" localSheetId="7">#REF!</definedName>
    <definedName name="_PPB30">#REF!</definedName>
    <definedName name="_PPB31" localSheetId="4">#REF!</definedName>
    <definedName name="_PPB31" localSheetId="5">#REF!</definedName>
    <definedName name="_PPB31" localSheetId="7">#REF!</definedName>
    <definedName name="_PPB31">#REF!</definedName>
    <definedName name="_PPB32" localSheetId="4">#REF!</definedName>
    <definedName name="_PPB32" localSheetId="5">#REF!</definedName>
    <definedName name="_PPB32" localSheetId="7">#REF!</definedName>
    <definedName name="_PPB32">#REF!</definedName>
    <definedName name="_PPB33" localSheetId="4">#REF!</definedName>
    <definedName name="_PPB33" localSheetId="5">#REF!</definedName>
    <definedName name="_PPB33" localSheetId="7">#REF!</definedName>
    <definedName name="_PPB33">#REF!</definedName>
    <definedName name="_PPB34" localSheetId="4">#REF!</definedName>
    <definedName name="_PPB34" localSheetId="5">#REF!</definedName>
    <definedName name="_PPB34" localSheetId="7">#REF!</definedName>
    <definedName name="_PPB34">#REF!</definedName>
    <definedName name="_PPB35" localSheetId="4">#REF!</definedName>
    <definedName name="_PPB35" localSheetId="5">#REF!</definedName>
    <definedName name="_PPB35" localSheetId="7">#REF!</definedName>
    <definedName name="_PPB35">#REF!</definedName>
    <definedName name="_PPB36" localSheetId="4">#REF!</definedName>
    <definedName name="_PPB36" localSheetId="5">#REF!</definedName>
    <definedName name="_PPB36" localSheetId="7">#REF!</definedName>
    <definedName name="_PPB36">#REF!</definedName>
    <definedName name="_PPB37" localSheetId="4">#REF!</definedName>
    <definedName name="_PPB37" localSheetId="5">#REF!</definedName>
    <definedName name="_PPB37" localSheetId="7">#REF!</definedName>
    <definedName name="_PPB37">#REF!</definedName>
    <definedName name="_PPB38" localSheetId="4">#REF!</definedName>
    <definedName name="_PPB38" localSheetId="5">#REF!</definedName>
    <definedName name="_PPB38" localSheetId="7">#REF!</definedName>
    <definedName name="_PPB38">#REF!</definedName>
    <definedName name="_PPB39" localSheetId="4">#REF!</definedName>
    <definedName name="_PPB39" localSheetId="5">#REF!</definedName>
    <definedName name="_PPB39" localSheetId="7">#REF!</definedName>
    <definedName name="_PPB39">#REF!</definedName>
    <definedName name="_PPB4" localSheetId="4">#REF!</definedName>
    <definedName name="_PPB4" localSheetId="5">#REF!</definedName>
    <definedName name="_PPB4" localSheetId="7">#REF!</definedName>
    <definedName name="_PPB4">#REF!</definedName>
    <definedName name="_PPB40" localSheetId="4">#REF!</definedName>
    <definedName name="_PPB40" localSheetId="5">#REF!</definedName>
    <definedName name="_PPB40" localSheetId="7">#REF!</definedName>
    <definedName name="_PPB40">#REF!</definedName>
    <definedName name="_PPB41" localSheetId="4">#REF!</definedName>
    <definedName name="_PPB41" localSheetId="5">#REF!</definedName>
    <definedName name="_PPB41" localSheetId="7">#REF!</definedName>
    <definedName name="_PPB41">#REF!</definedName>
    <definedName name="_PPB42" localSheetId="4">#REF!</definedName>
    <definedName name="_PPB42" localSheetId="5">#REF!</definedName>
    <definedName name="_PPB42" localSheetId="7">#REF!</definedName>
    <definedName name="_PPB42">#REF!</definedName>
    <definedName name="_PPB43" localSheetId="4">#REF!</definedName>
    <definedName name="_PPB43" localSheetId="5">#REF!</definedName>
    <definedName name="_PPB43" localSheetId="7">#REF!</definedName>
    <definedName name="_PPB43">#REF!</definedName>
    <definedName name="_PPB44" localSheetId="4">#REF!</definedName>
    <definedName name="_PPB44" localSheetId="5">#REF!</definedName>
    <definedName name="_PPB44" localSheetId="7">#REF!</definedName>
    <definedName name="_PPB44">#REF!</definedName>
    <definedName name="_PPB45" localSheetId="4">#REF!</definedName>
    <definedName name="_PPB45" localSheetId="5">#REF!</definedName>
    <definedName name="_PPB45" localSheetId="7">#REF!</definedName>
    <definedName name="_PPB45">#REF!</definedName>
    <definedName name="_PPB46" localSheetId="4">#REF!</definedName>
    <definedName name="_PPB46" localSheetId="5">#REF!</definedName>
    <definedName name="_PPB46" localSheetId="7">#REF!</definedName>
    <definedName name="_PPB46">#REF!</definedName>
    <definedName name="_PPB47" localSheetId="4">#REF!</definedName>
    <definedName name="_PPB47" localSheetId="5">#REF!</definedName>
    <definedName name="_PPB47" localSheetId="7">#REF!</definedName>
    <definedName name="_PPB47">#REF!</definedName>
    <definedName name="_PPB48" localSheetId="4">#REF!</definedName>
    <definedName name="_PPB48" localSheetId="5">#REF!</definedName>
    <definedName name="_PPB48" localSheetId="7">#REF!</definedName>
    <definedName name="_PPB48">#REF!</definedName>
    <definedName name="_PPB49" localSheetId="4">#REF!</definedName>
    <definedName name="_PPB49" localSheetId="5">#REF!</definedName>
    <definedName name="_PPB49" localSheetId="7">#REF!</definedName>
    <definedName name="_PPB49">#REF!</definedName>
    <definedName name="_PPB5" localSheetId="4">#REF!</definedName>
    <definedName name="_PPB5" localSheetId="5">#REF!</definedName>
    <definedName name="_PPB5" localSheetId="7">#REF!</definedName>
    <definedName name="_PPB5">#REF!</definedName>
    <definedName name="_PPB50" localSheetId="4">#REF!</definedName>
    <definedName name="_PPB50" localSheetId="5">#REF!</definedName>
    <definedName name="_PPB50" localSheetId="7">#REF!</definedName>
    <definedName name="_PPB50">#REF!</definedName>
    <definedName name="_PPB51" localSheetId="4">#REF!</definedName>
    <definedName name="_PPB51" localSheetId="5">#REF!</definedName>
    <definedName name="_PPB51" localSheetId="7">#REF!</definedName>
    <definedName name="_PPB51">#REF!</definedName>
    <definedName name="_PPB52" localSheetId="4">#REF!</definedName>
    <definedName name="_PPB52" localSheetId="5">#REF!</definedName>
    <definedName name="_PPB52" localSheetId="7">#REF!</definedName>
    <definedName name="_PPB52">#REF!</definedName>
    <definedName name="_PPB53" localSheetId="4">#REF!</definedName>
    <definedName name="_PPB53" localSheetId="5">#REF!</definedName>
    <definedName name="_PPB53" localSheetId="7">#REF!</definedName>
    <definedName name="_PPB53">#REF!</definedName>
    <definedName name="_PPB54" localSheetId="4">#REF!</definedName>
    <definedName name="_PPB54" localSheetId="5">#REF!</definedName>
    <definedName name="_PPB54" localSheetId="7">#REF!</definedName>
    <definedName name="_PPB54">#REF!</definedName>
    <definedName name="_PPB55" localSheetId="4">#REF!</definedName>
    <definedName name="_PPB55" localSheetId="5">#REF!</definedName>
    <definedName name="_PPB55" localSheetId="7">#REF!</definedName>
    <definedName name="_PPB55">#REF!</definedName>
    <definedName name="_PPB56" localSheetId="4">#REF!</definedName>
    <definedName name="_PPB56" localSheetId="5">#REF!</definedName>
    <definedName name="_PPB56" localSheetId="7">#REF!</definedName>
    <definedName name="_PPB56">#REF!</definedName>
    <definedName name="_PPB57" localSheetId="4">#REF!</definedName>
    <definedName name="_PPB57" localSheetId="5">#REF!</definedName>
    <definedName name="_PPB57" localSheetId="7">#REF!</definedName>
    <definedName name="_PPB57">#REF!</definedName>
    <definedName name="_PPB58" localSheetId="4">#REF!</definedName>
    <definedName name="_PPB58" localSheetId="5">#REF!</definedName>
    <definedName name="_PPB58" localSheetId="7">#REF!</definedName>
    <definedName name="_PPB58">#REF!</definedName>
    <definedName name="_PPB59" localSheetId="4">#REF!</definedName>
    <definedName name="_PPB59" localSheetId="5">#REF!</definedName>
    <definedName name="_PPB59" localSheetId="7">#REF!</definedName>
    <definedName name="_PPB59">#REF!</definedName>
    <definedName name="_PPB6" localSheetId="4">#REF!</definedName>
    <definedName name="_PPB6" localSheetId="5">#REF!</definedName>
    <definedName name="_PPB6" localSheetId="7">#REF!</definedName>
    <definedName name="_PPB6">#REF!</definedName>
    <definedName name="_PPB60" localSheetId="4">#REF!</definedName>
    <definedName name="_PPB60" localSheetId="5">#REF!</definedName>
    <definedName name="_PPB60" localSheetId="7">#REF!</definedName>
    <definedName name="_PPB60">#REF!</definedName>
    <definedName name="_PPB61" localSheetId="4">#REF!</definedName>
    <definedName name="_PPB61" localSheetId="5">#REF!</definedName>
    <definedName name="_PPB61" localSheetId="7">#REF!</definedName>
    <definedName name="_PPB61">#REF!</definedName>
    <definedName name="_PPB62" localSheetId="4">#REF!</definedName>
    <definedName name="_PPB62" localSheetId="5">#REF!</definedName>
    <definedName name="_PPB62" localSheetId="7">#REF!</definedName>
    <definedName name="_PPB62">#REF!</definedName>
    <definedName name="_PPB63" localSheetId="4">#REF!</definedName>
    <definedName name="_PPB63" localSheetId="5">#REF!</definedName>
    <definedName name="_PPB63" localSheetId="7">#REF!</definedName>
    <definedName name="_PPB63">#REF!</definedName>
    <definedName name="_PPB64" localSheetId="4">#REF!</definedName>
    <definedName name="_PPB64" localSheetId="5">#REF!</definedName>
    <definedName name="_PPB64" localSheetId="7">#REF!</definedName>
    <definedName name="_PPB64">#REF!</definedName>
    <definedName name="_PPB65" localSheetId="4">#REF!</definedName>
    <definedName name="_PPB65" localSheetId="5">#REF!</definedName>
    <definedName name="_PPB65" localSheetId="7">#REF!</definedName>
    <definedName name="_PPB65">#REF!</definedName>
    <definedName name="_PPB66" localSheetId="4">#REF!</definedName>
    <definedName name="_PPB66" localSheetId="5">#REF!</definedName>
    <definedName name="_PPB66" localSheetId="7">#REF!</definedName>
    <definedName name="_PPB66">#REF!</definedName>
    <definedName name="_PPB67" localSheetId="4">#REF!</definedName>
    <definedName name="_PPB67" localSheetId="5">#REF!</definedName>
    <definedName name="_PPB67" localSheetId="7">#REF!</definedName>
    <definedName name="_PPB67">#REF!</definedName>
    <definedName name="_PPB68" localSheetId="4">#REF!</definedName>
    <definedName name="_PPB68" localSheetId="5">#REF!</definedName>
    <definedName name="_PPB68" localSheetId="7">#REF!</definedName>
    <definedName name="_PPB68">#REF!</definedName>
    <definedName name="_PPB69" localSheetId="4">#REF!</definedName>
    <definedName name="_PPB69" localSheetId="5">#REF!</definedName>
    <definedName name="_PPB69" localSheetId="7">#REF!</definedName>
    <definedName name="_PPB69">#REF!</definedName>
    <definedName name="_PPB7" localSheetId="4">#REF!</definedName>
    <definedName name="_PPB7" localSheetId="5">#REF!</definedName>
    <definedName name="_PPB7" localSheetId="7">#REF!</definedName>
    <definedName name="_PPB7">#REF!</definedName>
    <definedName name="_PPB70" localSheetId="4">#REF!</definedName>
    <definedName name="_PPB70" localSheetId="5">#REF!</definedName>
    <definedName name="_PPB70" localSheetId="7">#REF!</definedName>
    <definedName name="_PPB70">#REF!</definedName>
    <definedName name="_PPB71" localSheetId="4">#REF!</definedName>
    <definedName name="_PPB71" localSheetId="5">#REF!</definedName>
    <definedName name="_PPB71" localSheetId="7">#REF!</definedName>
    <definedName name="_PPB71">#REF!</definedName>
    <definedName name="_PPB72" localSheetId="4">#REF!</definedName>
    <definedName name="_PPB72" localSheetId="5">#REF!</definedName>
    <definedName name="_PPB72" localSheetId="7">#REF!</definedName>
    <definedName name="_PPB72">#REF!</definedName>
    <definedName name="_PPB73" localSheetId="4">#REF!</definedName>
    <definedName name="_PPB73" localSheetId="5">#REF!</definedName>
    <definedName name="_PPB73" localSheetId="7">#REF!</definedName>
    <definedName name="_PPB73">#REF!</definedName>
    <definedName name="_PPB74" localSheetId="4">#REF!</definedName>
    <definedName name="_PPB74" localSheetId="5">#REF!</definedName>
    <definedName name="_PPB74" localSheetId="7">#REF!</definedName>
    <definedName name="_PPB74">#REF!</definedName>
    <definedName name="_PPB75" localSheetId="4">#REF!</definedName>
    <definedName name="_PPB75" localSheetId="5">#REF!</definedName>
    <definedName name="_PPB75" localSheetId="7">#REF!</definedName>
    <definedName name="_PPB75">#REF!</definedName>
    <definedName name="_PPB76" localSheetId="4">#REF!</definedName>
    <definedName name="_PPB76" localSheetId="5">#REF!</definedName>
    <definedName name="_PPB76" localSheetId="7">#REF!</definedName>
    <definedName name="_PPB76">#REF!</definedName>
    <definedName name="_PPB77" localSheetId="4">#REF!</definedName>
    <definedName name="_PPB77" localSheetId="5">#REF!</definedName>
    <definedName name="_PPB77" localSheetId="7">#REF!</definedName>
    <definedName name="_PPB77">#REF!</definedName>
    <definedName name="_PPB78" localSheetId="4">#REF!</definedName>
    <definedName name="_PPB78" localSheetId="5">#REF!</definedName>
    <definedName name="_PPB78" localSheetId="7">#REF!</definedName>
    <definedName name="_PPB78">#REF!</definedName>
    <definedName name="_PPB79" localSheetId="4">#REF!</definedName>
    <definedName name="_PPB79" localSheetId="5">#REF!</definedName>
    <definedName name="_PPB79" localSheetId="7">#REF!</definedName>
    <definedName name="_PPB79">#REF!</definedName>
    <definedName name="_PPB8" localSheetId="4">#REF!</definedName>
    <definedName name="_PPB8" localSheetId="5">#REF!</definedName>
    <definedName name="_PPB8" localSheetId="7">#REF!</definedName>
    <definedName name="_PPB8">#REF!</definedName>
    <definedName name="_PPB80" localSheetId="4">#REF!</definedName>
    <definedName name="_PPB80" localSheetId="5">#REF!</definedName>
    <definedName name="_PPB80" localSheetId="7">#REF!</definedName>
    <definedName name="_PPB80">#REF!</definedName>
    <definedName name="_PPB81" localSheetId="4">#REF!</definedName>
    <definedName name="_PPB81" localSheetId="5">#REF!</definedName>
    <definedName name="_PPB81" localSheetId="7">#REF!</definedName>
    <definedName name="_PPB81">#REF!</definedName>
    <definedName name="_PPB82" localSheetId="4">#REF!</definedName>
    <definedName name="_PPB82" localSheetId="5">#REF!</definedName>
    <definedName name="_PPB82" localSheetId="7">#REF!</definedName>
    <definedName name="_PPB82">#REF!</definedName>
    <definedName name="_PPB83" localSheetId="4">#REF!</definedName>
    <definedName name="_PPB83" localSheetId="5">#REF!</definedName>
    <definedName name="_PPB83" localSheetId="7">#REF!</definedName>
    <definedName name="_PPB83">#REF!</definedName>
    <definedName name="_PPB84" localSheetId="4">#REF!</definedName>
    <definedName name="_PPB84" localSheetId="5">#REF!</definedName>
    <definedName name="_PPB84" localSheetId="7">#REF!</definedName>
    <definedName name="_PPB84">#REF!</definedName>
    <definedName name="_PPB85" localSheetId="4">#REF!</definedName>
    <definedName name="_PPB85" localSheetId="5">#REF!</definedName>
    <definedName name="_PPB85" localSheetId="7">#REF!</definedName>
    <definedName name="_PPB85">#REF!</definedName>
    <definedName name="_PPB86" localSheetId="4">#REF!</definedName>
    <definedName name="_PPB86" localSheetId="5">#REF!</definedName>
    <definedName name="_PPB86" localSheetId="7">#REF!</definedName>
    <definedName name="_PPB86">#REF!</definedName>
    <definedName name="_PPB87" localSheetId="4">#REF!</definedName>
    <definedName name="_PPB87" localSheetId="5">#REF!</definedName>
    <definedName name="_PPB87" localSheetId="7">#REF!</definedName>
    <definedName name="_PPB87">#REF!</definedName>
    <definedName name="_PPB88" localSheetId="4">#REF!</definedName>
    <definedName name="_PPB88" localSheetId="5">#REF!</definedName>
    <definedName name="_PPB88" localSheetId="7">#REF!</definedName>
    <definedName name="_PPB88">#REF!</definedName>
    <definedName name="_PPB89" localSheetId="4">#REF!</definedName>
    <definedName name="_PPB89" localSheetId="5">#REF!</definedName>
    <definedName name="_PPB89" localSheetId="7">#REF!</definedName>
    <definedName name="_PPB89">#REF!</definedName>
    <definedName name="_PPB9" localSheetId="4">#REF!</definedName>
    <definedName name="_PPB9" localSheetId="5">#REF!</definedName>
    <definedName name="_PPB9" localSheetId="7">#REF!</definedName>
    <definedName name="_PPB9">#REF!</definedName>
    <definedName name="_PPB90" localSheetId="4">#REF!</definedName>
    <definedName name="_PPB90" localSheetId="5">#REF!</definedName>
    <definedName name="_PPB90" localSheetId="7">#REF!</definedName>
    <definedName name="_PPB90">#REF!</definedName>
    <definedName name="_PPB91" localSheetId="4">#REF!</definedName>
    <definedName name="_PPB91" localSheetId="5">#REF!</definedName>
    <definedName name="_PPB91" localSheetId="7">#REF!</definedName>
    <definedName name="_PPB91">#REF!</definedName>
    <definedName name="_PPB92" localSheetId="4">#REF!</definedName>
    <definedName name="_PPB92" localSheetId="5">#REF!</definedName>
    <definedName name="_PPB92" localSheetId="7">#REF!</definedName>
    <definedName name="_PPB92">#REF!</definedName>
    <definedName name="_PPB93" localSheetId="4">#REF!</definedName>
    <definedName name="_PPB93" localSheetId="5">#REF!</definedName>
    <definedName name="_PPB93" localSheetId="7">#REF!</definedName>
    <definedName name="_PPB93">#REF!</definedName>
    <definedName name="_PPB94" localSheetId="4">#REF!</definedName>
    <definedName name="_PPB94" localSheetId="5">#REF!</definedName>
    <definedName name="_PPB94" localSheetId="7">#REF!</definedName>
    <definedName name="_PPB94">#REF!</definedName>
    <definedName name="_PPB95" localSheetId="4">#REF!</definedName>
    <definedName name="_PPB95" localSheetId="5">#REF!</definedName>
    <definedName name="_PPB95" localSheetId="7">#REF!</definedName>
    <definedName name="_PPB95">#REF!</definedName>
    <definedName name="_PPB96" localSheetId="4">#REF!</definedName>
    <definedName name="_PPB96" localSheetId="5">#REF!</definedName>
    <definedName name="_PPB96" localSheetId="7">#REF!</definedName>
    <definedName name="_PPB96">#REF!</definedName>
    <definedName name="_PPB97" localSheetId="4">#REF!</definedName>
    <definedName name="_PPB97" localSheetId="5">#REF!</definedName>
    <definedName name="_PPB97" localSheetId="7">#REF!</definedName>
    <definedName name="_PPB97">#REF!</definedName>
    <definedName name="_PPB98" localSheetId="4">#REF!</definedName>
    <definedName name="_PPB98" localSheetId="5">#REF!</definedName>
    <definedName name="_PPB98" localSheetId="7">#REF!</definedName>
    <definedName name="_PPB98">#REF!</definedName>
    <definedName name="_PPB99" localSheetId="4">#REF!</definedName>
    <definedName name="_PPB99" localSheetId="5">#REF!</definedName>
    <definedName name="_PPB99" localSheetId="7">#REF!</definedName>
    <definedName name="_PPB99">#REF!</definedName>
    <definedName name="_ppc001" localSheetId="5">#REF!</definedName>
    <definedName name="_ppc001" localSheetId="7">#REF!</definedName>
    <definedName name="_ppc001">#REF!</definedName>
    <definedName name="_PPC1" localSheetId="4">#REF!</definedName>
    <definedName name="_PPC1" localSheetId="5">#REF!</definedName>
    <definedName name="_PPC1" localSheetId="7">#REF!</definedName>
    <definedName name="_PPC1">#REF!</definedName>
    <definedName name="_PPC10" localSheetId="4">#REF!</definedName>
    <definedName name="_PPC10" localSheetId="5">#REF!</definedName>
    <definedName name="_PPC10" localSheetId="7">#REF!</definedName>
    <definedName name="_PPC10">#REF!</definedName>
    <definedName name="_PPC100" localSheetId="4">#REF!</definedName>
    <definedName name="_PPC100" localSheetId="5">#REF!</definedName>
    <definedName name="_PPC100" localSheetId="7">#REF!</definedName>
    <definedName name="_PPC100">#REF!</definedName>
    <definedName name="_PPC101" localSheetId="4">#REF!</definedName>
    <definedName name="_PPC101" localSheetId="5">#REF!</definedName>
    <definedName name="_PPC101" localSheetId="7">#REF!</definedName>
    <definedName name="_PPC101">#REF!</definedName>
    <definedName name="_PPC102" localSheetId="4">#REF!</definedName>
    <definedName name="_PPC102" localSheetId="5">#REF!</definedName>
    <definedName name="_PPC102" localSheetId="7">#REF!</definedName>
    <definedName name="_PPC102">#REF!</definedName>
    <definedName name="_PPC103" localSheetId="4">#REF!</definedName>
    <definedName name="_PPC103" localSheetId="5">#REF!</definedName>
    <definedName name="_PPC103" localSheetId="7">#REF!</definedName>
    <definedName name="_PPC103">#REF!</definedName>
    <definedName name="_PPC104" localSheetId="4">#REF!</definedName>
    <definedName name="_PPC104" localSheetId="5">#REF!</definedName>
    <definedName name="_PPC104" localSheetId="7">#REF!</definedName>
    <definedName name="_PPC104">#REF!</definedName>
    <definedName name="_PPC105" localSheetId="4">#REF!</definedName>
    <definedName name="_PPC105" localSheetId="5">#REF!</definedName>
    <definedName name="_PPC105" localSheetId="7">#REF!</definedName>
    <definedName name="_PPC105">#REF!</definedName>
    <definedName name="_PPC106" localSheetId="4">#REF!</definedName>
    <definedName name="_PPC106" localSheetId="5">#REF!</definedName>
    <definedName name="_PPC106" localSheetId="7">#REF!</definedName>
    <definedName name="_PPC106">#REF!</definedName>
    <definedName name="_PPC107" localSheetId="4">#REF!</definedName>
    <definedName name="_PPC107" localSheetId="5">#REF!</definedName>
    <definedName name="_PPC107" localSheetId="7">#REF!</definedName>
    <definedName name="_PPC107">#REF!</definedName>
    <definedName name="_PPC108" localSheetId="4">#REF!</definedName>
    <definedName name="_PPC108" localSheetId="5">#REF!</definedName>
    <definedName name="_PPC108" localSheetId="7">#REF!</definedName>
    <definedName name="_PPC108">#REF!</definedName>
    <definedName name="_PPC109" localSheetId="4">#REF!</definedName>
    <definedName name="_PPC109" localSheetId="5">#REF!</definedName>
    <definedName name="_PPC109" localSheetId="7">#REF!</definedName>
    <definedName name="_PPC109">#REF!</definedName>
    <definedName name="_PPC11" localSheetId="4">#REF!</definedName>
    <definedName name="_PPC11" localSheetId="5">#REF!</definedName>
    <definedName name="_PPC11" localSheetId="7">#REF!</definedName>
    <definedName name="_PPC11">#REF!</definedName>
    <definedName name="_PPC110" localSheetId="4">#REF!</definedName>
    <definedName name="_PPC110" localSheetId="5">#REF!</definedName>
    <definedName name="_PPC110" localSheetId="7">#REF!</definedName>
    <definedName name="_PPC110">#REF!</definedName>
    <definedName name="_PPC111" localSheetId="4">#REF!</definedName>
    <definedName name="_PPC111" localSheetId="5">#REF!</definedName>
    <definedName name="_PPC111" localSheetId="7">#REF!</definedName>
    <definedName name="_PPC111">#REF!</definedName>
    <definedName name="_PPC112" localSheetId="4">#REF!</definedName>
    <definedName name="_PPC112" localSheetId="5">#REF!</definedName>
    <definedName name="_PPC112" localSheetId="7">#REF!</definedName>
    <definedName name="_PPC112">#REF!</definedName>
    <definedName name="_PPC113" localSheetId="4">#REF!</definedName>
    <definedName name="_PPC113" localSheetId="5">#REF!</definedName>
    <definedName name="_PPC113" localSheetId="7">#REF!</definedName>
    <definedName name="_PPC113">#REF!</definedName>
    <definedName name="_PPC114" localSheetId="4">#REF!</definedName>
    <definedName name="_PPC114" localSheetId="5">#REF!</definedName>
    <definedName name="_PPC114" localSheetId="7">#REF!</definedName>
    <definedName name="_PPC114">#REF!</definedName>
    <definedName name="_PPC115" localSheetId="4">#REF!</definedName>
    <definedName name="_PPC115" localSheetId="5">#REF!</definedName>
    <definedName name="_PPC115" localSheetId="7">#REF!</definedName>
    <definedName name="_PPC115">#REF!</definedName>
    <definedName name="_PPC116" localSheetId="4">#REF!</definedName>
    <definedName name="_PPC116" localSheetId="5">#REF!</definedName>
    <definedName name="_PPC116" localSheetId="7">#REF!</definedName>
    <definedName name="_PPC116">#REF!</definedName>
    <definedName name="_PPC117" localSheetId="4">#REF!</definedName>
    <definedName name="_PPC117" localSheetId="5">#REF!</definedName>
    <definedName name="_PPC117" localSheetId="7">#REF!</definedName>
    <definedName name="_PPC117">#REF!</definedName>
    <definedName name="_PPC118" localSheetId="4">#REF!</definedName>
    <definedName name="_PPC118" localSheetId="5">#REF!</definedName>
    <definedName name="_PPC118" localSheetId="7">#REF!</definedName>
    <definedName name="_PPC118">#REF!</definedName>
    <definedName name="_PPC119" localSheetId="4">#REF!</definedName>
    <definedName name="_PPC119" localSheetId="5">#REF!</definedName>
    <definedName name="_PPC119" localSheetId="7">#REF!</definedName>
    <definedName name="_PPC119">#REF!</definedName>
    <definedName name="_PPC12" localSheetId="4">#REF!</definedName>
    <definedName name="_PPC12" localSheetId="5">#REF!</definedName>
    <definedName name="_PPC12" localSheetId="7">#REF!</definedName>
    <definedName name="_PPC12">#REF!</definedName>
    <definedName name="_PPC120" localSheetId="4">#REF!</definedName>
    <definedName name="_PPC120" localSheetId="5">#REF!</definedName>
    <definedName name="_PPC120" localSheetId="7">#REF!</definedName>
    <definedName name="_PPC120">#REF!</definedName>
    <definedName name="_PPC121" localSheetId="4">#REF!</definedName>
    <definedName name="_PPC121" localSheetId="5">#REF!</definedName>
    <definedName name="_PPC121" localSheetId="7">#REF!</definedName>
    <definedName name="_PPC121">#REF!</definedName>
    <definedName name="_PPC122" localSheetId="4">#REF!</definedName>
    <definedName name="_PPC122" localSheetId="5">#REF!</definedName>
    <definedName name="_PPC122" localSheetId="7">#REF!</definedName>
    <definedName name="_PPC122">#REF!</definedName>
    <definedName name="_PPC123" localSheetId="4">#REF!</definedName>
    <definedName name="_PPC123" localSheetId="5">#REF!</definedName>
    <definedName name="_PPC123" localSheetId="7">#REF!</definedName>
    <definedName name="_PPC123">#REF!</definedName>
    <definedName name="_PPC124" localSheetId="4">#REF!</definedName>
    <definedName name="_PPC124" localSheetId="5">#REF!</definedName>
    <definedName name="_PPC124" localSheetId="7">#REF!</definedName>
    <definedName name="_PPC124">#REF!</definedName>
    <definedName name="_PPC125" localSheetId="4">#REF!</definedName>
    <definedName name="_PPC125" localSheetId="5">#REF!</definedName>
    <definedName name="_PPC125" localSheetId="7">#REF!</definedName>
    <definedName name="_PPC125">#REF!</definedName>
    <definedName name="_PPC126" localSheetId="4">#REF!</definedName>
    <definedName name="_PPC126" localSheetId="5">#REF!</definedName>
    <definedName name="_PPC126" localSheetId="7">#REF!</definedName>
    <definedName name="_PPC126">#REF!</definedName>
    <definedName name="_PPC127" localSheetId="4">#REF!</definedName>
    <definedName name="_PPC127" localSheetId="5">#REF!</definedName>
    <definedName name="_PPC127" localSheetId="7">#REF!</definedName>
    <definedName name="_PPC127">#REF!</definedName>
    <definedName name="_PPC128" localSheetId="4">#REF!</definedName>
    <definedName name="_PPC128" localSheetId="5">#REF!</definedName>
    <definedName name="_PPC128" localSheetId="7">#REF!</definedName>
    <definedName name="_PPC128">#REF!</definedName>
    <definedName name="_PPC129" localSheetId="4">#REF!</definedName>
    <definedName name="_PPC129" localSheetId="5">#REF!</definedName>
    <definedName name="_PPC129" localSheetId="7">#REF!</definedName>
    <definedName name="_PPC129">#REF!</definedName>
    <definedName name="_PPC13" localSheetId="4">#REF!</definedName>
    <definedName name="_PPC13" localSheetId="5">#REF!</definedName>
    <definedName name="_PPC13" localSheetId="7">#REF!</definedName>
    <definedName name="_PPC13">#REF!</definedName>
    <definedName name="_PPC130" localSheetId="4">#REF!</definedName>
    <definedName name="_PPC130" localSheetId="5">#REF!</definedName>
    <definedName name="_PPC130" localSheetId="7">#REF!</definedName>
    <definedName name="_PPC130">#REF!</definedName>
    <definedName name="_PPC131" localSheetId="4">#REF!</definedName>
    <definedName name="_PPC131" localSheetId="5">#REF!</definedName>
    <definedName name="_PPC131" localSheetId="7">#REF!</definedName>
    <definedName name="_PPC131">#REF!</definedName>
    <definedName name="_PPC132" localSheetId="4">#REF!</definedName>
    <definedName name="_PPC132" localSheetId="5">#REF!</definedName>
    <definedName name="_PPC132" localSheetId="7">#REF!</definedName>
    <definedName name="_PPC132">#REF!</definedName>
    <definedName name="_PPC133" localSheetId="4">#REF!</definedName>
    <definedName name="_PPC133" localSheetId="5">#REF!</definedName>
    <definedName name="_PPC133" localSheetId="7">#REF!</definedName>
    <definedName name="_PPC133">#REF!</definedName>
    <definedName name="_PPC134" localSheetId="4">#REF!</definedName>
    <definedName name="_PPC134" localSheetId="5">#REF!</definedName>
    <definedName name="_PPC134" localSheetId="7">#REF!</definedName>
    <definedName name="_PPC134">#REF!</definedName>
    <definedName name="_PPC135" localSheetId="4">#REF!</definedName>
    <definedName name="_PPC135" localSheetId="5">#REF!</definedName>
    <definedName name="_PPC135" localSheetId="7">#REF!</definedName>
    <definedName name="_PPC135">#REF!</definedName>
    <definedName name="_PPC136" localSheetId="4">#REF!</definedName>
    <definedName name="_PPC136" localSheetId="5">#REF!</definedName>
    <definedName name="_PPC136" localSheetId="7">#REF!</definedName>
    <definedName name="_PPC136">#REF!</definedName>
    <definedName name="_PPC137" localSheetId="4">#REF!</definedName>
    <definedName name="_PPC137" localSheetId="5">#REF!</definedName>
    <definedName name="_PPC137" localSheetId="7">#REF!</definedName>
    <definedName name="_PPC137">#REF!</definedName>
    <definedName name="_PPC138" localSheetId="4">#REF!</definedName>
    <definedName name="_PPC138" localSheetId="5">#REF!</definedName>
    <definedName name="_PPC138" localSheetId="7">#REF!</definedName>
    <definedName name="_PPC138">#REF!</definedName>
    <definedName name="_PPC139" localSheetId="4">#REF!</definedName>
    <definedName name="_PPC139" localSheetId="5">#REF!</definedName>
    <definedName name="_PPC139" localSheetId="7">#REF!</definedName>
    <definedName name="_PPC139">#REF!</definedName>
    <definedName name="_PPC14" localSheetId="4">#REF!</definedName>
    <definedName name="_PPC14" localSheetId="5">#REF!</definedName>
    <definedName name="_PPC14" localSheetId="7">#REF!</definedName>
    <definedName name="_PPC14">#REF!</definedName>
    <definedName name="_PPC140" localSheetId="4">#REF!</definedName>
    <definedName name="_PPC140" localSheetId="5">#REF!</definedName>
    <definedName name="_PPC140" localSheetId="7">#REF!</definedName>
    <definedName name="_PPC140">#REF!</definedName>
    <definedName name="_PPC141" localSheetId="4">#REF!</definedName>
    <definedName name="_PPC141" localSheetId="5">#REF!</definedName>
    <definedName name="_PPC141" localSheetId="7">#REF!</definedName>
    <definedName name="_PPC141">#REF!</definedName>
    <definedName name="_PPC142" localSheetId="4">#REF!</definedName>
    <definedName name="_PPC142" localSheetId="5">#REF!</definedName>
    <definedName name="_PPC142" localSheetId="7">#REF!</definedName>
    <definedName name="_PPC142">#REF!</definedName>
    <definedName name="_PPC143" localSheetId="4">#REF!</definedName>
    <definedName name="_PPC143" localSheetId="5">#REF!</definedName>
    <definedName name="_PPC143" localSheetId="7">#REF!</definedName>
    <definedName name="_PPC143">#REF!</definedName>
    <definedName name="_PPC144" localSheetId="4">#REF!</definedName>
    <definedName name="_PPC144" localSheetId="5">#REF!</definedName>
    <definedName name="_PPC144" localSheetId="7">#REF!</definedName>
    <definedName name="_PPC144">#REF!</definedName>
    <definedName name="_PPC145" localSheetId="4">#REF!</definedName>
    <definedName name="_PPC145" localSheetId="5">#REF!</definedName>
    <definedName name="_PPC145" localSheetId="7">#REF!</definedName>
    <definedName name="_PPC145">#REF!</definedName>
    <definedName name="_PPC146" localSheetId="4">#REF!</definedName>
    <definedName name="_PPC146" localSheetId="5">#REF!</definedName>
    <definedName name="_PPC146" localSheetId="7">#REF!</definedName>
    <definedName name="_PPC146">#REF!</definedName>
    <definedName name="_PPC147" localSheetId="4">#REF!</definedName>
    <definedName name="_PPC147" localSheetId="5">#REF!</definedName>
    <definedName name="_PPC147" localSheetId="7">#REF!</definedName>
    <definedName name="_PPC147">#REF!</definedName>
    <definedName name="_PPC148" localSheetId="4">#REF!</definedName>
    <definedName name="_PPC148" localSheetId="5">#REF!</definedName>
    <definedName name="_PPC148" localSheetId="7">#REF!</definedName>
    <definedName name="_PPC148">#REF!</definedName>
    <definedName name="_PPC149" localSheetId="4">#REF!</definedName>
    <definedName name="_PPC149" localSheetId="5">#REF!</definedName>
    <definedName name="_PPC149" localSheetId="7">#REF!</definedName>
    <definedName name="_PPC149">#REF!</definedName>
    <definedName name="_PPC15" localSheetId="4">#REF!</definedName>
    <definedName name="_PPC15" localSheetId="5">#REF!</definedName>
    <definedName name="_PPC15" localSheetId="7">#REF!</definedName>
    <definedName name="_PPC15">#REF!</definedName>
    <definedName name="_PPC150" localSheetId="4">#REF!</definedName>
    <definedName name="_PPC150" localSheetId="5">#REF!</definedName>
    <definedName name="_PPC150" localSheetId="7">#REF!</definedName>
    <definedName name="_PPC150">#REF!</definedName>
    <definedName name="_PPC151" localSheetId="4">#REF!</definedName>
    <definedName name="_PPC151" localSheetId="5">#REF!</definedName>
    <definedName name="_PPC151" localSheetId="7">#REF!</definedName>
    <definedName name="_PPC151">#REF!</definedName>
    <definedName name="_PPC152" localSheetId="4">#REF!</definedName>
    <definedName name="_PPC152" localSheetId="5">#REF!</definedName>
    <definedName name="_PPC152" localSheetId="7">#REF!</definedName>
    <definedName name="_PPC152">#REF!</definedName>
    <definedName name="_PPC153" localSheetId="4">#REF!</definedName>
    <definedName name="_PPC153" localSheetId="5">#REF!</definedName>
    <definedName name="_PPC153" localSheetId="7">#REF!</definedName>
    <definedName name="_PPC153">#REF!</definedName>
    <definedName name="_PPC154" localSheetId="4">#REF!</definedName>
    <definedName name="_PPC154" localSheetId="5">#REF!</definedName>
    <definedName name="_PPC154" localSheetId="7">#REF!</definedName>
    <definedName name="_PPC154">#REF!</definedName>
    <definedName name="_PPC155" localSheetId="4">#REF!</definedName>
    <definedName name="_PPC155" localSheetId="5">#REF!</definedName>
    <definedName name="_PPC155" localSheetId="7">#REF!</definedName>
    <definedName name="_PPC155">#REF!</definedName>
    <definedName name="_PPC16" localSheetId="4">#REF!</definedName>
    <definedName name="_PPC16" localSheetId="5">#REF!</definedName>
    <definedName name="_PPC16" localSheetId="7">#REF!</definedName>
    <definedName name="_PPC16">#REF!</definedName>
    <definedName name="_PPC17" localSheetId="4">#REF!</definedName>
    <definedName name="_PPC17" localSheetId="5">#REF!</definedName>
    <definedName name="_PPC17" localSheetId="7">#REF!</definedName>
    <definedName name="_PPC17">#REF!</definedName>
    <definedName name="_PPC18" localSheetId="4">#REF!</definedName>
    <definedName name="_PPC18" localSheetId="5">#REF!</definedName>
    <definedName name="_PPC18" localSheetId="7">#REF!</definedName>
    <definedName name="_PPC18">#REF!</definedName>
    <definedName name="_PPC19" localSheetId="4">#REF!</definedName>
    <definedName name="_PPC19" localSheetId="5">#REF!</definedName>
    <definedName name="_PPC19" localSheetId="7">#REF!</definedName>
    <definedName name="_PPC19">#REF!</definedName>
    <definedName name="_PPC2" localSheetId="4">#REF!</definedName>
    <definedName name="_PPC2" localSheetId="5">#REF!</definedName>
    <definedName name="_PPC2" localSheetId="7">#REF!</definedName>
    <definedName name="_PPC2">#REF!</definedName>
    <definedName name="_PPC20" localSheetId="4">#REF!</definedName>
    <definedName name="_PPC20" localSheetId="5">#REF!</definedName>
    <definedName name="_PPC20" localSheetId="7">#REF!</definedName>
    <definedName name="_PPC20">#REF!</definedName>
    <definedName name="_PPC21" localSheetId="4">#REF!</definedName>
    <definedName name="_PPC21" localSheetId="5">#REF!</definedName>
    <definedName name="_PPC21" localSheetId="7">#REF!</definedName>
    <definedName name="_PPC21">#REF!</definedName>
    <definedName name="_PPC22" localSheetId="4">#REF!</definedName>
    <definedName name="_PPC22" localSheetId="5">#REF!</definedName>
    <definedName name="_PPC22" localSheetId="7">#REF!</definedName>
    <definedName name="_PPC22">#REF!</definedName>
    <definedName name="_PPC23" localSheetId="4">#REF!</definedName>
    <definedName name="_PPC23" localSheetId="5">#REF!</definedName>
    <definedName name="_PPC23" localSheetId="7">#REF!</definedName>
    <definedName name="_PPC23">#REF!</definedName>
    <definedName name="_PPC24" localSheetId="4">#REF!</definedName>
    <definedName name="_PPC24" localSheetId="5">#REF!</definedName>
    <definedName name="_PPC24" localSheetId="7">#REF!</definedName>
    <definedName name="_PPC24">#REF!</definedName>
    <definedName name="_PPC25" localSheetId="4">#REF!</definedName>
    <definedName name="_PPC25" localSheetId="5">#REF!</definedName>
    <definedName name="_PPC25" localSheetId="7">#REF!</definedName>
    <definedName name="_PPC25">#REF!</definedName>
    <definedName name="_PPC26" localSheetId="4">#REF!</definedName>
    <definedName name="_PPC26" localSheetId="5">#REF!</definedName>
    <definedName name="_PPC26" localSheetId="7">#REF!</definedName>
    <definedName name="_PPC26">#REF!</definedName>
    <definedName name="_PPC27" localSheetId="4">#REF!</definedName>
    <definedName name="_PPC27" localSheetId="5">#REF!</definedName>
    <definedName name="_PPC27" localSheetId="7">#REF!</definedName>
    <definedName name="_PPC27">#REF!</definedName>
    <definedName name="_PPC28" localSheetId="4">#REF!</definedName>
    <definedName name="_PPC28" localSheetId="5">#REF!</definedName>
    <definedName name="_PPC28" localSheetId="7">#REF!</definedName>
    <definedName name="_PPC28">#REF!</definedName>
    <definedName name="_PPC29" localSheetId="4">#REF!</definedName>
    <definedName name="_PPC29" localSheetId="5">#REF!</definedName>
    <definedName name="_PPC29" localSheetId="7">#REF!</definedName>
    <definedName name="_PPC29">#REF!</definedName>
    <definedName name="_PPC3" localSheetId="4">#REF!</definedName>
    <definedName name="_PPC3" localSheetId="5">#REF!</definedName>
    <definedName name="_PPC3" localSheetId="7">#REF!</definedName>
    <definedName name="_PPC3">#REF!</definedName>
    <definedName name="_PPC30" localSheetId="4">#REF!</definedName>
    <definedName name="_PPC30" localSheetId="5">#REF!</definedName>
    <definedName name="_PPC30" localSheetId="7">#REF!</definedName>
    <definedName name="_PPC30">#REF!</definedName>
    <definedName name="_PPC31" localSheetId="4">#REF!</definedName>
    <definedName name="_PPC31" localSheetId="5">#REF!</definedName>
    <definedName name="_PPC31" localSheetId="7">#REF!</definedName>
    <definedName name="_PPC31">#REF!</definedName>
    <definedName name="_PPC32" localSheetId="4">#REF!</definedName>
    <definedName name="_PPC32" localSheetId="5">#REF!</definedName>
    <definedName name="_PPC32" localSheetId="7">#REF!</definedName>
    <definedName name="_PPC32">#REF!</definedName>
    <definedName name="_PPC33" localSheetId="4">#REF!</definedName>
    <definedName name="_PPC33" localSheetId="5">#REF!</definedName>
    <definedName name="_PPC33" localSheetId="7">#REF!</definedName>
    <definedName name="_PPC33">#REF!</definedName>
    <definedName name="_PPC34" localSheetId="4">#REF!</definedName>
    <definedName name="_PPC34" localSheetId="5">#REF!</definedName>
    <definedName name="_PPC34" localSheetId="7">#REF!</definedName>
    <definedName name="_PPC34">#REF!</definedName>
    <definedName name="_PPC35" localSheetId="4">#REF!</definedName>
    <definedName name="_PPC35" localSheetId="5">#REF!</definedName>
    <definedName name="_PPC35" localSheetId="7">#REF!</definedName>
    <definedName name="_PPC35">#REF!</definedName>
    <definedName name="_PPC36" localSheetId="4">#REF!</definedName>
    <definedName name="_PPC36" localSheetId="5">#REF!</definedName>
    <definedName name="_PPC36" localSheetId="7">#REF!</definedName>
    <definedName name="_PPC36">#REF!</definedName>
    <definedName name="_PPC37" localSheetId="4">#REF!</definedName>
    <definedName name="_PPC37" localSheetId="5">#REF!</definedName>
    <definedName name="_PPC37" localSheetId="7">#REF!</definedName>
    <definedName name="_PPC37">#REF!</definedName>
    <definedName name="_PPC38" localSheetId="4">#REF!</definedName>
    <definedName name="_PPC38" localSheetId="5">#REF!</definedName>
    <definedName name="_PPC38" localSheetId="7">#REF!</definedName>
    <definedName name="_PPC38">#REF!</definedName>
    <definedName name="_PPC39" localSheetId="4">#REF!</definedName>
    <definedName name="_PPC39" localSheetId="5">#REF!</definedName>
    <definedName name="_PPC39" localSheetId="7">#REF!</definedName>
    <definedName name="_PPC39">#REF!</definedName>
    <definedName name="_PPC4" localSheetId="4">#REF!</definedName>
    <definedName name="_PPC4" localSheetId="5">#REF!</definedName>
    <definedName name="_PPC4" localSheetId="7">#REF!</definedName>
    <definedName name="_PPC4">#REF!</definedName>
    <definedName name="_PPC40" localSheetId="4">#REF!</definedName>
    <definedName name="_PPC40" localSheetId="5">#REF!</definedName>
    <definedName name="_PPC40" localSheetId="7">#REF!</definedName>
    <definedName name="_PPC40">#REF!</definedName>
    <definedName name="_PPC41" localSheetId="4">#REF!</definedName>
    <definedName name="_PPC41" localSheetId="5">#REF!</definedName>
    <definedName name="_PPC41" localSheetId="7">#REF!</definedName>
    <definedName name="_PPC41">#REF!</definedName>
    <definedName name="_PPC42" localSheetId="4">#REF!</definedName>
    <definedName name="_PPC42" localSheetId="5">#REF!</definedName>
    <definedName name="_PPC42" localSheetId="7">#REF!</definedName>
    <definedName name="_PPC42">#REF!</definedName>
    <definedName name="_PPC43" localSheetId="4">#REF!</definedName>
    <definedName name="_PPC43" localSheetId="5">#REF!</definedName>
    <definedName name="_PPC43" localSheetId="7">#REF!</definedName>
    <definedName name="_PPC43">#REF!</definedName>
    <definedName name="_PPC44" localSheetId="4">#REF!</definedName>
    <definedName name="_PPC44" localSheetId="5">#REF!</definedName>
    <definedName name="_PPC44" localSheetId="7">#REF!</definedName>
    <definedName name="_PPC44">#REF!</definedName>
    <definedName name="_PPC45" localSheetId="4">#REF!</definedName>
    <definedName name="_PPC45" localSheetId="5">#REF!</definedName>
    <definedName name="_PPC45" localSheetId="7">#REF!</definedName>
    <definedName name="_PPC45">#REF!</definedName>
    <definedName name="_PPC46" localSheetId="4">#REF!</definedName>
    <definedName name="_PPC46" localSheetId="5">#REF!</definedName>
    <definedName name="_PPC46" localSheetId="7">#REF!</definedName>
    <definedName name="_PPC46">#REF!</definedName>
    <definedName name="_PPC47" localSheetId="4">#REF!</definedName>
    <definedName name="_PPC47" localSheetId="5">#REF!</definedName>
    <definedName name="_PPC47" localSheetId="7">#REF!</definedName>
    <definedName name="_PPC47">#REF!</definedName>
    <definedName name="_PPC48" localSheetId="4">#REF!</definedName>
    <definedName name="_PPC48" localSheetId="5">#REF!</definedName>
    <definedName name="_PPC48" localSheetId="7">#REF!</definedName>
    <definedName name="_PPC48">#REF!</definedName>
    <definedName name="_PPC49" localSheetId="4">#REF!</definedName>
    <definedName name="_PPC49" localSheetId="5">#REF!</definedName>
    <definedName name="_PPC49" localSheetId="7">#REF!</definedName>
    <definedName name="_PPC49">#REF!</definedName>
    <definedName name="_PPC5" localSheetId="4">#REF!</definedName>
    <definedName name="_PPC5" localSheetId="5">#REF!</definedName>
    <definedName name="_PPC5" localSheetId="7">#REF!</definedName>
    <definedName name="_PPC5">#REF!</definedName>
    <definedName name="_PPC50" localSheetId="4">#REF!</definedName>
    <definedName name="_PPC50" localSheetId="5">#REF!</definedName>
    <definedName name="_PPC50" localSheetId="7">#REF!</definedName>
    <definedName name="_PPC50">#REF!</definedName>
    <definedName name="_PPC51" localSheetId="4">#REF!</definedName>
    <definedName name="_PPC51" localSheetId="5">#REF!</definedName>
    <definedName name="_PPC51" localSheetId="7">#REF!</definedName>
    <definedName name="_PPC51">#REF!</definedName>
    <definedName name="_PPC52" localSheetId="4">#REF!</definedName>
    <definedName name="_PPC52" localSheetId="5">#REF!</definedName>
    <definedName name="_PPC52" localSheetId="7">#REF!</definedName>
    <definedName name="_PPC52">#REF!</definedName>
    <definedName name="_PPC53" localSheetId="4">#REF!</definedName>
    <definedName name="_PPC53" localSheetId="5">#REF!</definedName>
    <definedName name="_PPC53" localSheetId="7">#REF!</definedName>
    <definedName name="_PPC53">#REF!</definedName>
    <definedName name="_PPC54" localSheetId="4">#REF!</definedName>
    <definedName name="_PPC54" localSheetId="5">#REF!</definedName>
    <definedName name="_PPC54" localSheetId="7">#REF!</definedName>
    <definedName name="_PPC54">#REF!</definedName>
    <definedName name="_PPC55" localSheetId="4">#REF!</definedName>
    <definedName name="_PPC55" localSheetId="5">#REF!</definedName>
    <definedName name="_PPC55" localSheetId="7">#REF!</definedName>
    <definedName name="_PPC55">#REF!</definedName>
    <definedName name="_PPC56" localSheetId="4">#REF!</definedName>
    <definedName name="_PPC56" localSheetId="5">#REF!</definedName>
    <definedName name="_PPC56" localSheetId="7">#REF!</definedName>
    <definedName name="_PPC56">#REF!</definedName>
    <definedName name="_PPC57" localSheetId="4">#REF!</definedName>
    <definedName name="_PPC57" localSheetId="5">#REF!</definedName>
    <definedName name="_PPC57" localSheetId="7">#REF!</definedName>
    <definedName name="_PPC57">#REF!</definedName>
    <definedName name="_PPC58" localSheetId="4">#REF!</definedName>
    <definedName name="_PPC58" localSheetId="5">#REF!</definedName>
    <definedName name="_PPC58" localSheetId="7">#REF!</definedName>
    <definedName name="_PPC58">#REF!</definedName>
    <definedName name="_PPC59" localSheetId="4">#REF!</definedName>
    <definedName name="_PPC59" localSheetId="5">#REF!</definedName>
    <definedName name="_PPC59" localSheetId="7">#REF!</definedName>
    <definedName name="_PPC59">#REF!</definedName>
    <definedName name="_PPC6" localSheetId="4">#REF!</definedName>
    <definedName name="_PPC6" localSheetId="5">#REF!</definedName>
    <definedName name="_PPC6" localSheetId="7">#REF!</definedName>
    <definedName name="_PPC6">#REF!</definedName>
    <definedName name="_PPC60" localSheetId="4">#REF!</definedName>
    <definedName name="_PPC60" localSheetId="5">#REF!</definedName>
    <definedName name="_PPC60" localSheetId="7">#REF!</definedName>
    <definedName name="_PPC60">#REF!</definedName>
    <definedName name="_PPC61" localSheetId="4">#REF!</definedName>
    <definedName name="_PPC61" localSheetId="5">#REF!</definedName>
    <definedName name="_PPC61" localSheetId="7">#REF!</definedName>
    <definedName name="_PPC61">#REF!</definedName>
    <definedName name="_PPC62" localSheetId="4">#REF!</definedName>
    <definedName name="_PPC62" localSheetId="5">#REF!</definedName>
    <definedName name="_PPC62" localSheetId="7">#REF!</definedName>
    <definedName name="_PPC62">#REF!</definedName>
    <definedName name="_PPC63" localSheetId="4">#REF!</definedName>
    <definedName name="_PPC63" localSheetId="5">#REF!</definedName>
    <definedName name="_PPC63" localSheetId="7">#REF!</definedName>
    <definedName name="_PPC63">#REF!</definedName>
    <definedName name="_PPC64" localSheetId="4">#REF!</definedName>
    <definedName name="_PPC64" localSheetId="5">#REF!</definedName>
    <definedName name="_PPC64" localSheetId="7">#REF!</definedName>
    <definedName name="_PPC64">#REF!</definedName>
    <definedName name="_PPC65" localSheetId="4">#REF!</definedName>
    <definedName name="_PPC65" localSheetId="5">#REF!</definedName>
    <definedName name="_PPC65" localSheetId="7">#REF!</definedName>
    <definedName name="_PPC65">#REF!</definedName>
    <definedName name="_PPC66" localSheetId="4">#REF!</definedName>
    <definedName name="_PPC66" localSheetId="5">#REF!</definedName>
    <definedName name="_PPC66" localSheetId="7">#REF!</definedName>
    <definedName name="_PPC66">#REF!</definedName>
    <definedName name="_PPC67" localSheetId="4">#REF!</definedName>
    <definedName name="_PPC67" localSheetId="5">#REF!</definedName>
    <definedName name="_PPC67" localSheetId="7">#REF!</definedName>
    <definedName name="_PPC67">#REF!</definedName>
    <definedName name="_PPC68" localSheetId="4">#REF!</definedName>
    <definedName name="_PPC68" localSheetId="5">#REF!</definedName>
    <definedName name="_PPC68" localSheetId="7">#REF!</definedName>
    <definedName name="_PPC68">#REF!</definedName>
    <definedName name="_PPC69" localSheetId="4">#REF!</definedName>
    <definedName name="_PPC69" localSheetId="5">#REF!</definedName>
    <definedName name="_PPC69" localSheetId="7">#REF!</definedName>
    <definedName name="_PPC69">#REF!</definedName>
    <definedName name="_PPC7" localSheetId="4">#REF!</definedName>
    <definedName name="_PPC7" localSheetId="5">#REF!</definedName>
    <definedName name="_PPC7" localSheetId="7">#REF!</definedName>
    <definedName name="_PPC7">#REF!</definedName>
    <definedName name="_PPC70" localSheetId="4">#REF!</definedName>
    <definedName name="_PPC70" localSheetId="5">#REF!</definedName>
    <definedName name="_PPC70" localSheetId="7">#REF!</definedName>
    <definedName name="_PPC70">#REF!</definedName>
    <definedName name="_PPC71" localSheetId="4">#REF!</definedName>
    <definedName name="_PPC71" localSheetId="5">#REF!</definedName>
    <definedName name="_PPC71" localSheetId="7">#REF!</definedName>
    <definedName name="_PPC71">#REF!</definedName>
    <definedName name="_PPC72" localSheetId="4">#REF!</definedName>
    <definedName name="_PPC72" localSheetId="5">#REF!</definedName>
    <definedName name="_PPC72" localSheetId="7">#REF!</definedName>
    <definedName name="_PPC72">#REF!</definedName>
    <definedName name="_PPC73" localSheetId="4">#REF!</definedName>
    <definedName name="_PPC73" localSheetId="5">#REF!</definedName>
    <definedName name="_PPC73" localSheetId="7">#REF!</definedName>
    <definedName name="_PPC73">#REF!</definedName>
    <definedName name="_PPC74" localSheetId="4">#REF!</definedName>
    <definedName name="_PPC74" localSheetId="5">#REF!</definedName>
    <definedName name="_PPC74" localSheetId="7">#REF!</definedName>
    <definedName name="_PPC74">#REF!</definedName>
    <definedName name="_PPC75" localSheetId="4">#REF!</definedName>
    <definedName name="_PPC75" localSheetId="5">#REF!</definedName>
    <definedName name="_PPC75" localSheetId="7">#REF!</definedName>
    <definedName name="_PPC75">#REF!</definedName>
    <definedName name="_PPC76" localSheetId="4">#REF!</definedName>
    <definedName name="_PPC76" localSheetId="5">#REF!</definedName>
    <definedName name="_PPC76" localSheetId="7">#REF!</definedName>
    <definedName name="_PPC76">#REF!</definedName>
    <definedName name="_PPC77" localSheetId="4">#REF!</definedName>
    <definedName name="_PPC77" localSheetId="5">#REF!</definedName>
    <definedName name="_PPC77" localSheetId="7">#REF!</definedName>
    <definedName name="_PPC77">#REF!</definedName>
    <definedName name="_PPC78" localSheetId="4">#REF!</definedName>
    <definedName name="_PPC78" localSheetId="5">#REF!</definedName>
    <definedName name="_PPC78" localSheetId="7">#REF!</definedName>
    <definedName name="_PPC78">#REF!</definedName>
    <definedName name="_PPC79" localSheetId="4">#REF!</definedName>
    <definedName name="_PPC79" localSheetId="5">#REF!</definedName>
    <definedName name="_PPC79" localSheetId="7">#REF!</definedName>
    <definedName name="_PPC79">#REF!</definedName>
    <definedName name="_PPC8" localSheetId="4">#REF!</definedName>
    <definedName name="_PPC8" localSheetId="5">#REF!</definedName>
    <definedName name="_PPC8" localSheetId="7">#REF!</definedName>
    <definedName name="_PPC8">#REF!</definedName>
    <definedName name="_PPC80" localSheetId="4">#REF!</definedName>
    <definedName name="_PPC80" localSheetId="5">#REF!</definedName>
    <definedName name="_PPC80" localSheetId="7">#REF!</definedName>
    <definedName name="_PPC80">#REF!</definedName>
    <definedName name="_PPC81" localSheetId="4">#REF!</definedName>
    <definedName name="_PPC81" localSheetId="5">#REF!</definedName>
    <definedName name="_PPC81" localSheetId="7">#REF!</definedName>
    <definedName name="_PPC81">#REF!</definedName>
    <definedName name="_PPC82" localSheetId="4">#REF!</definedName>
    <definedName name="_PPC82" localSheetId="5">#REF!</definedName>
    <definedName name="_PPC82" localSheetId="7">#REF!</definedName>
    <definedName name="_PPC82">#REF!</definedName>
    <definedName name="_PPC83" localSheetId="4">#REF!</definedName>
    <definedName name="_PPC83" localSheetId="5">#REF!</definedName>
    <definedName name="_PPC83" localSheetId="7">#REF!</definedName>
    <definedName name="_PPC83">#REF!</definedName>
    <definedName name="_PPC84" localSheetId="4">#REF!</definedName>
    <definedName name="_PPC84" localSheetId="5">#REF!</definedName>
    <definedName name="_PPC84" localSheetId="7">#REF!</definedName>
    <definedName name="_PPC84">#REF!</definedName>
    <definedName name="_PPC85" localSheetId="4">#REF!</definedName>
    <definedName name="_PPC85" localSheetId="5">#REF!</definedName>
    <definedName name="_PPC85" localSheetId="7">#REF!</definedName>
    <definedName name="_PPC85">#REF!</definedName>
    <definedName name="_PPC86" localSheetId="4">#REF!</definedName>
    <definedName name="_PPC86" localSheetId="5">#REF!</definedName>
    <definedName name="_PPC86" localSheetId="7">#REF!</definedName>
    <definedName name="_PPC86">#REF!</definedName>
    <definedName name="_PPC87" localSheetId="4">#REF!</definedName>
    <definedName name="_PPC87" localSheetId="5">#REF!</definedName>
    <definedName name="_PPC87" localSheetId="7">#REF!</definedName>
    <definedName name="_PPC87">#REF!</definedName>
    <definedName name="_PPC88" localSheetId="4">#REF!</definedName>
    <definedName name="_PPC88" localSheetId="5">#REF!</definedName>
    <definedName name="_PPC88" localSheetId="7">#REF!</definedName>
    <definedName name="_PPC88">#REF!</definedName>
    <definedName name="_PPC89" localSheetId="4">#REF!</definedName>
    <definedName name="_PPC89" localSheetId="5">#REF!</definedName>
    <definedName name="_PPC89" localSheetId="7">#REF!</definedName>
    <definedName name="_PPC89">#REF!</definedName>
    <definedName name="_PPC9" localSheetId="4">#REF!</definedName>
    <definedName name="_PPC9" localSheetId="5">#REF!</definedName>
    <definedName name="_PPC9" localSheetId="7">#REF!</definedName>
    <definedName name="_PPC9">#REF!</definedName>
    <definedName name="_PPC90" localSheetId="4">#REF!</definedName>
    <definedName name="_PPC90" localSheetId="5">#REF!</definedName>
    <definedName name="_PPC90" localSheetId="7">#REF!</definedName>
    <definedName name="_PPC90">#REF!</definedName>
    <definedName name="_PPC91" localSheetId="4">#REF!</definedName>
    <definedName name="_PPC91" localSheetId="5">#REF!</definedName>
    <definedName name="_PPC91" localSheetId="7">#REF!</definedName>
    <definedName name="_PPC91">#REF!</definedName>
    <definedName name="_PPC92" localSheetId="4">#REF!</definedName>
    <definedName name="_PPC92" localSheetId="5">#REF!</definedName>
    <definedName name="_PPC92" localSheetId="7">#REF!</definedName>
    <definedName name="_PPC92">#REF!</definedName>
    <definedName name="_PPC93" localSheetId="4">#REF!</definedName>
    <definedName name="_PPC93" localSheetId="5">#REF!</definedName>
    <definedName name="_PPC93" localSheetId="7">#REF!</definedName>
    <definedName name="_PPC93">#REF!</definedName>
    <definedName name="_PPC94" localSheetId="4">#REF!</definedName>
    <definedName name="_PPC94" localSheetId="5">#REF!</definedName>
    <definedName name="_PPC94" localSheetId="7">#REF!</definedName>
    <definedName name="_PPC94">#REF!</definedName>
    <definedName name="_PPC95" localSheetId="4">#REF!</definedName>
    <definedName name="_PPC95" localSheetId="5">#REF!</definedName>
    <definedName name="_PPC95" localSheetId="7">#REF!</definedName>
    <definedName name="_PPC95">#REF!</definedName>
    <definedName name="_PPD114" localSheetId="4">#REF!</definedName>
    <definedName name="_PPD114" localSheetId="5">#REF!</definedName>
    <definedName name="_PPD114" localSheetId="7">#REF!</definedName>
    <definedName name="_PPD114">#REF!</definedName>
    <definedName name="_PPD89" localSheetId="4">#REF!</definedName>
    <definedName name="_PPD89" localSheetId="5">#REF!</definedName>
    <definedName name="_PPD89" localSheetId="7">#REF!</definedName>
    <definedName name="_PPD89">#REF!</definedName>
    <definedName name="_pv2" localSheetId="5">#REF!</definedName>
    <definedName name="_pv2" localSheetId="7">#REF!</definedName>
    <definedName name="_pv2">#REF!</definedName>
    <definedName name="_qih1">#REF!</definedName>
    <definedName name="_QS25" localSheetId="0">[74]MRATES!$G$16</definedName>
    <definedName name="_QS25" localSheetId="4">[7]Sheet1!$I$15</definedName>
    <definedName name="_QS25">[75]MRATES!$G$16</definedName>
    <definedName name="_QS40" localSheetId="0">[74]MRATES!$G$17</definedName>
    <definedName name="_QS40" localSheetId="4">[7]Sheet1!$I$16</definedName>
    <definedName name="_QS40">[75]MRATES!$G$17</definedName>
    <definedName name="_QUA" localSheetId="2">#REF!</definedName>
    <definedName name="_QUA" localSheetId="1">#REF!</definedName>
    <definedName name="_QUA" localSheetId="4">#REF!</definedName>
    <definedName name="_QUA" localSheetId="6">#REF!</definedName>
    <definedName name="_QUA" localSheetId="5">#REF!</definedName>
    <definedName name="_QUA" localSheetId="7">#REF!</definedName>
    <definedName name="_QUA">#REF!</definedName>
    <definedName name="_QUA_RABBISH" localSheetId="5">#REF!</definedName>
    <definedName name="_QUA_RABBISH" localSheetId="7">#REF!</definedName>
    <definedName name="_QUA_RABBISH">#REF!</definedName>
    <definedName name="_RF1" localSheetId="5">#REF!</definedName>
    <definedName name="_RF1" localSheetId="7">#REF!</definedName>
    <definedName name="_RF1">#REF!</definedName>
    <definedName name="_RF10" localSheetId="5">#REF!</definedName>
    <definedName name="_RF10" localSheetId="7">#REF!</definedName>
    <definedName name="_RF10">#REF!</definedName>
    <definedName name="_RF11" localSheetId="5">#REF!</definedName>
    <definedName name="_RF11" localSheetId="7">#REF!</definedName>
    <definedName name="_RF11">#REF!</definedName>
    <definedName name="_RF12" localSheetId="5">#REF!</definedName>
    <definedName name="_RF12" localSheetId="7">#REF!</definedName>
    <definedName name="_RF12">#REF!</definedName>
    <definedName name="_RF2" localSheetId="5">#REF!</definedName>
    <definedName name="_RF2" localSheetId="7">#REF!</definedName>
    <definedName name="_RF2">#REF!</definedName>
    <definedName name="_RF3" localSheetId="5">#REF!</definedName>
    <definedName name="_RF3" localSheetId="7">#REF!</definedName>
    <definedName name="_RF3">#REF!</definedName>
    <definedName name="_RF4" localSheetId="5">#REF!</definedName>
    <definedName name="_RF4" localSheetId="7">#REF!</definedName>
    <definedName name="_RF4">#REF!</definedName>
    <definedName name="_RF5" localSheetId="5">#REF!</definedName>
    <definedName name="_RF5" localSheetId="7">#REF!</definedName>
    <definedName name="_RF5">#REF!</definedName>
    <definedName name="_RF6" localSheetId="5">#REF!</definedName>
    <definedName name="_RF6" localSheetId="7">#REF!</definedName>
    <definedName name="_RF6">#REF!</definedName>
    <definedName name="_RF7" localSheetId="5">#REF!</definedName>
    <definedName name="_RF7" localSheetId="7">#REF!</definedName>
    <definedName name="_RF7">#REF!</definedName>
    <definedName name="_RF8" localSheetId="5">#REF!</definedName>
    <definedName name="_RF8" localSheetId="7">#REF!</definedName>
    <definedName name="_RF8">#REF!</definedName>
    <definedName name="_RF9" localSheetId="5">#REF!</definedName>
    <definedName name="_RF9" localSheetId="7">#REF!</definedName>
    <definedName name="_RF9">#REF!</definedName>
    <definedName name="_rr3" localSheetId="0">[26]v!$A$2:$E$51</definedName>
    <definedName name="_rr3">[20]v!$A$2:$E$51</definedName>
    <definedName name="_rrr1" localSheetId="0">[26]r!$B$1:$I$145</definedName>
    <definedName name="_rrr1">[20]r!$B$1:$I$145</definedName>
    <definedName name="_S06" localSheetId="2">#REF!</definedName>
    <definedName name="_S06" localSheetId="1">#REF!</definedName>
    <definedName name="_S06" localSheetId="4">#REF!</definedName>
    <definedName name="_S06" localSheetId="6">#REF!</definedName>
    <definedName name="_S06" localSheetId="5">#REF!</definedName>
    <definedName name="_S06" localSheetId="7">#REF!</definedName>
    <definedName name="_S06">#REF!</definedName>
    <definedName name="_S10" localSheetId="5">#REF!</definedName>
    <definedName name="_S10" localSheetId="7">#REF!</definedName>
    <definedName name="_S10">#REF!</definedName>
    <definedName name="_S100" localSheetId="5">#REF!</definedName>
    <definedName name="_S100" localSheetId="7">#REF!</definedName>
    <definedName name="_S100">#REF!</definedName>
    <definedName name="_S12" localSheetId="5">#REF!</definedName>
    <definedName name="_S12" localSheetId="7">#REF!</definedName>
    <definedName name="_S12">#REF!</definedName>
    <definedName name="_S20" localSheetId="5">#REF!</definedName>
    <definedName name="_S20" localSheetId="7">#REF!</definedName>
    <definedName name="_S20">#REF!</definedName>
    <definedName name="_S25" localSheetId="5">#REF!</definedName>
    <definedName name="_S25" localSheetId="7">#REF!</definedName>
    <definedName name="_S25">#REF!</definedName>
    <definedName name="_S40" localSheetId="5">#REF!</definedName>
    <definedName name="_S40" localSheetId="7">#REF!</definedName>
    <definedName name="_S40">#REF!</definedName>
    <definedName name="_S50" localSheetId="5">#REF!</definedName>
    <definedName name="_S50" localSheetId="7">#REF!</definedName>
    <definedName name="_S50">#REF!</definedName>
    <definedName name="_S60" localSheetId="5">#REF!</definedName>
    <definedName name="_S60" localSheetId="7">#REF!</definedName>
    <definedName name="_S60">#REF!</definedName>
    <definedName name="_S65" localSheetId="5">#REF!</definedName>
    <definedName name="_S65" localSheetId="7">#REF!</definedName>
    <definedName name="_S65">#REF!</definedName>
    <definedName name="_S75" localSheetId="5">#REF!</definedName>
    <definedName name="_S75" localSheetId="7">#REF!</definedName>
    <definedName name="_S75">#REF!</definedName>
    <definedName name="_SANF" localSheetId="5">#REF!</definedName>
    <definedName name="_SANF" localSheetId="7">#REF!</definedName>
    <definedName name="_SANF">#REF!</definedName>
    <definedName name="_SANM" localSheetId="5">#REF!</definedName>
    <definedName name="_SANM" localSheetId="7">#REF!</definedName>
    <definedName name="_SANM">#REF!</definedName>
    <definedName name="_SD1" localSheetId="0">#REF!</definedName>
    <definedName name="_SD1" localSheetId="4">#REF!</definedName>
    <definedName name="_SD1" localSheetId="5">#REF!</definedName>
    <definedName name="_SD1" localSheetId="7">#REF!</definedName>
    <definedName name="_SD1">#REF!</definedName>
    <definedName name="_SD10" localSheetId="0">#REF!</definedName>
    <definedName name="_SD10" localSheetId="4">#REF!</definedName>
    <definedName name="_SD10" localSheetId="5">#REF!</definedName>
    <definedName name="_SD10" localSheetId="7">#REF!</definedName>
    <definedName name="_SD10">#REF!</definedName>
    <definedName name="_SD100" localSheetId="0">#REF!</definedName>
    <definedName name="_SD100" localSheetId="4">#REF!</definedName>
    <definedName name="_SD100" localSheetId="5">#REF!</definedName>
    <definedName name="_SD100" localSheetId="7">#REF!</definedName>
    <definedName name="_SD100">#REF!</definedName>
    <definedName name="_SD101" localSheetId="4">#REF!</definedName>
    <definedName name="_SD101" localSheetId="5">#REF!</definedName>
    <definedName name="_SD101" localSheetId="7">#REF!</definedName>
    <definedName name="_SD101">#REF!</definedName>
    <definedName name="_SD102" localSheetId="4">#REF!</definedName>
    <definedName name="_SD102" localSheetId="5">#REF!</definedName>
    <definedName name="_SD102" localSheetId="7">#REF!</definedName>
    <definedName name="_SD102">#REF!</definedName>
    <definedName name="_SD103" localSheetId="4">#REF!</definedName>
    <definedName name="_SD103" localSheetId="5">#REF!</definedName>
    <definedName name="_SD103" localSheetId="7">#REF!</definedName>
    <definedName name="_SD103">#REF!</definedName>
    <definedName name="_SD104" localSheetId="4">#REF!</definedName>
    <definedName name="_SD104" localSheetId="5">#REF!</definedName>
    <definedName name="_SD104" localSheetId="7">#REF!</definedName>
    <definedName name="_SD104">#REF!</definedName>
    <definedName name="_SD105" localSheetId="4">#REF!</definedName>
    <definedName name="_SD105" localSheetId="5">#REF!</definedName>
    <definedName name="_SD105" localSheetId="7">#REF!</definedName>
    <definedName name="_SD105">#REF!</definedName>
    <definedName name="_SD106" localSheetId="4">#REF!</definedName>
    <definedName name="_SD106" localSheetId="5">#REF!</definedName>
    <definedName name="_SD106" localSheetId="7">#REF!</definedName>
    <definedName name="_SD106">#REF!</definedName>
    <definedName name="_SD107" localSheetId="4">#REF!</definedName>
    <definedName name="_SD107" localSheetId="5">#REF!</definedName>
    <definedName name="_SD107" localSheetId="7">#REF!</definedName>
    <definedName name="_SD107">#REF!</definedName>
    <definedName name="_SD108" localSheetId="4">#REF!</definedName>
    <definedName name="_SD108" localSheetId="5">#REF!</definedName>
    <definedName name="_SD108" localSheetId="7">#REF!</definedName>
    <definedName name="_SD108">#REF!</definedName>
    <definedName name="_SD109" localSheetId="4">#REF!</definedName>
    <definedName name="_SD109" localSheetId="5">#REF!</definedName>
    <definedName name="_SD109" localSheetId="7">#REF!</definedName>
    <definedName name="_SD109">#REF!</definedName>
    <definedName name="_SD11" localSheetId="4">#REF!</definedName>
    <definedName name="_SD11" localSheetId="5">#REF!</definedName>
    <definedName name="_SD11" localSheetId="7">#REF!</definedName>
    <definedName name="_SD11">#REF!</definedName>
    <definedName name="_SD110" localSheetId="4">#REF!</definedName>
    <definedName name="_SD110" localSheetId="5">#REF!</definedName>
    <definedName name="_SD110" localSheetId="7">#REF!</definedName>
    <definedName name="_SD110">#REF!</definedName>
    <definedName name="_SD111" localSheetId="4">#REF!</definedName>
    <definedName name="_SD111" localSheetId="5">#REF!</definedName>
    <definedName name="_SD111" localSheetId="7">#REF!</definedName>
    <definedName name="_SD111">#REF!</definedName>
    <definedName name="_SD112" localSheetId="4">#REF!</definedName>
    <definedName name="_SD112" localSheetId="5">#REF!</definedName>
    <definedName name="_SD112" localSheetId="7">#REF!</definedName>
    <definedName name="_SD112">#REF!</definedName>
    <definedName name="_SD113" localSheetId="4">#REF!</definedName>
    <definedName name="_SD113" localSheetId="5">#REF!</definedName>
    <definedName name="_SD113" localSheetId="7">#REF!</definedName>
    <definedName name="_SD113">#REF!</definedName>
    <definedName name="_SD114" localSheetId="4">#REF!</definedName>
    <definedName name="_SD114" localSheetId="5">#REF!</definedName>
    <definedName name="_SD114" localSheetId="7">#REF!</definedName>
    <definedName name="_SD114">#REF!</definedName>
    <definedName name="_SD115" localSheetId="4">#REF!</definedName>
    <definedName name="_SD115" localSheetId="5">#REF!</definedName>
    <definedName name="_SD115" localSheetId="7">#REF!</definedName>
    <definedName name="_SD115">#REF!</definedName>
    <definedName name="_SD116" localSheetId="4">#REF!</definedName>
    <definedName name="_SD116" localSheetId="5">#REF!</definedName>
    <definedName name="_SD116" localSheetId="7">#REF!</definedName>
    <definedName name="_SD116">#REF!</definedName>
    <definedName name="_SD117" localSheetId="4">#REF!</definedName>
    <definedName name="_SD117" localSheetId="5">#REF!</definedName>
    <definedName name="_SD117" localSheetId="7">#REF!</definedName>
    <definedName name="_SD117">#REF!</definedName>
    <definedName name="_SD118" localSheetId="4">#REF!</definedName>
    <definedName name="_SD118" localSheetId="5">#REF!</definedName>
    <definedName name="_SD118" localSheetId="7">#REF!</definedName>
    <definedName name="_SD118">#REF!</definedName>
    <definedName name="_SD119" localSheetId="4">#REF!</definedName>
    <definedName name="_SD119" localSheetId="5">#REF!</definedName>
    <definedName name="_SD119" localSheetId="7">#REF!</definedName>
    <definedName name="_SD119">#REF!</definedName>
    <definedName name="_SD12" localSheetId="4">#REF!</definedName>
    <definedName name="_SD12" localSheetId="5">#REF!</definedName>
    <definedName name="_SD12" localSheetId="7">#REF!</definedName>
    <definedName name="_SD12">#REF!</definedName>
    <definedName name="_SD120" localSheetId="4">#REF!</definedName>
    <definedName name="_SD120" localSheetId="5">#REF!</definedName>
    <definedName name="_SD120" localSheetId="7">#REF!</definedName>
    <definedName name="_SD120">#REF!</definedName>
    <definedName name="_SD121" localSheetId="4">#REF!</definedName>
    <definedName name="_SD121" localSheetId="5">#REF!</definedName>
    <definedName name="_SD121" localSheetId="7">#REF!</definedName>
    <definedName name="_SD121">#REF!</definedName>
    <definedName name="_SD122" localSheetId="4">#REF!</definedName>
    <definedName name="_SD122" localSheetId="5">#REF!</definedName>
    <definedName name="_SD122" localSheetId="7">#REF!</definedName>
    <definedName name="_SD122">#REF!</definedName>
    <definedName name="_SD123" localSheetId="4">#REF!</definedName>
    <definedName name="_SD123" localSheetId="5">#REF!</definedName>
    <definedName name="_SD123" localSheetId="7">#REF!</definedName>
    <definedName name="_SD123">#REF!</definedName>
    <definedName name="_SD124" localSheetId="4">#REF!</definedName>
    <definedName name="_SD124" localSheetId="5">#REF!</definedName>
    <definedName name="_SD124" localSheetId="7">#REF!</definedName>
    <definedName name="_SD124">#REF!</definedName>
    <definedName name="_SD125" localSheetId="4">#REF!</definedName>
    <definedName name="_SD125" localSheetId="5">#REF!</definedName>
    <definedName name="_SD125" localSheetId="7">#REF!</definedName>
    <definedName name="_SD125">#REF!</definedName>
    <definedName name="_SD126" localSheetId="4">#REF!</definedName>
    <definedName name="_SD126" localSheetId="5">#REF!</definedName>
    <definedName name="_SD126" localSheetId="7">#REF!</definedName>
    <definedName name="_SD126">#REF!</definedName>
    <definedName name="_SD127" localSheetId="4">#REF!</definedName>
    <definedName name="_SD127" localSheetId="5">#REF!</definedName>
    <definedName name="_SD127" localSheetId="7">#REF!</definedName>
    <definedName name="_SD127">#REF!</definedName>
    <definedName name="_SD128" localSheetId="4">#REF!</definedName>
    <definedName name="_SD128" localSheetId="5">#REF!</definedName>
    <definedName name="_SD128" localSheetId="7">#REF!</definedName>
    <definedName name="_SD128">#REF!</definedName>
    <definedName name="_SD129" localSheetId="4">#REF!</definedName>
    <definedName name="_SD129" localSheetId="5">#REF!</definedName>
    <definedName name="_SD129" localSheetId="7">#REF!</definedName>
    <definedName name="_SD129">#REF!</definedName>
    <definedName name="_SD13" localSheetId="4">#REF!</definedName>
    <definedName name="_SD13" localSheetId="5">#REF!</definedName>
    <definedName name="_SD13" localSheetId="7">#REF!</definedName>
    <definedName name="_SD13">#REF!</definedName>
    <definedName name="_SD130" localSheetId="4">#REF!</definedName>
    <definedName name="_SD130" localSheetId="5">#REF!</definedName>
    <definedName name="_SD130" localSheetId="7">#REF!</definedName>
    <definedName name="_SD130">#REF!</definedName>
    <definedName name="_SD131" localSheetId="4">#REF!</definedName>
    <definedName name="_SD131" localSheetId="5">#REF!</definedName>
    <definedName name="_SD131" localSheetId="7">#REF!</definedName>
    <definedName name="_SD131">#REF!</definedName>
    <definedName name="_SD132" localSheetId="4">#REF!</definedName>
    <definedName name="_SD132" localSheetId="5">#REF!</definedName>
    <definedName name="_SD132" localSheetId="7">#REF!</definedName>
    <definedName name="_SD132">#REF!</definedName>
    <definedName name="_SD133" localSheetId="4">#REF!</definedName>
    <definedName name="_SD133" localSheetId="5">#REF!</definedName>
    <definedName name="_SD133" localSheetId="7">#REF!</definedName>
    <definedName name="_SD133">#REF!</definedName>
    <definedName name="_SD134" localSheetId="4">#REF!</definedName>
    <definedName name="_SD134" localSheetId="5">#REF!</definedName>
    <definedName name="_SD134" localSheetId="7">#REF!</definedName>
    <definedName name="_SD134">#REF!</definedName>
    <definedName name="_SD135" localSheetId="4">#REF!</definedName>
    <definedName name="_SD135" localSheetId="5">#REF!</definedName>
    <definedName name="_SD135" localSheetId="7">#REF!</definedName>
    <definedName name="_SD135">#REF!</definedName>
    <definedName name="_SD136" localSheetId="4">#REF!</definedName>
    <definedName name="_SD136" localSheetId="5">#REF!</definedName>
    <definedName name="_SD136" localSheetId="7">#REF!</definedName>
    <definedName name="_SD136">#REF!</definedName>
    <definedName name="_SD137" localSheetId="4">#REF!</definedName>
    <definedName name="_SD137" localSheetId="5">#REF!</definedName>
    <definedName name="_SD137" localSheetId="7">#REF!</definedName>
    <definedName name="_SD137">#REF!</definedName>
    <definedName name="_SD138" localSheetId="4">#REF!</definedName>
    <definedName name="_SD138" localSheetId="5">#REF!</definedName>
    <definedName name="_SD138" localSheetId="7">#REF!</definedName>
    <definedName name="_SD138">#REF!</definedName>
    <definedName name="_SD139" localSheetId="4">#REF!</definedName>
    <definedName name="_SD139" localSheetId="5">#REF!</definedName>
    <definedName name="_SD139" localSheetId="7">#REF!</definedName>
    <definedName name="_SD139">#REF!</definedName>
    <definedName name="_SD14" localSheetId="4">#REF!</definedName>
    <definedName name="_SD14" localSheetId="5">#REF!</definedName>
    <definedName name="_SD14" localSheetId="7">#REF!</definedName>
    <definedName name="_SD14">#REF!</definedName>
    <definedName name="_SD140" localSheetId="4">#REF!</definedName>
    <definedName name="_SD140" localSheetId="5">#REF!</definedName>
    <definedName name="_SD140" localSheetId="7">#REF!</definedName>
    <definedName name="_SD140">#REF!</definedName>
    <definedName name="_SD141" localSheetId="4">#REF!</definedName>
    <definedName name="_SD141" localSheetId="5">#REF!</definedName>
    <definedName name="_SD141" localSheetId="7">#REF!</definedName>
    <definedName name="_SD141">#REF!</definedName>
    <definedName name="_SD142" localSheetId="4">#REF!</definedName>
    <definedName name="_SD142" localSheetId="5">#REF!</definedName>
    <definedName name="_SD142" localSheetId="7">#REF!</definedName>
    <definedName name="_SD142">#REF!</definedName>
    <definedName name="_SD143" localSheetId="4">#REF!</definedName>
    <definedName name="_SD143" localSheetId="5">#REF!</definedName>
    <definedName name="_SD143" localSheetId="7">#REF!</definedName>
    <definedName name="_SD143">#REF!</definedName>
    <definedName name="_SD144" localSheetId="4">#REF!</definedName>
    <definedName name="_SD144" localSheetId="5">#REF!</definedName>
    <definedName name="_SD144" localSheetId="7">#REF!</definedName>
    <definedName name="_SD144">#REF!</definedName>
    <definedName name="_SD145" localSheetId="4">#REF!</definedName>
    <definedName name="_SD145" localSheetId="5">#REF!</definedName>
    <definedName name="_SD145" localSheetId="7">#REF!</definedName>
    <definedName name="_SD145">#REF!</definedName>
    <definedName name="_SD146" localSheetId="4">#REF!</definedName>
    <definedName name="_SD146" localSheetId="5">#REF!</definedName>
    <definedName name="_SD146" localSheetId="7">#REF!</definedName>
    <definedName name="_SD146">#REF!</definedName>
    <definedName name="_SD147" localSheetId="4">#REF!</definedName>
    <definedName name="_SD147" localSheetId="5">#REF!</definedName>
    <definedName name="_SD147" localSheetId="7">#REF!</definedName>
    <definedName name="_SD147">#REF!</definedName>
    <definedName name="_SD148" localSheetId="4">#REF!</definedName>
    <definedName name="_SD148" localSheetId="5">#REF!</definedName>
    <definedName name="_SD148" localSheetId="7">#REF!</definedName>
    <definedName name="_SD148">#REF!</definedName>
    <definedName name="_SD149" localSheetId="4">#REF!</definedName>
    <definedName name="_SD149" localSheetId="5">#REF!</definedName>
    <definedName name="_SD149" localSheetId="7">#REF!</definedName>
    <definedName name="_SD149">#REF!</definedName>
    <definedName name="_SD15" localSheetId="4">#REF!</definedName>
    <definedName name="_SD15" localSheetId="5">#REF!</definedName>
    <definedName name="_SD15" localSheetId="7">#REF!</definedName>
    <definedName name="_SD15">#REF!</definedName>
    <definedName name="_SD150" localSheetId="4">#REF!</definedName>
    <definedName name="_SD150" localSheetId="5">#REF!</definedName>
    <definedName name="_SD150" localSheetId="7">#REF!</definedName>
    <definedName name="_SD150">#REF!</definedName>
    <definedName name="_SD16" localSheetId="4">#REF!</definedName>
    <definedName name="_SD16" localSheetId="5">#REF!</definedName>
    <definedName name="_SD16" localSheetId="7">#REF!</definedName>
    <definedName name="_SD16">#REF!</definedName>
    <definedName name="_SD17" localSheetId="4">#REF!</definedName>
    <definedName name="_SD17" localSheetId="5">#REF!</definedName>
    <definedName name="_SD17" localSheetId="7">#REF!</definedName>
    <definedName name="_SD17">#REF!</definedName>
    <definedName name="_SD18" localSheetId="4">#REF!</definedName>
    <definedName name="_SD18" localSheetId="5">#REF!</definedName>
    <definedName name="_SD18" localSheetId="7">#REF!</definedName>
    <definedName name="_SD18">#REF!</definedName>
    <definedName name="_SD19" localSheetId="4">#REF!</definedName>
    <definedName name="_SD19" localSheetId="5">#REF!</definedName>
    <definedName name="_SD19" localSheetId="7">#REF!</definedName>
    <definedName name="_SD19">#REF!</definedName>
    <definedName name="_SD2" localSheetId="4">#REF!</definedName>
    <definedName name="_SD2" localSheetId="5">#REF!</definedName>
    <definedName name="_SD2" localSheetId="7">#REF!</definedName>
    <definedName name="_SD2">#REF!</definedName>
    <definedName name="_SD20" localSheetId="4">#REF!</definedName>
    <definedName name="_SD20" localSheetId="5">#REF!</definedName>
    <definedName name="_SD20" localSheetId="7">#REF!</definedName>
    <definedName name="_SD20">#REF!</definedName>
    <definedName name="_SD21" localSheetId="4">#REF!</definedName>
    <definedName name="_SD21" localSheetId="5">#REF!</definedName>
    <definedName name="_SD21" localSheetId="7">#REF!</definedName>
    <definedName name="_SD21">#REF!</definedName>
    <definedName name="_SD22" localSheetId="4">#REF!</definedName>
    <definedName name="_SD22" localSheetId="5">#REF!</definedName>
    <definedName name="_SD22" localSheetId="7">#REF!</definedName>
    <definedName name="_SD22">#REF!</definedName>
    <definedName name="_SD23" localSheetId="4">#REF!</definedName>
    <definedName name="_SD23" localSheetId="5">#REF!</definedName>
    <definedName name="_SD23" localSheetId="7">#REF!</definedName>
    <definedName name="_SD23">#REF!</definedName>
    <definedName name="_SD24" localSheetId="4">#REF!</definedName>
    <definedName name="_SD24" localSheetId="5">#REF!</definedName>
    <definedName name="_SD24" localSheetId="7">#REF!</definedName>
    <definedName name="_SD24">#REF!</definedName>
    <definedName name="_SD25" localSheetId="4">#REF!</definedName>
    <definedName name="_SD25" localSheetId="5">#REF!</definedName>
    <definedName name="_SD25" localSheetId="7">#REF!</definedName>
    <definedName name="_SD25">#REF!</definedName>
    <definedName name="_SD250" localSheetId="4">#REF!</definedName>
    <definedName name="_SD250" localSheetId="5">#REF!</definedName>
    <definedName name="_SD250" localSheetId="7">#REF!</definedName>
    <definedName name="_SD250">#REF!</definedName>
    <definedName name="_SD26" localSheetId="4">#REF!</definedName>
    <definedName name="_SD26" localSheetId="5">#REF!</definedName>
    <definedName name="_SD26" localSheetId="7">#REF!</definedName>
    <definedName name="_SD26">#REF!</definedName>
    <definedName name="_SD27" localSheetId="4">#REF!</definedName>
    <definedName name="_SD27" localSheetId="5">#REF!</definedName>
    <definedName name="_SD27" localSheetId="7">#REF!</definedName>
    <definedName name="_SD27">#REF!</definedName>
    <definedName name="_SD28" localSheetId="4">#REF!</definedName>
    <definedName name="_SD28" localSheetId="5">#REF!</definedName>
    <definedName name="_SD28" localSheetId="7">#REF!</definedName>
    <definedName name="_SD28">#REF!</definedName>
    <definedName name="_SD29" localSheetId="4">#REF!</definedName>
    <definedName name="_SD29" localSheetId="5">#REF!</definedName>
    <definedName name="_SD29" localSheetId="7">#REF!</definedName>
    <definedName name="_SD29">#REF!</definedName>
    <definedName name="_SD3" localSheetId="4">#REF!</definedName>
    <definedName name="_SD3" localSheetId="5">#REF!</definedName>
    <definedName name="_SD3" localSheetId="7">#REF!</definedName>
    <definedName name="_SD3">#REF!</definedName>
    <definedName name="_SD30" localSheetId="4">#REF!</definedName>
    <definedName name="_SD30" localSheetId="5">#REF!</definedName>
    <definedName name="_SD30" localSheetId="7">#REF!</definedName>
    <definedName name="_SD30">#REF!</definedName>
    <definedName name="_SD31" localSheetId="4">#REF!</definedName>
    <definedName name="_SD31" localSheetId="5">#REF!</definedName>
    <definedName name="_SD31" localSheetId="7">#REF!</definedName>
    <definedName name="_SD31">#REF!</definedName>
    <definedName name="_SD32" localSheetId="4">#REF!</definedName>
    <definedName name="_SD32" localSheetId="5">#REF!</definedName>
    <definedName name="_SD32" localSheetId="7">#REF!</definedName>
    <definedName name="_SD32">#REF!</definedName>
    <definedName name="_SD33" localSheetId="4">#REF!</definedName>
    <definedName name="_SD33" localSheetId="5">#REF!</definedName>
    <definedName name="_SD33" localSheetId="7">#REF!</definedName>
    <definedName name="_SD33">#REF!</definedName>
    <definedName name="_SD34" localSheetId="4">#REF!</definedName>
    <definedName name="_SD34" localSheetId="5">#REF!</definedName>
    <definedName name="_SD34" localSheetId="7">#REF!</definedName>
    <definedName name="_SD34">#REF!</definedName>
    <definedName name="_SD35" localSheetId="4">#REF!</definedName>
    <definedName name="_SD35" localSheetId="5">#REF!</definedName>
    <definedName name="_SD35" localSheetId="7">#REF!</definedName>
    <definedName name="_SD35">#REF!</definedName>
    <definedName name="_SD36" localSheetId="4">#REF!</definedName>
    <definedName name="_SD36" localSheetId="5">#REF!</definedName>
    <definedName name="_SD36" localSheetId="7">#REF!</definedName>
    <definedName name="_SD36">#REF!</definedName>
    <definedName name="_SD37" localSheetId="4">#REF!</definedName>
    <definedName name="_SD37" localSheetId="5">#REF!</definedName>
    <definedName name="_SD37" localSheetId="7">#REF!</definedName>
    <definedName name="_SD37">#REF!</definedName>
    <definedName name="_SD38" localSheetId="4">#REF!</definedName>
    <definedName name="_SD38" localSheetId="5">#REF!</definedName>
    <definedName name="_SD38" localSheetId="7">#REF!</definedName>
    <definedName name="_SD38">#REF!</definedName>
    <definedName name="_SD39" localSheetId="4">#REF!</definedName>
    <definedName name="_SD39" localSheetId="5">#REF!</definedName>
    <definedName name="_SD39" localSheetId="7">#REF!</definedName>
    <definedName name="_SD39">#REF!</definedName>
    <definedName name="_SD4" localSheetId="4">#REF!</definedName>
    <definedName name="_SD4" localSheetId="5">#REF!</definedName>
    <definedName name="_SD4" localSheetId="7">#REF!</definedName>
    <definedName name="_SD4">#REF!</definedName>
    <definedName name="_SD40" localSheetId="4">#REF!</definedName>
    <definedName name="_SD40" localSheetId="5">#REF!</definedName>
    <definedName name="_SD40" localSheetId="7">#REF!</definedName>
    <definedName name="_SD40">#REF!</definedName>
    <definedName name="_SD41" localSheetId="4">#REF!</definedName>
    <definedName name="_SD41" localSheetId="5">#REF!</definedName>
    <definedName name="_SD41" localSheetId="7">#REF!</definedName>
    <definedName name="_SD41">#REF!</definedName>
    <definedName name="_SD42" localSheetId="4">#REF!</definedName>
    <definedName name="_SD42" localSheetId="5">#REF!</definedName>
    <definedName name="_SD42" localSheetId="7">#REF!</definedName>
    <definedName name="_SD42">#REF!</definedName>
    <definedName name="_SD43" localSheetId="4">#REF!</definedName>
    <definedName name="_SD43" localSheetId="5">#REF!</definedName>
    <definedName name="_SD43" localSheetId="7">#REF!</definedName>
    <definedName name="_SD43">#REF!</definedName>
    <definedName name="_SD44" localSheetId="4">#REF!</definedName>
    <definedName name="_SD44" localSheetId="5">#REF!</definedName>
    <definedName name="_SD44" localSheetId="7">#REF!</definedName>
    <definedName name="_SD44">#REF!</definedName>
    <definedName name="_SD45" localSheetId="4">#REF!</definedName>
    <definedName name="_SD45" localSheetId="5">#REF!</definedName>
    <definedName name="_SD45" localSheetId="7">#REF!</definedName>
    <definedName name="_SD45">#REF!</definedName>
    <definedName name="_SD46" localSheetId="4">#REF!</definedName>
    <definedName name="_SD46" localSheetId="5">#REF!</definedName>
    <definedName name="_SD46" localSheetId="7">#REF!</definedName>
    <definedName name="_SD46">#REF!</definedName>
    <definedName name="_SD47" localSheetId="4">#REF!</definedName>
    <definedName name="_SD47" localSheetId="5">#REF!</definedName>
    <definedName name="_SD47" localSheetId="7">#REF!</definedName>
    <definedName name="_SD47">#REF!</definedName>
    <definedName name="_SD48" localSheetId="4">#REF!</definedName>
    <definedName name="_SD48" localSheetId="5">#REF!</definedName>
    <definedName name="_SD48" localSheetId="7">#REF!</definedName>
    <definedName name="_SD48">#REF!</definedName>
    <definedName name="_SD49" localSheetId="4">#REF!</definedName>
    <definedName name="_SD49" localSheetId="5">#REF!</definedName>
    <definedName name="_SD49" localSheetId="7">#REF!</definedName>
    <definedName name="_SD49">#REF!</definedName>
    <definedName name="_SD5" localSheetId="4">#REF!</definedName>
    <definedName name="_SD5" localSheetId="5">#REF!</definedName>
    <definedName name="_SD5" localSheetId="7">#REF!</definedName>
    <definedName name="_SD5">#REF!</definedName>
    <definedName name="_SD50" localSheetId="4">#REF!</definedName>
    <definedName name="_SD50" localSheetId="5">#REF!</definedName>
    <definedName name="_SD50" localSheetId="7">#REF!</definedName>
    <definedName name="_SD50">#REF!</definedName>
    <definedName name="_SD500" localSheetId="4">#REF!</definedName>
    <definedName name="_SD500" localSheetId="5">#REF!</definedName>
    <definedName name="_SD500" localSheetId="7">#REF!</definedName>
    <definedName name="_SD500">#REF!</definedName>
    <definedName name="_SD51" localSheetId="4">#REF!</definedName>
    <definedName name="_SD51" localSheetId="5">#REF!</definedName>
    <definedName name="_SD51" localSheetId="7">#REF!</definedName>
    <definedName name="_SD51">#REF!</definedName>
    <definedName name="_SD52" localSheetId="4">#REF!</definedName>
    <definedName name="_SD52" localSheetId="5">#REF!</definedName>
    <definedName name="_SD52" localSheetId="7">#REF!</definedName>
    <definedName name="_SD52">#REF!</definedName>
    <definedName name="_SD53" localSheetId="4">#REF!</definedName>
    <definedName name="_SD53" localSheetId="5">#REF!</definedName>
    <definedName name="_SD53" localSheetId="7">#REF!</definedName>
    <definedName name="_SD53">#REF!</definedName>
    <definedName name="_SD54" localSheetId="4">#REF!</definedName>
    <definedName name="_SD54" localSheetId="5">#REF!</definedName>
    <definedName name="_SD54" localSheetId="7">#REF!</definedName>
    <definedName name="_SD54">#REF!</definedName>
    <definedName name="_SD55" localSheetId="4">#REF!</definedName>
    <definedName name="_SD55" localSheetId="5">#REF!</definedName>
    <definedName name="_SD55" localSheetId="7">#REF!</definedName>
    <definedName name="_SD55">#REF!</definedName>
    <definedName name="_SD56" localSheetId="4">#REF!</definedName>
    <definedName name="_SD56" localSheetId="5">#REF!</definedName>
    <definedName name="_SD56" localSheetId="7">#REF!</definedName>
    <definedName name="_SD56">#REF!</definedName>
    <definedName name="_SD57" localSheetId="4">#REF!</definedName>
    <definedName name="_SD57" localSheetId="5">#REF!</definedName>
    <definedName name="_SD57" localSheetId="7">#REF!</definedName>
    <definedName name="_SD57">#REF!</definedName>
    <definedName name="_SD58" localSheetId="4">#REF!</definedName>
    <definedName name="_SD58" localSheetId="5">#REF!</definedName>
    <definedName name="_SD58" localSheetId="7">#REF!</definedName>
    <definedName name="_SD58">#REF!</definedName>
    <definedName name="_SD59" localSheetId="4">#REF!</definedName>
    <definedName name="_SD59" localSheetId="5">#REF!</definedName>
    <definedName name="_SD59" localSheetId="7">#REF!</definedName>
    <definedName name="_SD59">#REF!</definedName>
    <definedName name="_SD6" localSheetId="4">#REF!</definedName>
    <definedName name="_SD6" localSheetId="5">#REF!</definedName>
    <definedName name="_SD6" localSheetId="7">#REF!</definedName>
    <definedName name="_SD6">#REF!</definedName>
    <definedName name="_SD60" localSheetId="4">#REF!</definedName>
    <definedName name="_SD60" localSheetId="5">#REF!</definedName>
    <definedName name="_SD60" localSheetId="7">#REF!</definedName>
    <definedName name="_SD60">#REF!</definedName>
    <definedName name="_SD61" localSheetId="4">#REF!</definedName>
    <definedName name="_SD61" localSheetId="5">#REF!</definedName>
    <definedName name="_SD61" localSheetId="7">#REF!</definedName>
    <definedName name="_SD61">#REF!</definedName>
    <definedName name="_SD62" localSheetId="4">#REF!</definedName>
    <definedName name="_SD62" localSheetId="5">#REF!</definedName>
    <definedName name="_SD62" localSheetId="7">#REF!</definedName>
    <definedName name="_SD62">#REF!</definedName>
    <definedName name="_SD63" localSheetId="4">#REF!</definedName>
    <definedName name="_SD63" localSheetId="5">#REF!</definedName>
    <definedName name="_SD63" localSheetId="7">#REF!</definedName>
    <definedName name="_SD63">#REF!</definedName>
    <definedName name="_SD64" localSheetId="4">#REF!</definedName>
    <definedName name="_SD64" localSheetId="5">#REF!</definedName>
    <definedName name="_SD64" localSheetId="7">#REF!</definedName>
    <definedName name="_SD64">#REF!</definedName>
    <definedName name="_SD65" localSheetId="4">#REF!</definedName>
    <definedName name="_SD65" localSheetId="5">#REF!</definedName>
    <definedName name="_SD65" localSheetId="7">#REF!</definedName>
    <definedName name="_SD65">#REF!</definedName>
    <definedName name="_SD66" localSheetId="4">#REF!</definedName>
    <definedName name="_SD66" localSheetId="5">#REF!</definedName>
    <definedName name="_SD66" localSheetId="7">#REF!</definedName>
    <definedName name="_SD66">#REF!</definedName>
    <definedName name="_SD67" localSheetId="4">#REF!</definedName>
    <definedName name="_SD67" localSheetId="5">#REF!</definedName>
    <definedName name="_SD67" localSheetId="7">#REF!</definedName>
    <definedName name="_SD67">#REF!</definedName>
    <definedName name="_SD68" localSheetId="4">#REF!</definedName>
    <definedName name="_SD68" localSheetId="5">#REF!</definedName>
    <definedName name="_SD68" localSheetId="7">#REF!</definedName>
    <definedName name="_SD68">#REF!</definedName>
    <definedName name="_SD69" localSheetId="4">#REF!</definedName>
    <definedName name="_SD69" localSheetId="5">#REF!</definedName>
    <definedName name="_SD69" localSheetId="7">#REF!</definedName>
    <definedName name="_SD69">#REF!</definedName>
    <definedName name="_SD7" localSheetId="4">#REF!</definedName>
    <definedName name="_SD7" localSheetId="5">#REF!</definedName>
    <definedName name="_SD7" localSheetId="7">#REF!</definedName>
    <definedName name="_SD7">#REF!</definedName>
    <definedName name="_SD70" localSheetId="4">#REF!</definedName>
    <definedName name="_SD70" localSheetId="5">#REF!</definedName>
    <definedName name="_SD70" localSheetId="7">#REF!</definedName>
    <definedName name="_SD70">#REF!</definedName>
    <definedName name="_SD71" localSheetId="4">#REF!</definedName>
    <definedName name="_SD71" localSheetId="5">#REF!</definedName>
    <definedName name="_SD71" localSheetId="7">#REF!</definedName>
    <definedName name="_SD71">#REF!</definedName>
    <definedName name="_SD72" localSheetId="4">#REF!</definedName>
    <definedName name="_SD72" localSheetId="5">#REF!</definedName>
    <definedName name="_SD72" localSheetId="7">#REF!</definedName>
    <definedName name="_SD72">#REF!</definedName>
    <definedName name="_SD73" localSheetId="4">#REF!</definedName>
    <definedName name="_SD73" localSheetId="5">#REF!</definedName>
    <definedName name="_SD73" localSheetId="7">#REF!</definedName>
    <definedName name="_SD73">#REF!</definedName>
    <definedName name="_SD74" localSheetId="4">#REF!</definedName>
    <definedName name="_SD74" localSheetId="5">#REF!</definedName>
    <definedName name="_SD74" localSheetId="7">#REF!</definedName>
    <definedName name="_SD74">#REF!</definedName>
    <definedName name="_SD75" localSheetId="4">#REF!</definedName>
    <definedName name="_SD75" localSheetId="5">#REF!</definedName>
    <definedName name="_SD75" localSheetId="7">#REF!</definedName>
    <definedName name="_SD75">#REF!</definedName>
    <definedName name="_SD76" localSheetId="4">#REF!</definedName>
    <definedName name="_SD76" localSheetId="5">#REF!</definedName>
    <definedName name="_SD76" localSheetId="7">#REF!</definedName>
    <definedName name="_SD76">#REF!</definedName>
    <definedName name="_SD77" localSheetId="4">#REF!</definedName>
    <definedName name="_SD77" localSheetId="5">#REF!</definedName>
    <definedName name="_SD77" localSheetId="7">#REF!</definedName>
    <definedName name="_SD77">#REF!</definedName>
    <definedName name="_SD78" localSheetId="4">#REF!</definedName>
    <definedName name="_SD78" localSheetId="5">#REF!</definedName>
    <definedName name="_SD78" localSheetId="7">#REF!</definedName>
    <definedName name="_SD78">#REF!</definedName>
    <definedName name="_SD79" localSheetId="4">#REF!</definedName>
    <definedName name="_SD79" localSheetId="5">#REF!</definedName>
    <definedName name="_SD79" localSheetId="7">#REF!</definedName>
    <definedName name="_SD79">#REF!</definedName>
    <definedName name="_SD8" localSheetId="4">#REF!</definedName>
    <definedName name="_SD8" localSheetId="5">#REF!</definedName>
    <definedName name="_SD8" localSheetId="7">#REF!</definedName>
    <definedName name="_SD8">#REF!</definedName>
    <definedName name="_SD80" localSheetId="4">#REF!</definedName>
    <definedName name="_SD80" localSheetId="5">#REF!</definedName>
    <definedName name="_SD80" localSheetId="7">#REF!</definedName>
    <definedName name="_SD80">#REF!</definedName>
    <definedName name="_SD81" localSheetId="4">#REF!</definedName>
    <definedName name="_SD81" localSheetId="5">#REF!</definedName>
    <definedName name="_SD81" localSheetId="7">#REF!</definedName>
    <definedName name="_SD81">#REF!</definedName>
    <definedName name="_SD82" localSheetId="4">#REF!</definedName>
    <definedName name="_SD82" localSheetId="5">#REF!</definedName>
    <definedName name="_SD82" localSheetId="7">#REF!</definedName>
    <definedName name="_SD82">#REF!</definedName>
    <definedName name="_SD83" localSheetId="4">#REF!</definedName>
    <definedName name="_SD83" localSheetId="5">#REF!</definedName>
    <definedName name="_SD83" localSheetId="7">#REF!</definedName>
    <definedName name="_SD83">#REF!</definedName>
    <definedName name="_SD84" localSheetId="4">#REF!</definedName>
    <definedName name="_SD84" localSheetId="5">#REF!</definedName>
    <definedName name="_SD84" localSheetId="7">#REF!</definedName>
    <definedName name="_SD84">#REF!</definedName>
    <definedName name="_SD85" localSheetId="4">#REF!</definedName>
    <definedName name="_SD85" localSheetId="5">#REF!</definedName>
    <definedName name="_SD85" localSheetId="7">#REF!</definedName>
    <definedName name="_SD85">#REF!</definedName>
    <definedName name="_SD86" localSheetId="4">#REF!</definedName>
    <definedName name="_SD86" localSheetId="5">#REF!</definedName>
    <definedName name="_SD86" localSheetId="7">#REF!</definedName>
    <definedName name="_SD86">#REF!</definedName>
    <definedName name="_SD87" localSheetId="4">#REF!</definedName>
    <definedName name="_SD87" localSheetId="5">#REF!</definedName>
    <definedName name="_SD87" localSheetId="7">#REF!</definedName>
    <definedName name="_SD87">#REF!</definedName>
    <definedName name="_SD88" localSheetId="4">#REF!</definedName>
    <definedName name="_SD88" localSheetId="5">#REF!</definedName>
    <definedName name="_SD88" localSheetId="7">#REF!</definedName>
    <definedName name="_SD88">#REF!</definedName>
    <definedName name="_SD89" localSheetId="4">#REF!</definedName>
    <definedName name="_SD89" localSheetId="5">#REF!</definedName>
    <definedName name="_SD89" localSheetId="7">#REF!</definedName>
    <definedName name="_SD89">#REF!</definedName>
    <definedName name="_SD9" localSheetId="4">#REF!</definedName>
    <definedName name="_SD9" localSheetId="5">#REF!</definedName>
    <definedName name="_SD9" localSheetId="7">#REF!</definedName>
    <definedName name="_SD9">#REF!</definedName>
    <definedName name="_SD90" localSheetId="4">#REF!</definedName>
    <definedName name="_SD90" localSheetId="5">#REF!</definedName>
    <definedName name="_SD90" localSheetId="7">#REF!</definedName>
    <definedName name="_SD90">#REF!</definedName>
    <definedName name="_SD91" localSheetId="4">#REF!</definedName>
    <definedName name="_SD91" localSheetId="5">#REF!</definedName>
    <definedName name="_SD91" localSheetId="7">#REF!</definedName>
    <definedName name="_SD91">#REF!</definedName>
    <definedName name="_SD92" localSheetId="4">#REF!</definedName>
    <definedName name="_SD92" localSheetId="5">#REF!</definedName>
    <definedName name="_SD92" localSheetId="7">#REF!</definedName>
    <definedName name="_SD92">#REF!</definedName>
    <definedName name="_SD93" localSheetId="4">#REF!</definedName>
    <definedName name="_SD93" localSheetId="5">#REF!</definedName>
    <definedName name="_SD93" localSheetId="7">#REF!</definedName>
    <definedName name="_SD93">#REF!</definedName>
    <definedName name="_SD94" localSheetId="4">#REF!</definedName>
    <definedName name="_SD94" localSheetId="5">#REF!</definedName>
    <definedName name="_SD94" localSheetId="7">#REF!</definedName>
    <definedName name="_SD94">#REF!</definedName>
    <definedName name="_SD95" localSheetId="4">#REF!</definedName>
    <definedName name="_SD95" localSheetId="5">#REF!</definedName>
    <definedName name="_SD95" localSheetId="7">#REF!</definedName>
    <definedName name="_SD95">#REF!</definedName>
    <definedName name="_SD96" localSheetId="4">#REF!</definedName>
    <definedName name="_SD96" localSheetId="5">#REF!</definedName>
    <definedName name="_SD96" localSheetId="7">#REF!</definedName>
    <definedName name="_SD96">#REF!</definedName>
    <definedName name="_SD97" localSheetId="4">#REF!</definedName>
    <definedName name="_SD97" localSheetId="5">#REF!</definedName>
    <definedName name="_SD97" localSheetId="7">#REF!</definedName>
    <definedName name="_SD97">#REF!</definedName>
    <definedName name="_SD98" localSheetId="4">#REF!</definedName>
    <definedName name="_SD98" localSheetId="5">#REF!</definedName>
    <definedName name="_SD98" localSheetId="7">#REF!</definedName>
    <definedName name="_SD98">#REF!</definedName>
    <definedName name="_SD99" localSheetId="4">#REF!</definedName>
    <definedName name="_SD99" localSheetId="5">#REF!</definedName>
    <definedName name="_SD99" localSheetId="7">#REF!</definedName>
    <definedName name="_SD99">#REF!</definedName>
    <definedName name="_SO016" localSheetId="2">'[84]MRoad data'!#REF!</definedName>
    <definedName name="_SO016" localSheetId="1">'[84]MRoad data'!#REF!</definedName>
    <definedName name="_SO016" localSheetId="4">'[84]MRoad data'!#REF!</definedName>
    <definedName name="_SO016" localSheetId="6">'[84]MRoad data'!#REF!</definedName>
    <definedName name="_SO016" localSheetId="5">'[84]MRoad data'!#REF!</definedName>
    <definedName name="_SO016">'[84]MRoad data'!#REF!</definedName>
    <definedName name="_SP001" localSheetId="2">'[84]MRoad data'!#REF!</definedName>
    <definedName name="_SP001" localSheetId="1">'[84]MRoad data'!#REF!</definedName>
    <definedName name="_SP001" localSheetId="4">'[84]MRoad data'!#REF!</definedName>
    <definedName name="_SP001" localSheetId="6">'[84]MRoad data'!#REF!</definedName>
    <definedName name="_SP001" localSheetId="5">'[84]MRoad data'!#REF!</definedName>
    <definedName name="_SP001">'[84]MRoad data'!#REF!</definedName>
    <definedName name="_SP002" localSheetId="5">'[84]MRoad data'!#REF!</definedName>
    <definedName name="_SP002">'[84]MRoad data'!#REF!</definedName>
    <definedName name="_SP003" localSheetId="5">'[84]MRoad data'!#REF!</definedName>
    <definedName name="_SP003">'[84]MRoad data'!#REF!</definedName>
    <definedName name="_SP004" localSheetId="5">'[84]MRoad data'!#REF!</definedName>
    <definedName name="_SP004">'[84]MRoad data'!#REF!</definedName>
    <definedName name="_SP005" localSheetId="5">'[84]MRoad data'!#REF!</definedName>
    <definedName name="_SP005">'[84]MRoad data'!#REF!</definedName>
    <definedName name="_SP006" localSheetId="5">'[84]MRoad data'!#REF!</definedName>
    <definedName name="_SP006">'[84]MRoad data'!#REF!</definedName>
    <definedName name="_SP007" localSheetId="5">'[84]MRoad data'!#REF!</definedName>
    <definedName name="_SP007">'[84]MRoad data'!#REF!</definedName>
    <definedName name="_SP008" localSheetId="5">'[84]MRoad data'!#REF!</definedName>
    <definedName name="_SP008">'[84]MRoad data'!#REF!</definedName>
    <definedName name="_SP009" localSheetId="5">'[84]MRoad data'!#REF!</definedName>
    <definedName name="_SP009">'[84]MRoad data'!#REF!</definedName>
    <definedName name="_SP010" localSheetId="5">'[84]MRoad data'!#REF!</definedName>
    <definedName name="_SP010">'[84]MRoad data'!#REF!</definedName>
    <definedName name="_SP011" localSheetId="5">'[84]MRoad data'!#REF!</definedName>
    <definedName name="_SP011">'[84]MRoad data'!#REF!</definedName>
    <definedName name="_SP012" localSheetId="5">'[84]MRoad data'!#REF!</definedName>
    <definedName name="_SP012">'[84]MRoad data'!#REF!</definedName>
    <definedName name="_SP013" localSheetId="5">'[84]MRoad data'!#REF!</definedName>
    <definedName name="_SP013">'[84]MRoad data'!#REF!</definedName>
    <definedName name="_SP014" localSheetId="5">'[84]MRoad data'!#REF!</definedName>
    <definedName name="_SP014">'[84]MRoad data'!#REF!</definedName>
    <definedName name="_SP015" localSheetId="5">'[84]MRoad data'!#REF!</definedName>
    <definedName name="_SP015">'[84]MRoad data'!#REF!</definedName>
    <definedName name="_SP016" localSheetId="5">'[84]MRoad data'!#REF!</definedName>
    <definedName name="_SP016">'[84]MRoad data'!#REF!</definedName>
    <definedName name="_SP017" localSheetId="5">'[84]MRoad data'!#REF!</definedName>
    <definedName name="_SP017">'[84]MRoad data'!#REF!</definedName>
    <definedName name="_SP018" localSheetId="5">'[84]MRoad data'!#REF!</definedName>
    <definedName name="_SP018">'[84]MRoad data'!#REF!</definedName>
    <definedName name="_SP019" localSheetId="5">'[84]MRoad data'!#REF!</definedName>
    <definedName name="_SP019">'[84]MRoad data'!#REF!</definedName>
    <definedName name="_SP020" localSheetId="5">'[84]MRoad data'!#REF!</definedName>
    <definedName name="_SP020">'[84]MRoad data'!#REF!</definedName>
    <definedName name="_SP021" localSheetId="5">'[84]MRoad data'!#REF!</definedName>
    <definedName name="_SP021">'[84]MRoad data'!#REF!</definedName>
    <definedName name="_SP022" localSheetId="5">'[84]MRoad data'!#REF!</definedName>
    <definedName name="_SP022">'[84]MRoad data'!#REF!</definedName>
    <definedName name="_SP023" localSheetId="5">'[84]MRoad data'!#REF!</definedName>
    <definedName name="_SP023">'[84]MRoad data'!#REF!</definedName>
    <definedName name="_SP024" localSheetId="5">'[84]MRoad data'!#REF!</definedName>
    <definedName name="_SP024">'[84]MRoad data'!#REF!</definedName>
    <definedName name="_SP025" localSheetId="5">'[84]MRoad data'!#REF!</definedName>
    <definedName name="_SP025">'[84]MRoad data'!#REF!</definedName>
    <definedName name="_SP026" localSheetId="5">'[84]MRoad data'!#REF!</definedName>
    <definedName name="_SP026">'[84]MRoad data'!#REF!</definedName>
    <definedName name="_SP027" localSheetId="5">'[84]MRoad data'!#REF!</definedName>
    <definedName name="_SP027">'[84]MRoad data'!#REF!</definedName>
    <definedName name="_SP028" localSheetId="5">'[84]MRoad data'!#REF!</definedName>
    <definedName name="_SP028">'[84]MRoad data'!#REF!</definedName>
    <definedName name="_SP029" localSheetId="5">'[84]MRoad data'!#REF!</definedName>
    <definedName name="_SP029">'[84]MRoad data'!#REF!</definedName>
    <definedName name="_SP030" localSheetId="5">'[84]MRoad data'!#REF!</definedName>
    <definedName name="_SP030">'[84]MRoad data'!#REF!</definedName>
    <definedName name="_SP031" localSheetId="5">'[84]MRoad data'!#REF!</definedName>
    <definedName name="_SP031">'[84]MRoad data'!#REF!</definedName>
    <definedName name="_SP032" localSheetId="5">'[84]MRoad data'!#REF!</definedName>
    <definedName name="_SP032">'[84]MRoad data'!#REF!</definedName>
    <definedName name="_SP033" localSheetId="5">'[84]MRoad data'!#REF!</definedName>
    <definedName name="_SP033">'[84]MRoad data'!#REF!</definedName>
    <definedName name="_SP034" localSheetId="5">'[84]MRoad data'!#REF!</definedName>
    <definedName name="_SP034">'[84]MRoad data'!#REF!</definedName>
    <definedName name="_SP035" localSheetId="5">'[84]MRoad data'!#REF!</definedName>
    <definedName name="_SP035">'[84]MRoad data'!#REF!</definedName>
    <definedName name="_SP036" localSheetId="5">'[84]MRoad data'!#REF!</definedName>
    <definedName name="_SP036">'[84]MRoad data'!#REF!</definedName>
    <definedName name="_SP037" localSheetId="5">'[84]MRoad data'!#REF!</definedName>
    <definedName name="_SP037">'[84]MRoad data'!#REF!</definedName>
    <definedName name="_SP038" localSheetId="5">'[84]MRoad data'!#REF!</definedName>
    <definedName name="_SP038">'[84]MRoad data'!#REF!</definedName>
    <definedName name="_SP039" localSheetId="5">'[84]MRoad data'!#REF!</definedName>
    <definedName name="_SP039">'[84]MRoad data'!#REF!</definedName>
    <definedName name="_SP040" localSheetId="5">'[84]MRoad data'!#REF!</definedName>
    <definedName name="_SP040">'[84]MRoad data'!#REF!</definedName>
    <definedName name="_SP041" localSheetId="5">'[84]MRoad data'!#REF!</definedName>
    <definedName name="_SP041">'[84]MRoad data'!#REF!</definedName>
    <definedName name="_SP042" localSheetId="5">'[84]MRoad data'!#REF!</definedName>
    <definedName name="_SP042">'[84]MRoad data'!#REF!</definedName>
    <definedName name="_SP043" localSheetId="5">'[84]MRoad data'!#REF!</definedName>
    <definedName name="_SP043">'[84]MRoad data'!#REF!</definedName>
    <definedName name="_SP044" localSheetId="5">'[84]MRoad data'!#REF!</definedName>
    <definedName name="_SP044">'[84]MRoad data'!#REF!</definedName>
    <definedName name="_SP045" localSheetId="5">'[84]MRoad data'!#REF!</definedName>
    <definedName name="_SP045">'[84]MRoad data'!#REF!</definedName>
    <definedName name="_SP046" localSheetId="5">'[84]MRoad data'!#REF!</definedName>
    <definedName name="_SP046">'[84]MRoad data'!#REF!</definedName>
    <definedName name="_SP047" localSheetId="5">'[84]MRoad data'!#REF!</definedName>
    <definedName name="_SP047">'[84]MRoad data'!#REF!</definedName>
    <definedName name="_SP048" localSheetId="5">'[84]MRoad data'!#REF!</definedName>
    <definedName name="_SP048">'[84]MRoad data'!#REF!</definedName>
    <definedName name="_SP049" localSheetId="5">'[84]MRoad data'!#REF!</definedName>
    <definedName name="_SP049">'[84]MRoad data'!#REF!</definedName>
    <definedName name="_SP050" localSheetId="5">'[84]MRoad data'!#REF!</definedName>
    <definedName name="_SP050">'[84]MRoad data'!#REF!</definedName>
    <definedName name="_SP051" localSheetId="5">'[84]MRoad data'!#REF!</definedName>
    <definedName name="_SP051">'[84]MRoad data'!#REF!</definedName>
    <definedName name="_SP052" localSheetId="5">'[84]MRoad data'!#REF!</definedName>
    <definedName name="_SP052">'[84]MRoad data'!#REF!</definedName>
    <definedName name="_SP053" localSheetId="5">'[84]MRoad data'!#REF!</definedName>
    <definedName name="_SP053">'[84]MRoad data'!#REF!</definedName>
    <definedName name="_SP054" localSheetId="5">'[84]MRoad data'!#REF!</definedName>
    <definedName name="_SP054">'[84]MRoad data'!#REF!</definedName>
    <definedName name="_SP055" localSheetId="5">'[84]MRoad data'!#REF!</definedName>
    <definedName name="_SP055">'[84]MRoad data'!#REF!</definedName>
    <definedName name="_SP056" localSheetId="5">'[84]MRoad data'!#REF!</definedName>
    <definedName name="_SP056">'[84]MRoad data'!#REF!</definedName>
    <definedName name="_SP057" localSheetId="5">'[84]MRoad data'!#REF!</definedName>
    <definedName name="_SP057">'[84]MRoad data'!#REF!</definedName>
    <definedName name="_SP058" localSheetId="5">'[84]MRoad data'!#REF!</definedName>
    <definedName name="_SP058">'[84]MRoad data'!#REF!</definedName>
    <definedName name="_SP059" localSheetId="5">'[84]MRoad data'!#REF!</definedName>
    <definedName name="_SP059">'[84]MRoad data'!#REF!</definedName>
    <definedName name="_SP060" localSheetId="5">'[84]MRoad data'!#REF!</definedName>
    <definedName name="_SP060">'[84]MRoad data'!#REF!</definedName>
    <definedName name="_SP061" localSheetId="5">'[84]MRoad data'!#REF!</definedName>
    <definedName name="_SP061">'[84]MRoad data'!#REF!</definedName>
    <definedName name="_SP062" localSheetId="5">'[84]MRoad data'!#REF!</definedName>
    <definedName name="_SP062">'[84]MRoad data'!#REF!</definedName>
    <definedName name="_SP063" localSheetId="5">'[84]MRoad data'!#REF!</definedName>
    <definedName name="_SP063">'[84]MRoad data'!#REF!</definedName>
    <definedName name="_SP064" localSheetId="5">'[84]MRoad data'!#REF!</definedName>
    <definedName name="_SP064">'[84]MRoad data'!#REF!</definedName>
    <definedName name="_SP065" localSheetId="5">'[84]MRoad data'!#REF!</definedName>
    <definedName name="_SP065">'[84]MRoad data'!#REF!</definedName>
    <definedName name="_SP066" localSheetId="5">'[84]MRoad data'!#REF!</definedName>
    <definedName name="_SP066">'[84]MRoad data'!#REF!</definedName>
    <definedName name="_SP067" localSheetId="5">'[84]MRoad data'!#REF!</definedName>
    <definedName name="_SP067">'[84]MRoad data'!#REF!</definedName>
    <definedName name="_SP068" localSheetId="5">'[84]MRoad data'!#REF!</definedName>
    <definedName name="_SP068">'[84]MRoad data'!#REF!</definedName>
    <definedName name="_SP069" localSheetId="5">'[84]MRoad data'!#REF!</definedName>
    <definedName name="_SP069">'[84]MRoad data'!#REF!</definedName>
    <definedName name="_SP070" localSheetId="5">'[84]MRoad data'!#REF!</definedName>
    <definedName name="_SP070">'[84]MRoad data'!#REF!</definedName>
    <definedName name="_sp071" localSheetId="5">'[84]MRoad data'!#REF!</definedName>
    <definedName name="_sp071">'[84]MRoad data'!#REF!</definedName>
    <definedName name="_SP072" localSheetId="5">'[84]MRoad data'!#REF!</definedName>
    <definedName name="_SP072">'[84]MRoad data'!#REF!</definedName>
    <definedName name="_SP073" localSheetId="5">'[84]MRoad data'!#REF!</definedName>
    <definedName name="_SP073">'[84]MRoad data'!#REF!</definedName>
    <definedName name="_SP074" localSheetId="5">'[84]MRoad data'!#REF!</definedName>
    <definedName name="_SP074">'[84]MRoad data'!#REF!</definedName>
    <definedName name="_SP075" localSheetId="5">'[84]MRoad data'!#REF!</definedName>
    <definedName name="_SP075">'[84]MRoad data'!#REF!</definedName>
    <definedName name="_SP076" localSheetId="5">'[84]MRoad data'!#REF!</definedName>
    <definedName name="_SP076">'[84]MRoad data'!#REF!</definedName>
    <definedName name="_SP077" localSheetId="5">'[84]MRoad data'!#REF!</definedName>
    <definedName name="_SP077">'[84]MRoad data'!#REF!</definedName>
    <definedName name="_sp078" localSheetId="5">'[84]MRoad data'!#REF!</definedName>
    <definedName name="_sp078">'[84]MRoad data'!#REF!</definedName>
    <definedName name="_SPO79" localSheetId="5">'[84]MRoad data'!#REF!</definedName>
    <definedName name="_SPO79">'[84]MRoad data'!#REF!</definedName>
    <definedName name="_SS10" localSheetId="0">[74]MRATES!$J$7</definedName>
    <definedName name="_SS10" localSheetId="4">[7]Sheet1!$C$7</definedName>
    <definedName name="_SS10">[75]MRATES!$J$7</definedName>
    <definedName name="_ss12" localSheetId="0">[27]rdamdata!$J$8</definedName>
    <definedName name="_SS12" localSheetId="4">[7]Sheet1!$C$8</definedName>
    <definedName name="_SS12">[75]MRATES!$J$8</definedName>
    <definedName name="_SS150" localSheetId="0">[74]MRATES!$G$13</definedName>
    <definedName name="_SS150" localSheetId="4">[7]Sheet1!$I$12</definedName>
    <definedName name="_SS150">[75]MRATES!$G$13</definedName>
    <definedName name="_ss20" localSheetId="0">[27]rdamdata!$J$7</definedName>
    <definedName name="_SS20" localSheetId="4">[7]Sheet1!$C$9</definedName>
    <definedName name="_SS20">[75]MRATES!$J$9</definedName>
    <definedName name="_SS225" localSheetId="0">[74]MRATES!$G$14</definedName>
    <definedName name="_SS225" localSheetId="4">[7]Sheet1!$I$13</definedName>
    <definedName name="_SS225">[75]MRATES!$G$14</definedName>
    <definedName name="_SS25" localSheetId="0">[74]MRATES!$J$10</definedName>
    <definedName name="_SS25" localSheetId="4">[7]Sheet1!$C$10</definedName>
    <definedName name="_SS25">[75]MRATES!$J$10</definedName>
    <definedName name="_SS300" localSheetId="0">[74]MRATES!$G$15</definedName>
    <definedName name="_SS300" localSheetId="4">[7]Sheet1!$I$14</definedName>
    <definedName name="_SS300">[75]MRATES!$G$15</definedName>
    <definedName name="_ss40" localSheetId="0">[27]rdamdata!$J$6</definedName>
    <definedName name="_SS40" localSheetId="4">[7]Sheet1!$C$11</definedName>
    <definedName name="_SS40">[75]MRATES!$J$11</definedName>
    <definedName name="_SS50">[7]Sheet1!$C$12</definedName>
    <definedName name="_SS6" localSheetId="0">[74]MRATES!$J$6</definedName>
    <definedName name="_SS6" localSheetId="4">[7]Sheet1!$C$6</definedName>
    <definedName name="_SS6">[75]MRATES!$J$6</definedName>
    <definedName name="_SS60">[7]Sheet1!$C$13</definedName>
    <definedName name="_SS65">[7]Sheet1!$C$14</definedName>
    <definedName name="_SS75">[7]Sheet1!$C$15</definedName>
    <definedName name="_ST" localSheetId="2">#REF!</definedName>
    <definedName name="_ST" localSheetId="1">#REF!</definedName>
    <definedName name="_ST" localSheetId="4">#REF!</definedName>
    <definedName name="_ST" localSheetId="6">#REF!</definedName>
    <definedName name="_ST" localSheetId="5">#REF!</definedName>
    <definedName name="_ST" localSheetId="7">#REF!</definedName>
    <definedName name="_ST">#REF!</definedName>
    <definedName name="_Tb3" localSheetId="0">[55]CONST!$W$323:$AH$360</definedName>
    <definedName name="_Tb3">[85]CONST!$W$323:$AH$360</definedName>
    <definedName name="_Tb4" localSheetId="0">[55]CONST!$D$75:$Q$262</definedName>
    <definedName name="_Tb4">[85]CONST!$D$75:$Q$262</definedName>
    <definedName name="_var1" localSheetId="2">#REF!</definedName>
    <definedName name="_var1" localSheetId="0">#REF!</definedName>
    <definedName name="_var1" localSheetId="1">#REF!</definedName>
    <definedName name="_var1" localSheetId="4">#REF!</definedName>
    <definedName name="_var1" localSheetId="6">#REF!</definedName>
    <definedName name="_var1" localSheetId="5">#REF!</definedName>
    <definedName name="_var1" localSheetId="7">#REF!</definedName>
    <definedName name="_var1">#REF!</definedName>
    <definedName name="_var2" localSheetId="5">#REF!</definedName>
    <definedName name="_var2" localSheetId="7">#REF!</definedName>
    <definedName name="_var2">#REF!</definedName>
    <definedName name="_var4" localSheetId="5">#REF!</definedName>
    <definedName name="_var4" localSheetId="7">#REF!</definedName>
    <definedName name="_var4">#REF!</definedName>
    <definedName name="_vzrzam" localSheetId="5">#REF!</definedName>
    <definedName name="_vzrzam" localSheetId="7">#REF!</definedName>
    <definedName name="_vzrzam">#REF!</definedName>
    <definedName name="_Y1" localSheetId="2">#REF!</definedName>
    <definedName name="_Y1" localSheetId="0">[76]Quarry!#REF!</definedName>
    <definedName name="_Y1" localSheetId="1">#REF!</definedName>
    <definedName name="_Y1" localSheetId="4">[77]Quarry!#REF!</definedName>
    <definedName name="_Y1" localSheetId="6">#REF!</definedName>
    <definedName name="_Y1" localSheetId="5">#REF!</definedName>
    <definedName name="_Y1" localSheetId="7">#REF!</definedName>
    <definedName name="_Y1">#REF!</definedName>
    <definedName name="_Y2" localSheetId="2">#REF!</definedName>
    <definedName name="_Y2" localSheetId="0">[76]Quarry!#REF!</definedName>
    <definedName name="_Y2" localSheetId="1">#REF!</definedName>
    <definedName name="_Y2" localSheetId="4">[77]Quarry!#REF!</definedName>
    <definedName name="_Y2" localSheetId="6">#REF!</definedName>
    <definedName name="_Y2" localSheetId="5">#REF!</definedName>
    <definedName name="_Y2" localSheetId="7">#REF!</definedName>
    <definedName name="_Y2">#REF!</definedName>
    <definedName name="_Y3" localSheetId="2">#REF!</definedName>
    <definedName name="_Y3" localSheetId="0">[76]Quarry!#REF!</definedName>
    <definedName name="_Y3" localSheetId="1">#REF!</definedName>
    <definedName name="_Y3" localSheetId="4">[77]Quarry!#REF!</definedName>
    <definedName name="_Y3" localSheetId="6">#REF!</definedName>
    <definedName name="_Y3" localSheetId="5">#REF!</definedName>
    <definedName name="_Y3" localSheetId="7">#REF!</definedName>
    <definedName name="_Y3">#REF!</definedName>
    <definedName name="a" localSheetId="4">#REF!</definedName>
    <definedName name="a" localSheetId="5">#REF!</definedName>
    <definedName name="a" localSheetId="7">#REF!</definedName>
    <definedName name="a">#REF!</definedName>
    <definedName name="aa" localSheetId="5">[86]GEN_abstrct!#REF!</definedName>
    <definedName name="aa">[86]GEN_abstrct!#REF!</definedName>
    <definedName name="aaa" localSheetId="2">[87]GEN_abstrct!#REF!</definedName>
    <definedName name="aaa" localSheetId="1">[87]GEN_abstrct!#REF!</definedName>
    <definedName name="aaa" localSheetId="4">[87]GEN_abstrct!#REF!</definedName>
    <definedName name="aaa" localSheetId="6">[87]GEN_abstrct!#REF!</definedName>
    <definedName name="aaa" localSheetId="5">[87]GEN_abstrct!#REF!</definedName>
    <definedName name="aaa" localSheetId="7">[87]GEN_abstrct!#REF!</definedName>
    <definedName name="aaa">[87]GEN_abstrct!#REF!</definedName>
    <definedName name="aaaaaaaaaaa1" localSheetId="2">#REF!</definedName>
    <definedName name="aaaaaaaaaaa1" localSheetId="1">#REF!</definedName>
    <definedName name="aaaaaaaaaaa1" localSheetId="4">#REF!</definedName>
    <definedName name="aaaaaaaaaaa1" localSheetId="6">#REF!</definedName>
    <definedName name="aaaaaaaaaaa1" localSheetId="5">#REF!</definedName>
    <definedName name="aaaaaaaaaaa1" localSheetId="7">#REF!</definedName>
    <definedName name="aaaaaaaaaaa1">#REF!</definedName>
    <definedName name="aarvee" hidden="1">{"PLANNING",#N/A,FALSE,"A"}</definedName>
    <definedName name="Ab_IC" localSheetId="5">'[88]Aug,02'!#REF!</definedName>
    <definedName name="Ab_IC" localSheetId="7">'[88]Aug,02'!#REF!</definedName>
    <definedName name="Ab_IC">'[88]Aug,02'!#REF!</definedName>
    <definedName name="Abbbbb" localSheetId="2">#REF!</definedName>
    <definedName name="Abbbbb" localSheetId="1">#REF!</definedName>
    <definedName name="Abbbbb" localSheetId="4">#REF!</definedName>
    <definedName name="Abbbbb" localSheetId="6">#REF!</definedName>
    <definedName name="Abbbbb" localSheetId="5">#REF!</definedName>
    <definedName name="Abbbbb" localSheetId="7">#REF!</definedName>
    <definedName name="Abbbbb">#REF!</definedName>
    <definedName name="ABC">#REF!</definedName>
    <definedName name="abcd">#REF!</definedName>
    <definedName name="abstract">#N/A</definedName>
    <definedName name="abstract_acqdct" localSheetId="2">[86]GEN_abstrct!#REF!</definedName>
    <definedName name="abstract_acqdct" localSheetId="0">[89]GEN_abstrct!#REF!</definedName>
    <definedName name="abstract_acqdct" localSheetId="1">[86]GEN_abstrct!#REF!</definedName>
    <definedName name="abstract_acqdct" localSheetId="4">[86]GEN_abstrct!#REF!</definedName>
    <definedName name="abstract_acqdct" localSheetId="6">[86]GEN_abstrct!#REF!</definedName>
    <definedName name="abstract_acqdct" localSheetId="5">[86]GEN_abstrct!#REF!</definedName>
    <definedName name="abstract_acqdct">[86]GEN_abstrct!#REF!</definedName>
    <definedName name="abstract_acqdct_12" localSheetId="0">[90]GEN_abstrct!#REF!</definedName>
    <definedName name="abstract_acqdct_12" localSheetId="5">[91]GEN_abstrct!#REF!</definedName>
    <definedName name="abstract_acqdct_12">[91]GEN_abstrct!#REF!</definedName>
    <definedName name="abstract_acqdct_14" localSheetId="0">[90]GEN_abstrct!#REF!</definedName>
    <definedName name="abstract_acqdct_14" localSheetId="5">[91]GEN_abstrct!#REF!</definedName>
    <definedName name="abstract_acqdct_14">[91]GEN_abstrct!#REF!</definedName>
    <definedName name="abstract_acqdct_15" localSheetId="0">[90]GEN_abstrct!#REF!</definedName>
    <definedName name="abstract_acqdct_15" localSheetId="5">[91]GEN_abstrct!#REF!</definedName>
    <definedName name="abstract_acqdct_15">[91]GEN_abstrct!#REF!</definedName>
    <definedName name="abstract_acqdct_16" localSheetId="0">[90]GEN_abstrct!#REF!</definedName>
    <definedName name="abstract_acqdct_16" localSheetId="5">[91]GEN_abstrct!#REF!</definedName>
    <definedName name="abstract_acqdct_16">[91]GEN_abstrct!#REF!</definedName>
    <definedName name="abstract_acqdct_19" localSheetId="0">[92]GEN_abstrct!#REF!</definedName>
    <definedName name="abstract_acqdct_19" localSheetId="5">[93]GEN_abstrct!#REF!</definedName>
    <definedName name="abstract_acqdct_19">[93]GEN_abstrct!#REF!</definedName>
    <definedName name="abstract_acqdct_2" localSheetId="0">[90]GEN_abstrct!#REF!</definedName>
    <definedName name="abstract_acqdct_2" localSheetId="5">[91]GEN_abstrct!#REF!</definedName>
    <definedName name="abstract_acqdct_2">[91]GEN_abstrct!#REF!</definedName>
    <definedName name="abstract_acqdct_20" localSheetId="0">[92]GEN_abstrct!#REF!</definedName>
    <definedName name="abstract_acqdct_20" localSheetId="5">[93]GEN_abstrct!#REF!</definedName>
    <definedName name="abstract_acqdct_20">[93]GEN_abstrct!#REF!</definedName>
    <definedName name="abstract_acqdct_21" localSheetId="0">[92]GEN_abstrct!#REF!</definedName>
    <definedName name="abstract_acqdct_21" localSheetId="5">[93]GEN_abstrct!#REF!</definedName>
    <definedName name="abstract_acqdct_21">[93]GEN_abstrct!#REF!</definedName>
    <definedName name="abstract_acqdct_8" localSheetId="0">[94]GEN_abstrct!#REF!</definedName>
    <definedName name="abstract_acqdct_8" localSheetId="5">[95]GEN_abstrct!#REF!</definedName>
    <definedName name="abstract_acqdct_8">[95]GEN_abstrct!#REF!</definedName>
    <definedName name="abstract_acqdt2" localSheetId="0">[96]GEN_abstrct!#REF!</definedName>
    <definedName name="abstract_acqdt2" localSheetId="5">[87]GEN_abstrct!#REF!</definedName>
    <definedName name="abstract_acqdt2">[87]GEN_abstrct!#REF!</definedName>
    <definedName name="abstract_acqduct" localSheetId="0">[94]GEN_abstrct!#REF!</definedName>
    <definedName name="abstract_acqduct" localSheetId="5">[97]GEN_abstrct!#REF!</definedName>
    <definedName name="abstract_acqduct">[97]GEN_abstrct!#REF!</definedName>
    <definedName name="abstract_bund" localSheetId="0">[89]GEN_abstrct!#REF!</definedName>
    <definedName name="abstract_bund" localSheetId="5">[86]GEN_abstrct!#REF!</definedName>
    <definedName name="abstract_bund">[86]GEN_abstrct!#REF!</definedName>
    <definedName name="abstract_bund_" localSheetId="0">[98]GEN_abstrct!#REF!</definedName>
    <definedName name="abstract_bund_" localSheetId="5">[93]GEN_abstrct!#REF!</definedName>
    <definedName name="abstract_bund_">[93]GEN_abstrct!#REF!</definedName>
    <definedName name="abstract_bund_12" localSheetId="0">[90]GEN_abstrct!#REF!</definedName>
    <definedName name="abstract_bund_12" localSheetId="5">[91]GEN_abstrct!#REF!</definedName>
    <definedName name="abstract_bund_12">[91]GEN_abstrct!#REF!</definedName>
    <definedName name="abstract_bund_14" localSheetId="0">[90]GEN_abstrct!#REF!</definedName>
    <definedName name="abstract_bund_14" localSheetId="5">[91]GEN_abstrct!#REF!</definedName>
    <definedName name="abstract_bund_14">[91]GEN_abstrct!#REF!</definedName>
    <definedName name="abstract_bund_15" localSheetId="0">[90]GEN_abstrct!#REF!</definedName>
    <definedName name="abstract_bund_15" localSheetId="5">[91]GEN_abstrct!#REF!</definedName>
    <definedName name="abstract_bund_15">[91]GEN_abstrct!#REF!</definedName>
    <definedName name="abstract_bund_16" localSheetId="0">[90]GEN_abstrct!#REF!</definedName>
    <definedName name="abstract_bund_16" localSheetId="5">[91]GEN_abstrct!#REF!</definedName>
    <definedName name="abstract_bund_16">[91]GEN_abstrct!#REF!</definedName>
    <definedName name="abstract_bund_19" localSheetId="0">[92]GEN_abstrct!#REF!</definedName>
    <definedName name="abstract_bund_19" localSheetId="5">[93]GEN_abstrct!#REF!</definedName>
    <definedName name="abstract_bund_19">[93]GEN_abstrct!#REF!</definedName>
    <definedName name="abstract_bund_2" localSheetId="0">[90]GEN_abstrct!#REF!</definedName>
    <definedName name="abstract_bund_2" localSheetId="5">[91]GEN_abstrct!#REF!</definedName>
    <definedName name="abstract_bund_2">[91]GEN_abstrct!#REF!</definedName>
    <definedName name="abstract_bund_20" localSheetId="0">[92]GEN_abstrct!#REF!</definedName>
    <definedName name="abstract_bund_20" localSheetId="5">[93]GEN_abstrct!#REF!</definedName>
    <definedName name="abstract_bund_20">[93]GEN_abstrct!#REF!</definedName>
    <definedName name="abstract_bund_21" localSheetId="0">[92]GEN_abstrct!#REF!</definedName>
    <definedName name="abstract_bund_21" localSheetId="5">[93]GEN_abstrct!#REF!</definedName>
    <definedName name="abstract_bund_21">[93]GEN_abstrct!#REF!</definedName>
    <definedName name="abstract_bund_8" localSheetId="0">[94]GEN_abstrct!#REF!</definedName>
    <definedName name="abstract_bund_8" localSheetId="5">[95]GEN_abstrct!#REF!</definedName>
    <definedName name="abstract_bund_8">[95]GEN_abstrct!#REF!</definedName>
    <definedName name="abstract_canal" localSheetId="0">[89]GEN_abstrct!#REF!</definedName>
    <definedName name="abstract_canal" localSheetId="5">[86]GEN_abstrct!#REF!</definedName>
    <definedName name="abstract_canal">[86]GEN_abstrct!#REF!</definedName>
    <definedName name="abstract_canal_12" localSheetId="0">[90]GEN_abstrct!#REF!</definedName>
    <definedName name="abstract_canal_12" localSheetId="5">[91]GEN_abstrct!#REF!</definedName>
    <definedName name="abstract_canal_12">[91]GEN_abstrct!#REF!</definedName>
    <definedName name="abstract_canal_14" localSheetId="0">[90]GEN_abstrct!#REF!</definedName>
    <definedName name="abstract_canal_14" localSheetId="5">[91]GEN_abstrct!#REF!</definedName>
    <definedName name="abstract_canal_14">[91]GEN_abstrct!#REF!</definedName>
    <definedName name="abstract_canal_15" localSheetId="0">[90]GEN_abstrct!#REF!</definedName>
    <definedName name="abstract_canal_15" localSheetId="5">[91]GEN_abstrct!#REF!</definedName>
    <definedName name="abstract_canal_15">[91]GEN_abstrct!#REF!</definedName>
    <definedName name="abstract_canal_16" localSheetId="0">[90]GEN_abstrct!#REF!</definedName>
    <definedName name="abstract_canal_16" localSheetId="5">[91]GEN_abstrct!#REF!</definedName>
    <definedName name="abstract_canal_16">[91]GEN_abstrct!#REF!</definedName>
    <definedName name="abstract_canal_19" localSheetId="0">[92]GEN_abstrct!#REF!</definedName>
    <definedName name="abstract_canal_19" localSheetId="5">[93]GEN_abstrct!#REF!</definedName>
    <definedName name="abstract_canal_19">[93]GEN_abstrct!#REF!</definedName>
    <definedName name="abstract_canal_2" localSheetId="0">[90]GEN_abstrct!#REF!</definedName>
    <definedName name="abstract_canal_2" localSheetId="5">[91]GEN_abstrct!#REF!</definedName>
    <definedName name="abstract_canal_2">[91]GEN_abstrct!#REF!</definedName>
    <definedName name="abstract_canal_20" localSheetId="0">[92]GEN_abstrct!#REF!</definedName>
    <definedName name="abstract_canal_20" localSheetId="5">[93]GEN_abstrct!#REF!</definedName>
    <definedName name="abstract_canal_20">[93]GEN_abstrct!#REF!</definedName>
    <definedName name="abstract_canal_21" localSheetId="0">[92]GEN_abstrct!#REF!</definedName>
    <definedName name="abstract_canal_21" localSheetId="5">[93]GEN_abstrct!#REF!</definedName>
    <definedName name="abstract_canal_21">[93]GEN_abstrct!#REF!</definedName>
    <definedName name="abstract_canal_8" localSheetId="0">[94]GEN_abstrct!#REF!</definedName>
    <definedName name="abstract_canal_8" localSheetId="5">[95]GEN_abstrct!#REF!</definedName>
    <definedName name="abstract_canal_8">[95]GEN_abstrct!#REF!</definedName>
    <definedName name="abstract_canal2" localSheetId="0">[89]GEN_abstrct!#REF!</definedName>
    <definedName name="abstract_canal2" localSheetId="5">[86]GEN_abstrct!#REF!</definedName>
    <definedName name="abstract_canal2">[86]GEN_abstrct!#REF!</definedName>
    <definedName name="abstract_canal2_12" localSheetId="0">[90]GEN_abstrct!#REF!</definedName>
    <definedName name="abstract_canal2_12" localSheetId="5">[91]GEN_abstrct!#REF!</definedName>
    <definedName name="abstract_canal2_12">[91]GEN_abstrct!#REF!</definedName>
    <definedName name="abstract_canal2_14" localSheetId="0">[90]GEN_abstrct!#REF!</definedName>
    <definedName name="abstract_canal2_14" localSheetId="5">[91]GEN_abstrct!#REF!</definedName>
    <definedName name="abstract_canal2_14">[91]GEN_abstrct!#REF!</definedName>
    <definedName name="abstract_canal2_15" localSheetId="0">[90]GEN_abstrct!#REF!</definedName>
    <definedName name="abstract_canal2_15" localSheetId="5">[91]GEN_abstrct!#REF!</definedName>
    <definedName name="abstract_canal2_15">[91]GEN_abstrct!#REF!</definedName>
    <definedName name="abstract_canal2_16" localSheetId="0">[90]GEN_abstrct!#REF!</definedName>
    <definedName name="abstract_canal2_16" localSheetId="5">[91]GEN_abstrct!#REF!</definedName>
    <definedName name="abstract_canal2_16">[91]GEN_abstrct!#REF!</definedName>
    <definedName name="abstract_canal2_19" localSheetId="0">[92]GEN_abstrct!#REF!</definedName>
    <definedName name="abstract_canal2_19" localSheetId="5">[93]GEN_abstrct!#REF!</definedName>
    <definedName name="abstract_canal2_19">[93]GEN_abstrct!#REF!</definedName>
    <definedName name="abstract_canal2_2" localSheetId="0">[90]GEN_abstrct!#REF!</definedName>
    <definedName name="abstract_canal2_2" localSheetId="5">[91]GEN_abstrct!#REF!</definedName>
    <definedName name="abstract_canal2_2">[91]GEN_abstrct!#REF!</definedName>
    <definedName name="abstract_canal2_20" localSheetId="0">[92]GEN_abstrct!#REF!</definedName>
    <definedName name="abstract_canal2_20" localSheetId="5">[93]GEN_abstrct!#REF!</definedName>
    <definedName name="abstract_canal2_20">[93]GEN_abstrct!#REF!</definedName>
    <definedName name="abstract_canal2_21" localSheetId="0">[92]GEN_abstrct!#REF!</definedName>
    <definedName name="abstract_canal2_21" localSheetId="5">[93]GEN_abstrct!#REF!</definedName>
    <definedName name="abstract_canal2_21">[93]GEN_abstrct!#REF!</definedName>
    <definedName name="abstract_canal2_8" localSheetId="0">[94]GEN_abstrct!#REF!</definedName>
    <definedName name="abstract_canal2_8" localSheetId="5">[95]GEN_abstrct!#REF!</definedName>
    <definedName name="abstract_canal2_8">[95]GEN_abstrct!#REF!</definedName>
    <definedName name="abstract_drop" localSheetId="0">[89]GEN_abstrct!#REF!</definedName>
    <definedName name="abstract_drop" localSheetId="5">[86]GEN_abstrct!#REF!</definedName>
    <definedName name="abstract_drop">[86]GEN_abstrct!#REF!</definedName>
    <definedName name="abstract_drop_12" localSheetId="0">[90]GEN_abstrct!#REF!</definedName>
    <definedName name="abstract_drop_12" localSheetId="5">[91]GEN_abstrct!#REF!</definedName>
    <definedName name="abstract_drop_12">[91]GEN_abstrct!#REF!</definedName>
    <definedName name="abstract_drop_14" localSheetId="0">[90]GEN_abstrct!#REF!</definedName>
    <definedName name="abstract_drop_14" localSheetId="5">[91]GEN_abstrct!#REF!</definedName>
    <definedName name="abstract_drop_14">[91]GEN_abstrct!#REF!</definedName>
    <definedName name="abstract_drop_15" localSheetId="0">[90]GEN_abstrct!#REF!</definedName>
    <definedName name="abstract_drop_15" localSheetId="5">[91]GEN_abstrct!#REF!</definedName>
    <definedName name="abstract_drop_15">[91]GEN_abstrct!#REF!</definedName>
    <definedName name="abstract_drop_16" localSheetId="0">[90]GEN_abstrct!#REF!</definedName>
    <definedName name="abstract_drop_16" localSheetId="5">[91]GEN_abstrct!#REF!</definedName>
    <definedName name="abstract_drop_16">[91]GEN_abstrct!#REF!</definedName>
    <definedName name="abstract_drop_19" localSheetId="0">[92]GEN_abstrct!#REF!</definedName>
    <definedName name="abstract_drop_19" localSheetId="5">[93]GEN_abstrct!#REF!</definedName>
    <definedName name="abstract_drop_19">[93]GEN_abstrct!#REF!</definedName>
    <definedName name="abstract_drop_2" localSheetId="0">[90]GEN_abstrct!#REF!</definedName>
    <definedName name="abstract_drop_2" localSheetId="5">[91]GEN_abstrct!#REF!</definedName>
    <definedName name="abstract_drop_2">[91]GEN_abstrct!#REF!</definedName>
    <definedName name="abstract_drop_20" localSheetId="0">[92]GEN_abstrct!#REF!</definedName>
    <definedName name="abstract_drop_20" localSheetId="5">[93]GEN_abstrct!#REF!</definedName>
    <definedName name="abstract_drop_20">[93]GEN_abstrct!#REF!</definedName>
    <definedName name="abstract_drop_21" localSheetId="0">[92]GEN_abstrct!#REF!</definedName>
    <definedName name="abstract_drop_21" localSheetId="5">[93]GEN_abstrct!#REF!</definedName>
    <definedName name="abstract_drop_21">[93]GEN_abstrct!#REF!</definedName>
    <definedName name="abstract_drop_8" localSheetId="0">[94]GEN_abstrct!#REF!</definedName>
    <definedName name="abstract_drop_8" localSheetId="5">[95]GEN_abstrct!#REF!</definedName>
    <definedName name="abstract_drop_8">[95]GEN_abstrct!#REF!</definedName>
    <definedName name="abstract_drp_culrt" localSheetId="0">[89]GEN_abstrct!#REF!</definedName>
    <definedName name="abstract_drp_culrt" localSheetId="5">[86]GEN_abstrct!#REF!</definedName>
    <definedName name="abstract_drp_culrt">[86]GEN_abstrct!#REF!</definedName>
    <definedName name="abstract_drp_culrt_12" localSheetId="0">[90]GEN_abstrct!#REF!</definedName>
    <definedName name="abstract_drp_culrt_12" localSheetId="5">[91]GEN_abstrct!#REF!</definedName>
    <definedName name="abstract_drp_culrt_12">[91]GEN_abstrct!#REF!</definedName>
    <definedName name="abstract_drp_culrt_14" localSheetId="0">[90]GEN_abstrct!#REF!</definedName>
    <definedName name="abstract_drp_culrt_14" localSheetId="5">[91]GEN_abstrct!#REF!</definedName>
    <definedName name="abstract_drp_culrt_14">[91]GEN_abstrct!#REF!</definedName>
    <definedName name="abstract_drp_culrt_15" localSheetId="0">[90]GEN_abstrct!#REF!</definedName>
    <definedName name="abstract_drp_culrt_15" localSheetId="5">[91]GEN_abstrct!#REF!</definedName>
    <definedName name="abstract_drp_culrt_15">[91]GEN_abstrct!#REF!</definedName>
    <definedName name="abstract_drp_culrt_16" localSheetId="0">[90]GEN_abstrct!#REF!</definedName>
    <definedName name="abstract_drp_culrt_16" localSheetId="5">[91]GEN_abstrct!#REF!</definedName>
    <definedName name="abstract_drp_culrt_16">[91]GEN_abstrct!#REF!</definedName>
    <definedName name="abstract_drp_culrt_19" localSheetId="0">[92]GEN_abstrct!#REF!</definedName>
    <definedName name="abstract_drp_culrt_19" localSheetId="5">[93]GEN_abstrct!#REF!</definedName>
    <definedName name="abstract_drp_culrt_19">[93]GEN_abstrct!#REF!</definedName>
    <definedName name="abstract_drp_culrt_2" localSheetId="0">[90]GEN_abstrct!#REF!</definedName>
    <definedName name="abstract_drp_culrt_2" localSheetId="5">[91]GEN_abstrct!#REF!</definedName>
    <definedName name="abstract_drp_culrt_2">[91]GEN_abstrct!#REF!</definedName>
    <definedName name="abstract_drp_culrt_20" localSheetId="0">[92]GEN_abstrct!#REF!</definedName>
    <definedName name="abstract_drp_culrt_20" localSheetId="5">[93]GEN_abstrct!#REF!</definedName>
    <definedName name="abstract_drp_culrt_20">[93]GEN_abstrct!#REF!</definedName>
    <definedName name="abstract_drp_culrt_21" localSheetId="0">[92]GEN_abstrct!#REF!</definedName>
    <definedName name="abstract_drp_culrt_21" localSheetId="5">[93]GEN_abstrct!#REF!</definedName>
    <definedName name="abstract_drp_culrt_21">[93]GEN_abstrct!#REF!</definedName>
    <definedName name="abstract_drp_culrt_8" localSheetId="0">[94]GEN_abstrct!#REF!</definedName>
    <definedName name="abstract_drp_culrt_8" localSheetId="5">[95]GEN_abstrct!#REF!</definedName>
    <definedName name="abstract_drp_culrt_8">[95]GEN_abstrct!#REF!</definedName>
    <definedName name="abstract_sluices" localSheetId="0">[89]GEN_abstrct!#REF!</definedName>
    <definedName name="abstract_sluices" localSheetId="5">[86]GEN_abstrct!#REF!</definedName>
    <definedName name="abstract_sluices">[86]GEN_abstrct!#REF!</definedName>
    <definedName name="abstract_sluices_12" localSheetId="0">[90]GEN_abstrct!#REF!</definedName>
    <definedName name="abstract_sluices_12" localSheetId="5">[91]GEN_abstrct!#REF!</definedName>
    <definedName name="abstract_sluices_12">[91]GEN_abstrct!#REF!</definedName>
    <definedName name="abstract_sluices_14" localSheetId="0">[90]GEN_abstrct!#REF!</definedName>
    <definedName name="abstract_sluices_14" localSheetId="5">[91]GEN_abstrct!#REF!</definedName>
    <definedName name="abstract_sluices_14">[91]GEN_abstrct!#REF!</definedName>
    <definedName name="abstract_sluices_15" localSheetId="0">[90]GEN_abstrct!#REF!</definedName>
    <definedName name="abstract_sluices_15" localSheetId="5">[91]GEN_abstrct!#REF!</definedName>
    <definedName name="abstract_sluices_15">[91]GEN_abstrct!#REF!</definedName>
    <definedName name="abstract_sluices_16" localSheetId="0">[90]GEN_abstrct!#REF!</definedName>
    <definedName name="abstract_sluices_16" localSheetId="5">[91]GEN_abstrct!#REF!</definedName>
    <definedName name="abstract_sluices_16">[91]GEN_abstrct!#REF!</definedName>
    <definedName name="abstract_sluices_19" localSheetId="0">[92]GEN_abstrct!#REF!</definedName>
    <definedName name="abstract_sluices_19" localSheetId="5">[93]GEN_abstrct!#REF!</definedName>
    <definedName name="abstract_sluices_19">[93]GEN_abstrct!#REF!</definedName>
    <definedName name="abstract_sluices_2" localSheetId="0">[90]GEN_abstrct!#REF!</definedName>
    <definedName name="abstract_sluices_2" localSheetId="5">[91]GEN_abstrct!#REF!</definedName>
    <definedName name="abstract_sluices_2">[91]GEN_abstrct!#REF!</definedName>
    <definedName name="abstract_sluices_20" localSheetId="0">[92]GEN_abstrct!#REF!</definedName>
    <definedName name="abstract_sluices_20" localSheetId="5">[93]GEN_abstrct!#REF!</definedName>
    <definedName name="abstract_sluices_20">[93]GEN_abstrct!#REF!</definedName>
    <definedName name="abstract_sluices_21" localSheetId="0">[92]GEN_abstrct!#REF!</definedName>
    <definedName name="abstract_sluices_21" localSheetId="5">[93]GEN_abstrct!#REF!</definedName>
    <definedName name="abstract_sluices_21">[93]GEN_abstrct!#REF!</definedName>
    <definedName name="abstract_sluices_8" localSheetId="0">[94]GEN_abstrct!#REF!</definedName>
    <definedName name="abstract_sluices_8" localSheetId="5">[95]GEN_abstrct!#REF!</definedName>
    <definedName name="abstract_sluices_8">[95]GEN_abstrct!#REF!</definedName>
    <definedName name="abstract_sppsg" localSheetId="0">[89]GEN_abstrct!#REF!</definedName>
    <definedName name="abstract_sppsg" localSheetId="5">[86]GEN_abstrct!#REF!</definedName>
    <definedName name="abstract_sppsg">[86]GEN_abstrct!#REF!</definedName>
    <definedName name="abstract_sppsg_12" localSheetId="0">[90]GEN_abstrct!#REF!</definedName>
    <definedName name="abstract_sppsg_12" localSheetId="5">[91]GEN_abstrct!#REF!</definedName>
    <definedName name="abstract_sppsg_12">[91]GEN_abstrct!#REF!</definedName>
    <definedName name="abstract_sppsg_14" localSheetId="0">[90]GEN_abstrct!#REF!</definedName>
    <definedName name="abstract_sppsg_14" localSheetId="5">[91]GEN_abstrct!#REF!</definedName>
    <definedName name="abstract_sppsg_14">[91]GEN_abstrct!#REF!</definedName>
    <definedName name="abstract_sppsg_15" localSheetId="0">[90]GEN_abstrct!#REF!</definedName>
    <definedName name="abstract_sppsg_15" localSheetId="5">[91]GEN_abstrct!#REF!</definedName>
    <definedName name="abstract_sppsg_15">[91]GEN_abstrct!#REF!</definedName>
    <definedName name="abstract_sppsg_16" localSheetId="0">[90]GEN_abstrct!#REF!</definedName>
    <definedName name="abstract_sppsg_16" localSheetId="5">[91]GEN_abstrct!#REF!</definedName>
    <definedName name="abstract_sppsg_16">[91]GEN_abstrct!#REF!</definedName>
    <definedName name="abstract_sppsg_19" localSheetId="0">[92]GEN_abstrct!#REF!</definedName>
    <definedName name="abstract_sppsg_19" localSheetId="5">[93]GEN_abstrct!#REF!</definedName>
    <definedName name="abstract_sppsg_19">[93]GEN_abstrct!#REF!</definedName>
    <definedName name="abstract_sppsg_2" localSheetId="0">[90]GEN_abstrct!#REF!</definedName>
    <definedName name="abstract_sppsg_2" localSheetId="5">[91]GEN_abstrct!#REF!</definedName>
    <definedName name="abstract_sppsg_2">[91]GEN_abstrct!#REF!</definedName>
    <definedName name="abstract_sppsg_20" localSheetId="0">[92]GEN_abstrct!#REF!</definedName>
    <definedName name="abstract_sppsg_20" localSheetId="5">[93]GEN_abstrct!#REF!</definedName>
    <definedName name="abstract_sppsg_20">[93]GEN_abstrct!#REF!</definedName>
    <definedName name="abstract_sppsg_21" localSheetId="0">[92]GEN_abstrct!#REF!</definedName>
    <definedName name="abstract_sppsg_21" localSheetId="5">[93]GEN_abstrct!#REF!</definedName>
    <definedName name="abstract_sppsg_21">[93]GEN_abstrct!#REF!</definedName>
    <definedName name="abstract_sppsg_8" localSheetId="0">[94]GEN_abstrct!#REF!</definedName>
    <definedName name="abstract_sppsg_8" localSheetId="5">[95]GEN_abstrct!#REF!</definedName>
    <definedName name="abstract_sppsg_8">[95]GEN_abstrct!#REF!</definedName>
    <definedName name="abstract_weir" localSheetId="0">[89]GEN_abstrct!#REF!</definedName>
    <definedName name="abstract_weir" localSheetId="5">[86]GEN_abstrct!#REF!</definedName>
    <definedName name="abstract_weir">[86]GEN_abstrct!#REF!</definedName>
    <definedName name="abstract_weir_12" localSheetId="0">[90]GEN_abstrct!#REF!</definedName>
    <definedName name="abstract_weir_12" localSheetId="5">[91]GEN_abstrct!#REF!</definedName>
    <definedName name="abstract_weir_12">[91]GEN_abstrct!#REF!</definedName>
    <definedName name="abstract_weir_14" localSheetId="0">[90]GEN_abstrct!#REF!</definedName>
    <definedName name="abstract_weir_14" localSheetId="5">[91]GEN_abstrct!#REF!</definedName>
    <definedName name="abstract_weir_14">[91]GEN_abstrct!#REF!</definedName>
    <definedName name="abstract_weir_15" localSheetId="0">[90]GEN_abstrct!#REF!</definedName>
    <definedName name="abstract_weir_15" localSheetId="5">[91]GEN_abstrct!#REF!</definedName>
    <definedName name="abstract_weir_15">[91]GEN_abstrct!#REF!</definedName>
    <definedName name="abstract_weir_16" localSheetId="0">[90]GEN_abstrct!#REF!</definedName>
    <definedName name="abstract_weir_16" localSheetId="5">[91]GEN_abstrct!#REF!</definedName>
    <definedName name="abstract_weir_16">[91]GEN_abstrct!#REF!</definedName>
    <definedName name="abstract_weir_19" localSheetId="0">[92]GEN_abstrct!#REF!</definedName>
    <definedName name="abstract_weir_19" localSheetId="5">[93]GEN_abstrct!#REF!</definedName>
    <definedName name="abstract_weir_19">[93]GEN_abstrct!#REF!</definedName>
    <definedName name="abstract_weir_2" localSheetId="0">[90]GEN_abstrct!#REF!</definedName>
    <definedName name="abstract_weir_2" localSheetId="5">[91]GEN_abstrct!#REF!</definedName>
    <definedName name="abstract_weir_2">[91]GEN_abstrct!#REF!</definedName>
    <definedName name="abstract_weir_20" localSheetId="0">[92]GEN_abstrct!#REF!</definedName>
    <definedName name="abstract_weir_20" localSheetId="5">[93]GEN_abstrct!#REF!</definedName>
    <definedName name="abstract_weir_20">[93]GEN_abstrct!#REF!</definedName>
    <definedName name="abstract_weir_21" localSheetId="0">[92]GEN_abstrct!#REF!</definedName>
    <definedName name="abstract_weir_21" localSheetId="5">[93]GEN_abstrct!#REF!</definedName>
    <definedName name="abstract_weir_21">[93]GEN_abstrct!#REF!</definedName>
    <definedName name="abstract_weir_8" localSheetId="0">[94]GEN_abstrct!#REF!</definedName>
    <definedName name="abstract_weir_8" localSheetId="5">[95]GEN_abstrct!#REF!</definedName>
    <definedName name="abstract_weir_8">[95]GEN_abstrct!#REF!</definedName>
    <definedName name="AccessDatabase" hidden="1">"D:\Planning &amp; QS\Planning\Progress Reports\Daily Progress Report\Physical Progress.mdb"</definedName>
    <definedName name="ACD_1000X1" localSheetId="0">'[99]C.D.Abs.Est.'!#REF!</definedName>
    <definedName name="ACD_1000X1" localSheetId="5">'[100]C.D.Abs.Est.'!#REF!</definedName>
    <definedName name="ACD_1000X1" localSheetId="7">'[100]C.D.Abs.Est.'!#REF!</definedName>
    <definedName name="ACD_1000X1">'[100]C.D.Abs.Est.'!#REF!</definedName>
    <definedName name="acd_2" localSheetId="0">'[99]C.D.Abs.Est.'!#REF!</definedName>
    <definedName name="acd_2" localSheetId="5">'[100]C.D.Abs.Est.'!#REF!</definedName>
    <definedName name="acd_2" localSheetId="7">'[100]C.D.Abs.Est.'!#REF!</definedName>
    <definedName name="acd_2">'[100]C.D.Abs.Est.'!#REF!</definedName>
    <definedName name="acd_3" localSheetId="0">'[99]C.D.Abs.Est.'!#REF!</definedName>
    <definedName name="acd_3" localSheetId="5">'[100]C.D.Abs.Est.'!#REF!</definedName>
    <definedName name="acd_3" localSheetId="7">'[100]C.D.Abs.Est.'!#REF!</definedName>
    <definedName name="acd_3">'[100]C.D.Abs.Est.'!#REF!</definedName>
    <definedName name="acd_4" localSheetId="0">'[99]C.D.Abs.Est.'!#REF!</definedName>
    <definedName name="acd_4" localSheetId="5">'[100]C.D.Abs.Est.'!#REF!</definedName>
    <definedName name="acd_4" localSheetId="7">'[100]C.D.Abs.Est.'!#REF!</definedName>
    <definedName name="acd_4">'[100]C.D.Abs.Est.'!#REF!</definedName>
    <definedName name="acd_5" localSheetId="0">'[99]C.D.Abs.Est.'!#REF!</definedName>
    <definedName name="acd_5" localSheetId="5">'[100]C.D.Abs.Est.'!#REF!</definedName>
    <definedName name="acd_5" localSheetId="7">'[100]C.D.Abs.Est.'!#REF!</definedName>
    <definedName name="acd_5">'[100]C.D.Abs.Est.'!#REF!</definedName>
    <definedName name="acd_6" localSheetId="0">'[99]C.D.Abs.Est.'!#REF!</definedName>
    <definedName name="acd_6" localSheetId="5">'[100]C.D.Abs.Est.'!#REF!</definedName>
    <definedName name="acd_6" localSheetId="7">'[100]C.D.Abs.Est.'!#REF!</definedName>
    <definedName name="acd_6">'[100]C.D.Abs.Est.'!#REF!</definedName>
    <definedName name="ACD_600X4" localSheetId="0">'[99]C.D.Abs.Est.'!#REF!</definedName>
    <definedName name="ACD_600X4" localSheetId="5">'[100]C.D.Abs.Est.'!#REF!</definedName>
    <definedName name="ACD_600X4" localSheetId="7">'[100]C.D.Abs.Est.'!#REF!</definedName>
    <definedName name="ACD_600X4">'[100]C.D.Abs.Est.'!#REF!</definedName>
    <definedName name="ADDRESS" localSheetId="5">'[84]MRoad data'!#REF!</definedName>
    <definedName name="ADDRESS" localSheetId="7">'[84]MRoad data'!#REF!</definedName>
    <definedName name="ADDRESS">'[84]MRoad data'!#REF!</definedName>
    <definedName name="ADT_DATAl">'[101]Bitumen trunk'!$DB$2:$DI$196</definedName>
    <definedName name="ae" localSheetId="2">[102]Lead!#REF!</definedName>
    <definedName name="ae" localSheetId="1">[102]Lead!#REF!</definedName>
    <definedName name="ae" localSheetId="4">[102]Lead!#REF!</definedName>
    <definedName name="ae" localSheetId="6">[102]Lead!#REF!</definedName>
    <definedName name="ae" localSheetId="5">[102]Lead!#REF!</definedName>
    <definedName name="ae" localSheetId="7">[102]Lead!#REF!</definedName>
    <definedName name="ae">[102]Lead!#REF!</definedName>
    <definedName name="AEE" localSheetId="0">[103]LEAD!$B$53</definedName>
    <definedName name="AEE">[104]LEAD!$B$53</definedName>
    <definedName name="AEW_FOR" localSheetId="2">'[105]abs road'!#REF!</definedName>
    <definedName name="AEW_FOR" localSheetId="0">'[106]abs road'!#REF!</definedName>
    <definedName name="AEW_FOR" localSheetId="1">'[105]abs road'!#REF!</definedName>
    <definedName name="AEW_FOR" localSheetId="4">'[105]abs road'!#REF!</definedName>
    <definedName name="AEW_FOR" localSheetId="6">'[105]abs road'!#REF!</definedName>
    <definedName name="AEW_FOR" localSheetId="5">'[105]abs road'!#REF!</definedName>
    <definedName name="AEW_FOR" localSheetId="7">'[105]abs road'!#REF!</definedName>
    <definedName name="AEW_FOR">'[105]abs road'!#REF!</definedName>
    <definedName name="AEW_SIDE" localSheetId="2">'[105]abs road'!#REF!</definedName>
    <definedName name="AEW_SIDE" localSheetId="0">'[106]abs road'!#REF!</definedName>
    <definedName name="AEW_SIDE" localSheetId="1">'[105]abs road'!#REF!</definedName>
    <definedName name="AEW_SIDE" localSheetId="4">'[105]abs road'!#REF!</definedName>
    <definedName name="AEW_SIDE" localSheetId="6">'[105]abs road'!#REF!</definedName>
    <definedName name="AEW_SIDE" localSheetId="5">'[105]abs road'!#REF!</definedName>
    <definedName name="AEW_SIDE" localSheetId="7">'[105]abs road'!#REF!</definedName>
    <definedName name="AEW_SIDE">'[105]abs road'!#REF!</definedName>
    <definedName name="Afflux" localSheetId="2">#REF!</definedName>
    <definedName name="Afflux" localSheetId="1">#REF!</definedName>
    <definedName name="Afflux" localSheetId="4">#REF!</definedName>
    <definedName name="Afflux" localSheetId="6">#REF!</definedName>
    <definedName name="Afflux" localSheetId="5">#REF!</definedName>
    <definedName name="Afflux" localSheetId="7">#REF!</definedName>
    <definedName name="Afflux">#REF!</definedName>
    <definedName name="afxz" localSheetId="2">#REF!</definedName>
    <definedName name="afxz" localSheetId="1">#REF!</definedName>
    <definedName name="afxz" localSheetId="4">#REF!</definedName>
    <definedName name="afxz" localSheetId="6">#REF!</definedName>
    <definedName name="afxz" localSheetId="5">#REF!</definedName>
    <definedName name="afxz" localSheetId="7">#REF!</definedName>
    <definedName name="afxz">#REF!</definedName>
    <definedName name="AGRA_SHOULDERS" localSheetId="2">'[83]abs road'!#REF!</definedName>
    <definedName name="AGRA_SHOULDERS" localSheetId="0">'[72]abs road'!#REF!</definedName>
    <definedName name="AGRA_SHOULDERS" localSheetId="1">'[83]abs road'!#REF!</definedName>
    <definedName name="AGRA_SHOULDERS" localSheetId="4">'[83]abs road'!#REF!</definedName>
    <definedName name="AGRA_SHOULDERS" localSheetId="6">'[83]abs road'!#REF!</definedName>
    <definedName name="AGRA_SHOULDERS" localSheetId="5">'[83]abs road'!#REF!</definedName>
    <definedName name="AGRA_SHOULDERS" localSheetId="7">'[83]abs road'!#REF!</definedName>
    <definedName name="AGRA_SHOULDERS">'[83]abs road'!#REF!</definedName>
    <definedName name="AGSB" localSheetId="0">'[72]abs road'!$H$13</definedName>
    <definedName name="AGSB">'[73]abs road'!$H$13</definedName>
    <definedName name="ai">#REF!</definedName>
    <definedName name="Air_Compressor" localSheetId="2">#REF!</definedName>
    <definedName name="Air_Compressor" localSheetId="1">#REF!</definedName>
    <definedName name="Air_Compressor" localSheetId="4">#REF!</definedName>
    <definedName name="Air_Compressor" localSheetId="6">#REF!</definedName>
    <definedName name="Air_Compressor" localSheetId="5">#REF!</definedName>
    <definedName name="Air_Compressor" localSheetId="7">#REF!</definedName>
    <definedName name="Air_Compressor">#REF!</definedName>
    <definedName name="alpha" localSheetId="0">#REF!</definedName>
    <definedName name="alpha" localSheetId="4">#REF!</definedName>
    <definedName name="alpha" localSheetId="5">#REF!</definedName>
    <definedName name="alpha" localSheetId="7">#REF!</definedName>
    <definedName name="alpha">#REF!</definedName>
    <definedName name="Amen">13/100</definedName>
    <definedName name="AMFL" localSheetId="2">#REF!</definedName>
    <definedName name="AMFL" localSheetId="1">#REF!</definedName>
    <definedName name="AMFL" localSheetId="4">#REF!</definedName>
    <definedName name="AMFL" localSheetId="6">#REF!</definedName>
    <definedName name="AMFL" localSheetId="5">#REF!</definedName>
    <definedName name="AMFL" localSheetId="7">#REF!</definedName>
    <definedName name="AMFL">#REF!</definedName>
    <definedName name="AN" localSheetId="2">[107]DATAS!#REF!</definedName>
    <definedName name="AN" localSheetId="1">[107]DATAS!#REF!</definedName>
    <definedName name="AN" localSheetId="4">[107]DATAS!#REF!</definedName>
    <definedName name="AN" localSheetId="6">[107]DATAS!#REF!</definedName>
    <definedName name="AN" localSheetId="5">[107]DATAS!#REF!</definedName>
    <definedName name="AN" localSheetId="7">[107]DATAS!#REF!</definedName>
    <definedName name="AN">[107]DATAS!#REF!</definedName>
    <definedName name="ANALYSIS_DATA">'[101]Bitumen trunk'!$BO$2:$DA$196</definedName>
    <definedName name="anscount" hidden="1">1</definedName>
    <definedName name="APLIF" localSheetId="2">'[108]Aug,02'!#REF!</definedName>
    <definedName name="APLIF" localSheetId="1">'[108]Aug,02'!#REF!</definedName>
    <definedName name="APLIF" localSheetId="4">'[108]Aug,02'!#REF!</definedName>
    <definedName name="APLIF" localSheetId="6">'[108]Aug,02'!#REF!</definedName>
    <definedName name="APLIF" localSheetId="5">'[108]Aug,02'!#REF!</definedName>
    <definedName name="APLIF" localSheetId="7">'[108]Aug,02'!#REF!</definedName>
    <definedName name="APLIF">'[108]Aug,02'!#REF!</definedName>
    <definedName name="April">[109]m!$A$2</definedName>
    <definedName name="aq" localSheetId="0">[110]Data!#REF!</definedName>
    <definedName name="aq" localSheetId="4">[111]Data!#REF!</definedName>
    <definedName name="aq" localSheetId="3">[111]Data!#REF!</definedName>
    <definedName name="aq" localSheetId="5">[111]Data!#REF!</definedName>
    <definedName name="aq">[111]Data!#REF!</definedName>
    <definedName name="araewtsrtretrtyayrwetar" localSheetId="5">'[112]Aug,02'!#REF!</definedName>
    <definedName name="araewtsrtretrtyayrwetar">'[112]Aug,02'!#REF!</definedName>
    <definedName name="Arches___1.5m" localSheetId="5">[67]Works!#REF!</definedName>
    <definedName name="Arches___1.5m">[67]Works!#REF!</definedName>
    <definedName name="Arches__1.5m" localSheetId="5">[67]Works!#REF!</definedName>
    <definedName name="Arches__1.5m">[67]Works!#REF!</definedName>
    <definedName name="aryreyetashutdustu" localSheetId="5">'[113]Aug,02'!#REF!</definedName>
    <definedName name="aryreyetashutdustu">'[113]Aug,02'!#REF!</definedName>
    <definedName name="as">[114]Data!$E$9</definedName>
    <definedName name="AsadsfFSFGGRHYTRJTRFH" localSheetId="2">'[112]Aug,02'!#REF!</definedName>
    <definedName name="AsadsfFSFGGRHYTRJTRFH" localSheetId="1">'[112]Aug,02'!#REF!</definedName>
    <definedName name="AsadsfFSFGGRHYTRJTRFH" localSheetId="4">'[112]Aug,02'!#REF!</definedName>
    <definedName name="AsadsfFSFGGRHYTRJTRFH" localSheetId="6">'[112]Aug,02'!#REF!</definedName>
    <definedName name="AsadsfFSFGGRHYTRJTRFH" localSheetId="5">'[112]Aug,02'!#REF!</definedName>
    <definedName name="AsadsfFSFGGRHYTRJTRFH" localSheetId="7">'[112]Aug,02'!#REF!</definedName>
    <definedName name="AsadsfFSFGGRHYTRJTRFH">'[112]Aug,02'!#REF!</definedName>
    <definedName name="ASCSD" localSheetId="0">'[72]abs road'!$H$25</definedName>
    <definedName name="ASCSD">'[73]abs road'!$H$25</definedName>
    <definedName name="asdasdaqds" localSheetId="2">[86]GEN_abstrct!#REF!</definedName>
    <definedName name="asdasdaqds" localSheetId="1">[86]GEN_abstrct!#REF!</definedName>
    <definedName name="asdasdaqds" localSheetId="4">[86]GEN_abstrct!#REF!</definedName>
    <definedName name="asdasdaqds" localSheetId="6">[86]GEN_abstrct!#REF!</definedName>
    <definedName name="asdasdaqds" localSheetId="5">[86]GEN_abstrct!#REF!</definedName>
    <definedName name="asdasdaqds" localSheetId="7">[86]GEN_abstrct!#REF!</definedName>
    <definedName name="asdasdaqds">[86]GEN_abstrct!#REF!</definedName>
    <definedName name="ASDBC" localSheetId="0">'[72]abs road'!$H$33</definedName>
    <definedName name="ASDBC">'[73]abs road'!$H$33</definedName>
    <definedName name="ASDF" localSheetId="2" hidden="1">{"'ridftotal'!$A$4:$S$27"}</definedName>
    <definedName name="ASDF" localSheetId="1" hidden="1">{"'ridftotal'!$A$4:$S$27"}</definedName>
    <definedName name="ASDF" localSheetId="4" hidden="1">{"'ridftotal'!$A$4:$S$27"}</definedName>
    <definedName name="ASDF" localSheetId="6" hidden="1">{"'ridftotal'!$A$4:$S$27"}</definedName>
    <definedName name="ASDF" localSheetId="5" hidden="1">{"'ridftotal'!$A$4:$S$27"}</definedName>
    <definedName name="ASDF" localSheetId="7" hidden="1">{"'ridftotal'!$A$4:$S$27"}</definedName>
    <definedName name="ASDF" hidden="1">{"'ridftotal'!$A$4:$S$27"}</definedName>
    <definedName name="asdfs" localSheetId="2">'[113]Aug,02'!#REF!</definedName>
    <definedName name="asdfs" localSheetId="1">'[113]Aug,02'!#REF!</definedName>
    <definedName name="asdfs" localSheetId="4">'[113]Aug,02'!#REF!</definedName>
    <definedName name="asdfs" localSheetId="6">'[113]Aug,02'!#REF!</definedName>
    <definedName name="asdfs" localSheetId="5">'[113]Aug,02'!#REF!</definedName>
    <definedName name="asdfs" localSheetId="7">'[113]Aug,02'!#REF!</definedName>
    <definedName name="asdfs">'[113]Aug,02'!#REF!</definedName>
    <definedName name="ASDSAFAEGFesaFG" localSheetId="2">'[113]Aug,02'!#REF!</definedName>
    <definedName name="ASDSAFAEGFesaFG" localSheetId="1">'[113]Aug,02'!#REF!</definedName>
    <definedName name="ASDSAFAEGFesaFG" localSheetId="4">'[113]Aug,02'!#REF!</definedName>
    <definedName name="ASDSAFAEGFesaFG" localSheetId="6">'[113]Aug,02'!#REF!</definedName>
    <definedName name="ASDSAFAEGFesaFG" localSheetId="5">'[113]Aug,02'!#REF!</definedName>
    <definedName name="ASDSAFAEGFesaFG" localSheetId="7">'[113]Aug,02'!#REF!</definedName>
    <definedName name="ASDSAFAEGFesaFG">'[113]Aug,02'!#REF!</definedName>
    <definedName name="asf" localSheetId="2">#REF!</definedName>
    <definedName name="asf" localSheetId="0">#REF!</definedName>
    <definedName name="asf" localSheetId="1">#REF!</definedName>
    <definedName name="asf" localSheetId="4">#REF!</definedName>
    <definedName name="asf" localSheetId="6">#REF!</definedName>
    <definedName name="asf" localSheetId="5">#REF!</definedName>
    <definedName name="asf" localSheetId="7">#REF!</definedName>
    <definedName name="asf">#REF!</definedName>
    <definedName name="ASFDA" localSheetId="2" hidden="1">{"'ridftotal'!$A$4:$S$27"}</definedName>
    <definedName name="ASFDA" localSheetId="1" hidden="1">{"'ridftotal'!$A$4:$S$27"}</definedName>
    <definedName name="ASFDA" localSheetId="4" hidden="1">{"'ridftotal'!$A$4:$S$27"}</definedName>
    <definedName name="ASFDA" localSheetId="6" hidden="1">{"'ridftotal'!$A$4:$S$27"}</definedName>
    <definedName name="ASFDA" localSheetId="5" hidden="1">{"'ridftotal'!$A$4:$S$27"}</definedName>
    <definedName name="ASFDA" localSheetId="7" hidden="1">{"'ridftotal'!$A$4:$S$27"}</definedName>
    <definedName name="ASFDA" hidden="1">{"'ridftotal'!$A$4:$S$27"}</definedName>
    <definedName name="asha">#N/A</definedName>
    <definedName name="ASL" localSheetId="2">[115]DATA!#REF!</definedName>
    <definedName name="ASL" localSheetId="1">[115]DATA!#REF!</definedName>
    <definedName name="ASL" localSheetId="4">[115]DATA!#REF!</definedName>
    <definedName name="ASL" localSheetId="6">[115]DATA!#REF!</definedName>
    <definedName name="ASL" localSheetId="5">[115]DATA!#REF!</definedName>
    <definedName name="ASL" localSheetId="7">[115]DATA!#REF!</definedName>
    <definedName name="ASL">[115]DATA!#REF!</definedName>
    <definedName name="ASR" localSheetId="2">[115]DATA!#REF!</definedName>
    <definedName name="ASR" localSheetId="1">[115]DATA!#REF!</definedName>
    <definedName name="ASR" localSheetId="4">[115]DATA!#REF!</definedName>
    <definedName name="ASR" localSheetId="6">[115]DATA!#REF!</definedName>
    <definedName name="ASR" localSheetId="5">[115]DATA!#REF!</definedName>
    <definedName name="ASR" localSheetId="7">[115]DATA!#REF!</definedName>
    <definedName name="ASR">[115]DATA!#REF!</definedName>
    <definedName name="Assam_TW_flanks" localSheetId="2">[67]Material!#REF!</definedName>
    <definedName name="Assam_TW_flanks" localSheetId="1">[67]Material!#REF!</definedName>
    <definedName name="Assam_TW_flanks" localSheetId="4">[67]Material!#REF!</definedName>
    <definedName name="Assam_TW_flanks" localSheetId="6">[67]Material!#REF!</definedName>
    <definedName name="Assam_TW_flanks" localSheetId="5">[67]Material!#REF!</definedName>
    <definedName name="Assam_TW_flanks" localSheetId="7">[67]Material!#REF!</definedName>
    <definedName name="Assam_TW_flanks">[67]Material!#REF!</definedName>
    <definedName name="Assam_TW_frames" localSheetId="5">[67]Material!#REF!</definedName>
    <definedName name="Assam_TW_frames">[67]Material!#REF!</definedName>
    <definedName name="astyrewyreysrgtrey7ery" localSheetId="2">#REF!</definedName>
    <definedName name="astyrewyreysrgtrey7ery" localSheetId="1">#REF!</definedName>
    <definedName name="astyrewyreysrgtrey7ery" localSheetId="4">#REF!</definedName>
    <definedName name="astyrewyreysrgtrey7ery" localSheetId="6">#REF!</definedName>
    <definedName name="astyrewyreysrgtrey7ery" localSheetId="5">#REF!</definedName>
    <definedName name="astyrewyreysrgtrey7ery" localSheetId="7">#REF!</definedName>
    <definedName name="astyrewyreysrgtrey7ery">#REF!</definedName>
    <definedName name="ATACK" localSheetId="0">'[72]abs road'!$H$29</definedName>
    <definedName name="ATACK">'[73]abs road'!$H$29</definedName>
    <definedName name="avmonsrf" localSheetId="2">#REF!</definedName>
    <definedName name="avmonsrf" localSheetId="1">#REF!</definedName>
    <definedName name="avmonsrf" localSheetId="4">#REF!</definedName>
    <definedName name="avmonsrf" localSheetId="6">#REF!</definedName>
    <definedName name="avmonsrf" localSheetId="5">#REF!</definedName>
    <definedName name="avmonsrf" localSheetId="7">#REF!</definedName>
    <definedName name="avmonsrf">#REF!</definedName>
    <definedName name="AWBM2" localSheetId="2">#REF!</definedName>
    <definedName name="AWBM2" localSheetId="0">#REF!</definedName>
    <definedName name="AWBM2" localSheetId="1">#REF!</definedName>
    <definedName name="AWBM2" localSheetId="4">#REF!</definedName>
    <definedName name="AWBM2" localSheetId="6">#REF!</definedName>
    <definedName name="AWBM2" localSheetId="5">#REF!</definedName>
    <definedName name="AWBM2" localSheetId="7">#REF!</definedName>
    <definedName name="AWBM2">#REF!</definedName>
    <definedName name="AWBM3" localSheetId="0">#REF!</definedName>
    <definedName name="AWBM3" localSheetId="5">#REF!</definedName>
    <definedName name="AWBM3" localSheetId="7">#REF!</definedName>
    <definedName name="AWBM3">#REF!</definedName>
    <definedName name="ayacut" localSheetId="5">#REF!</definedName>
    <definedName name="ayacut" localSheetId="7">#REF!</definedName>
    <definedName name="ayacut">#REF!</definedName>
    <definedName name="ayacut_ha" localSheetId="5">#REF!</definedName>
    <definedName name="ayacut_ha" localSheetId="7">#REF!</definedName>
    <definedName name="ayacut_ha">#REF!</definedName>
    <definedName name="ayacut_ha_19" localSheetId="5">#REF!</definedName>
    <definedName name="ayacut_ha_19" localSheetId="7">#REF!</definedName>
    <definedName name="ayacut_ha_19">#REF!</definedName>
    <definedName name="ayacut_ha_2" localSheetId="5">#REF!</definedName>
    <definedName name="ayacut_ha_2" localSheetId="7">#REF!</definedName>
    <definedName name="ayacut_ha_2">#REF!</definedName>
    <definedName name="ayacut_ha_20" localSheetId="5">#REF!</definedName>
    <definedName name="ayacut_ha_20" localSheetId="7">#REF!</definedName>
    <definedName name="ayacut_ha_20">#REF!</definedName>
    <definedName name="ayacut_ha_21" localSheetId="5">#REF!</definedName>
    <definedName name="ayacut_ha_21" localSheetId="7">#REF!</definedName>
    <definedName name="ayacut_ha_21">#REF!</definedName>
    <definedName name="ayacut_ha_8" localSheetId="5">#REF!</definedName>
    <definedName name="ayacut_ha_8" localSheetId="7">#REF!</definedName>
    <definedName name="ayacut_ha_8">#REF!</definedName>
    <definedName name="ayacut_ha_paddy" localSheetId="5">#REF!</definedName>
    <definedName name="ayacut_ha_paddy" localSheetId="7">#REF!</definedName>
    <definedName name="ayacut_ha_paddy">#REF!</definedName>
    <definedName name="ayacut_ha_paddy_2" localSheetId="5">#REF!</definedName>
    <definedName name="ayacut_ha_paddy_2" localSheetId="7">#REF!</definedName>
    <definedName name="ayacut_ha_paddy_2">#REF!</definedName>
    <definedName name="ayacut_ha_paddy_8" localSheetId="5">#REF!</definedName>
    <definedName name="ayacut_ha_paddy_8" localSheetId="7">#REF!</definedName>
    <definedName name="ayacut_ha_paddy_8">#REF!</definedName>
    <definedName name="ayacut1" localSheetId="0">#REF!</definedName>
    <definedName name="ayacut1" localSheetId="5">#REF!</definedName>
    <definedName name="ayacut1" localSheetId="7">#REF!</definedName>
    <definedName name="ayacut1">#REF!</definedName>
    <definedName name="ayacut1_19" localSheetId="2">#REF!</definedName>
    <definedName name="ayacut1_19" localSheetId="1">#REF!</definedName>
    <definedName name="ayacut1_19" localSheetId="4">#REF!</definedName>
    <definedName name="ayacut1_19" localSheetId="6">#REF!</definedName>
    <definedName name="ayacut1_19" localSheetId="5">#REF!</definedName>
    <definedName name="ayacut1_19" localSheetId="7">#REF!</definedName>
    <definedName name="ayacut1_19">#REF!</definedName>
    <definedName name="ayacut1_20" localSheetId="5">#REF!</definedName>
    <definedName name="ayacut1_20" localSheetId="7">#REF!</definedName>
    <definedName name="ayacut1_20">#REF!</definedName>
    <definedName name="ayacut1_21" localSheetId="5">#REF!</definedName>
    <definedName name="ayacut1_21" localSheetId="7">#REF!</definedName>
    <definedName name="ayacut1_21">#REF!</definedName>
    <definedName name="ayacut2" localSheetId="0">#REF!</definedName>
    <definedName name="ayacut2" localSheetId="5">#REF!</definedName>
    <definedName name="ayacut2" localSheetId="7">#REF!</definedName>
    <definedName name="ayacut2">#REF!</definedName>
    <definedName name="ayacut2_19" localSheetId="2">#REF!</definedName>
    <definedName name="ayacut2_19" localSheetId="1">#REF!</definedName>
    <definedName name="ayacut2_19" localSheetId="4">#REF!</definedName>
    <definedName name="ayacut2_19" localSheetId="6">#REF!</definedName>
    <definedName name="ayacut2_19" localSheetId="5">#REF!</definedName>
    <definedName name="ayacut2_19" localSheetId="7">#REF!</definedName>
    <definedName name="ayacut2_19">#REF!</definedName>
    <definedName name="ayacut2_2" localSheetId="2">[116]total_demand!#REF!</definedName>
    <definedName name="ayacut2_2" localSheetId="0">[117]total_demand!#REF!</definedName>
    <definedName name="ayacut2_2" localSheetId="1">[116]total_demand!#REF!</definedName>
    <definedName name="ayacut2_2" localSheetId="4">[116]total_demand!#REF!</definedName>
    <definedName name="ayacut2_2" localSheetId="6">[116]total_demand!#REF!</definedName>
    <definedName name="ayacut2_2" localSheetId="5">[116]total_demand!#REF!</definedName>
    <definedName name="ayacut2_2" localSheetId="7">[116]total_demand!#REF!</definedName>
    <definedName name="ayacut2_2">[116]total_demand!#REF!</definedName>
    <definedName name="ayacut2_20" localSheetId="2">#REF!</definedName>
    <definedName name="ayacut2_20" localSheetId="0">#REF!</definedName>
    <definedName name="ayacut2_20" localSheetId="1">#REF!</definedName>
    <definedName name="ayacut2_20" localSheetId="4">#REF!</definedName>
    <definedName name="ayacut2_20" localSheetId="6">#REF!</definedName>
    <definedName name="ayacut2_20" localSheetId="5">#REF!</definedName>
    <definedName name="ayacut2_20" localSheetId="7">#REF!</definedName>
    <definedName name="ayacut2_20">#REF!</definedName>
    <definedName name="ayacut2_21" localSheetId="2">#REF!</definedName>
    <definedName name="ayacut2_21" localSheetId="1">#REF!</definedName>
    <definedName name="ayacut2_21" localSheetId="4">#REF!</definedName>
    <definedName name="ayacut2_21" localSheetId="6">#REF!</definedName>
    <definedName name="ayacut2_21" localSheetId="5">#REF!</definedName>
    <definedName name="ayacut2_21" localSheetId="7">#REF!</definedName>
    <definedName name="ayacut2_21">#REF!</definedName>
    <definedName name="ayacut2_8" localSheetId="2">[118]total_demand!#REF!</definedName>
    <definedName name="ayacut2_8" localSheetId="0">[119]total_demand!#REF!</definedName>
    <definedName name="ayacut2_8" localSheetId="1">[118]total_demand!#REF!</definedName>
    <definedName name="ayacut2_8" localSheetId="4">[118]total_demand!#REF!</definedName>
    <definedName name="ayacut2_8" localSheetId="6">[118]total_demand!#REF!</definedName>
    <definedName name="ayacut2_8" localSheetId="5">[118]total_demand!#REF!</definedName>
    <definedName name="ayacut2_8" localSheetId="7">[118]total_demand!#REF!</definedName>
    <definedName name="ayacut2_8">[118]total_demand!#REF!</definedName>
    <definedName name="ayacut2_9" localSheetId="2">[120]total_demand!#REF!</definedName>
    <definedName name="ayacut2_9" localSheetId="0">[121]total_demand!#REF!</definedName>
    <definedName name="ayacut2_9" localSheetId="1">[120]total_demand!#REF!</definedName>
    <definedName name="ayacut2_9" localSheetId="4">[120]total_demand!#REF!</definedName>
    <definedName name="ayacut2_9" localSheetId="6">[120]total_demand!#REF!</definedName>
    <definedName name="ayacut2_9" localSheetId="5">[120]total_demand!#REF!</definedName>
    <definedName name="ayacut2_9" localSheetId="7">[120]total_demand!#REF!</definedName>
    <definedName name="ayacut2_9">[120]total_demand!#REF!</definedName>
    <definedName name="ayacut3" localSheetId="2">#REF!</definedName>
    <definedName name="ayacut3" localSheetId="0">#REF!</definedName>
    <definedName name="ayacut3" localSheetId="1">#REF!</definedName>
    <definedName name="ayacut3" localSheetId="4">#REF!</definedName>
    <definedName name="ayacut3" localSheetId="6">#REF!</definedName>
    <definedName name="ayacut3" localSheetId="5">#REF!</definedName>
    <definedName name="ayacut3" localSheetId="7">#REF!</definedName>
    <definedName name="ayacut3">#REF!</definedName>
    <definedName name="ayacut3_19" localSheetId="2">#REF!</definedName>
    <definedName name="ayacut3_19" localSheetId="1">#REF!</definedName>
    <definedName name="ayacut3_19" localSheetId="4">#REF!</definedName>
    <definedName name="ayacut3_19" localSheetId="6">#REF!</definedName>
    <definedName name="ayacut3_19" localSheetId="5">#REF!</definedName>
    <definedName name="ayacut3_19" localSheetId="7">#REF!</definedName>
    <definedName name="ayacut3_19">#REF!</definedName>
    <definedName name="ayacut3_2" localSheetId="2">[116]total_demand!#REF!</definedName>
    <definedName name="ayacut3_2" localSheetId="0">[117]total_demand!#REF!</definedName>
    <definedName name="ayacut3_2" localSheetId="1">[116]total_demand!#REF!</definedName>
    <definedName name="ayacut3_2" localSheetId="4">[116]total_demand!#REF!</definedName>
    <definedName name="ayacut3_2" localSheetId="6">[116]total_demand!#REF!</definedName>
    <definedName name="ayacut3_2" localSheetId="5">[116]total_demand!#REF!</definedName>
    <definedName name="ayacut3_2" localSheetId="7">[116]total_demand!#REF!</definedName>
    <definedName name="ayacut3_2">[116]total_demand!#REF!</definedName>
    <definedName name="ayacut3_20" localSheetId="2">#REF!</definedName>
    <definedName name="ayacut3_20" localSheetId="0">#REF!</definedName>
    <definedName name="ayacut3_20" localSheetId="1">#REF!</definedName>
    <definedName name="ayacut3_20" localSheetId="4">#REF!</definedName>
    <definedName name="ayacut3_20" localSheetId="6">#REF!</definedName>
    <definedName name="ayacut3_20" localSheetId="5">#REF!</definedName>
    <definedName name="ayacut3_20" localSheetId="7">#REF!</definedName>
    <definedName name="ayacut3_20">#REF!</definedName>
    <definedName name="ayacut3_21" localSheetId="2">#REF!</definedName>
    <definedName name="ayacut3_21" localSheetId="1">#REF!</definedName>
    <definedName name="ayacut3_21" localSheetId="4">#REF!</definedName>
    <definedName name="ayacut3_21" localSheetId="6">#REF!</definedName>
    <definedName name="ayacut3_21" localSheetId="5">#REF!</definedName>
    <definedName name="ayacut3_21" localSheetId="7">#REF!</definedName>
    <definedName name="ayacut3_21">#REF!</definedName>
    <definedName name="ayacut3_8" localSheetId="2">[118]total_demand!#REF!</definedName>
    <definedName name="ayacut3_8" localSheetId="0">[119]total_demand!#REF!</definedName>
    <definedName name="ayacut3_8" localSheetId="1">[118]total_demand!#REF!</definedName>
    <definedName name="ayacut3_8" localSheetId="4">[118]total_demand!#REF!</definedName>
    <definedName name="ayacut3_8" localSheetId="6">[118]total_demand!#REF!</definedName>
    <definedName name="ayacut3_8" localSheetId="5">[118]total_demand!#REF!</definedName>
    <definedName name="ayacut3_8" localSheetId="7">[118]total_demand!#REF!</definedName>
    <definedName name="ayacut3_8">[118]total_demand!#REF!</definedName>
    <definedName name="ayacut3_9" localSheetId="2">[120]total_demand!#REF!</definedName>
    <definedName name="ayacut3_9" localSheetId="0">[121]total_demand!#REF!</definedName>
    <definedName name="ayacut3_9" localSheetId="1">[120]total_demand!#REF!</definedName>
    <definedName name="ayacut3_9" localSheetId="4">[120]total_demand!#REF!</definedName>
    <definedName name="ayacut3_9" localSheetId="6">[120]total_demand!#REF!</definedName>
    <definedName name="ayacut3_9" localSheetId="5">[120]total_demand!#REF!</definedName>
    <definedName name="ayacut3_9" localSheetId="7">[120]total_demand!#REF!</definedName>
    <definedName name="ayacut3_9">[120]total_demand!#REF!</definedName>
    <definedName name="b" localSheetId="4">#REF!</definedName>
    <definedName name="B" localSheetId="5">#REF!</definedName>
    <definedName name="b" localSheetId="7">#REF!</definedName>
    <definedName name="b">#REF!</definedName>
    <definedName name="b_2">#N/A</definedName>
    <definedName name="b_35">#N/A</definedName>
    <definedName name="balsheet">#REF!</definedName>
    <definedName name="bb" localSheetId="2">'[122]Aug,02'!#REF!</definedName>
    <definedName name="bb" localSheetId="1">'[122]Aug,02'!#REF!</definedName>
    <definedName name="bb" localSheetId="4">'[122]Aug,02'!#REF!</definedName>
    <definedName name="bb" localSheetId="6">'[122]Aug,02'!#REF!</definedName>
    <definedName name="bb" localSheetId="5">'[122]Aug,02'!#REF!</definedName>
    <definedName name="bb">'[122]Aug,02'!#REF!</definedName>
    <definedName name="bbb" localSheetId="2">#REF!</definedName>
    <definedName name="bbb" localSheetId="1">#REF!</definedName>
    <definedName name="bbb" localSheetId="4">#REF!</definedName>
    <definedName name="bbb" localSheetId="6">#REF!</definedName>
    <definedName name="bbb" localSheetId="5">#REF!</definedName>
    <definedName name="bbb" localSheetId="7">#REF!</definedName>
    <definedName name="bbb">#REF!</definedName>
    <definedName name="bbbbb" localSheetId="2">#REF!</definedName>
    <definedName name="bbbbb" localSheetId="1">#REF!</definedName>
    <definedName name="bbbbb" localSheetId="4">#REF!</definedName>
    <definedName name="bbbbb" localSheetId="6">#REF!</definedName>
    <definedName name="bbbbb" localSheetId="5">#REF!</definedName>
    <definedName name="bbbbb" localSheetId="7">#REF!</definedName>
    <definedName name="bbbbb">#REF!</definedName>
    <definedName name="bbn">#N/A</definedName>
    <definedName name="bc" localSheetId="0">#REF!</definedName>
    <definedName name="bc" localSheetId="5">#REF!</definedName>
    <definedName name="bc" localSheetId="7">#REF!</definedName>
    <definedName name="bc">#REF!</definedName>
    <definedName name="bcde" localSheetId="5">#REF!</definedName>
    <definedName name="bcde" localSheetId="7">#REF!</definedName>
    <definedName name="bcde">#REF!</definedName>
    <definedName name="bdfbsdf">#REF!</definedName>
    <definedName name="BE" localSheetId="4">#REF!</definedName>
    <definedName name="BE" localSheetId="5">#REF!</definedName>
    <definedName name="BE" localSheetId="7">#REF!</definedName>
    <definedName name="BE">#REF!</definedName>
    <definedName name="below_above_gl">'[123]data existing_do not delete'!$A$94:$A$95</definedName>
    <definedName name="Benching__chiselling__wedging_and_boring_in_rock_in_foundation_grade_levelling." localSheetId="2">#REF!</definedName>
    <definedName name="Benching__chiselling__wedging_and_boring_in_rock_in_foundation_grade_levelling." localSheetId="1">#REF!</definedName>
    <definedName name="Benching__chiselling__wedging_and_boring_in_rock_in_foundation_grade_levelling." localSheetId="4">#REF!</definedName>
    <definedName name="Benching__chiselling__wedging_and_boring_in_rock_in_foundation_grade_levelling." localSheetId="6">#REF!</definedName>
    <definedName name="Benching__chiselling__wedging_and_boring_in_rock_in_foundation_grade_levelling." localSheetId="5">#REF!</definedName>
    <definedName name="Benching__chiselling__wedging_and_boring_in_rock_in_foundation_grade_levelling." localSheetId="7">#REF!</definedName>
    <definedName name="Benching__chiselling__wedging_and_boring_in_rock_in_foundation_grade_levelling.">#REF!</definedName>
    <definedName name="Berm">#REF!</definedName>
    <definedName name="Bethamcherla_stone_25.4mm" localSheetId="2">[67]Material!#REF!</definedName>
    <definedName name="Bethamcherla_stone_25.4mm" localSheetId="1">[67]Material!#REF!</definedName>
    <definedName name="Bethamcherla_stone_25.4mm" localSheetId="4">[67]Material!#REF!</definedName>
    <definedName name="Bethamcherla_stone_25.4mm" localSheetId="6">[67]Material!#REF!</definedName>
    <definedName name="Bethamcherla_stone_25.4mm" localSheetId="5">[67]Material!#REF!</definedName>
    <definedName name="Bethamcherla_stone_25.4mm" localSheetId="7">[67]Material!#REF!</definedName>
    <definedName name="Bethamcherla_stone_25.4mm">[67]Material!#REF!</definedName>
    <definedName name="Bethamcherla_stone_25.4mm_colour" localSheetId="2">[67]Material!#REF!</definedName>
    <definedName name="Bethamcherla_stone_25.4mm_colour" localSheetId="1">[67]Material!#REF!</definedName>
    <definedName name="Bethamcherla_stone_25.4mm_colour" localSheetId="4">[67]Material!#REF!</definedName>
    <definedName name="Bethamcherla_stone_25.4mm_colour" localSheetId="6">[67]Material!#REF!</definedName>
    <definedName name="Bethamcherla_stone_25.4mm_colour" localSheetId="5">[67]Material!#REF!</definedName>
    <definedName name="Bethamcherla_stone_25.4mm_colour" localSheetId="7">[67]Material!#REF!</definedName>
    <definedName name="Bethamcherla_stone_25.4mm_colour">[67]Material!#REF!</definedName>
    <definedName name="bf" localSheetId="2">#REF!</definedName>
    <definedName name="bf" localSheetId="1">#REF!</definedName>
    <definedName name="bf" localSheetId="4">#REF!</definedName>
    <definedName name="bf" localSheetId="6">#REF!</definedName>
    <definedName name="bf" localSheetId="5">#REF!</definedName>
    <definedName name="bf" localSheetId="7">#REF!</definedName>
    <definedName name="bf">#REF!</definedName>
    <definedName name="BFall">#REF!</definedName>
    <definedName name="Bitumen_Boilor">[66]Usage!$C$24</definedName>
    <definedName name="BITUMEN_TRUNK_ROAD_SECTIONS">'[101]Bitumen trunk'!$A$1:$L$198</definedName>
    <definedName name="bjkhk">[124]Material!$D$54</definedName>
    <definedName name="BLAST" localSheetId="0">[52]MRATES!$J$16</definedName>
    <definedName name="BLAST" localSheetId="4">[7]Sheet1!$C$16</definedName>
    <definedName name="BLAST">[53]MRATES!$J$16</definedName>
    <definedName name="blast1" localSheetId="0">[125]r!$F$29</definedName>
    <definedName name="BLAST1">[7]Sheet1!$C$16</definedName>
    <definedName name="blast2" localSheetId="0">[125]r!$F$29</definedName>
    <definedName name="BLAST2" localSheetId="4">[7]Sheet1!$C$18</definedName>
    <definedName name="BLAST2">[53]MRATES!$J$18</definedName>
    <definedName name="BLAST3" localSheetId="0">[52]MRATES!$J$17</definedName>
    <definedName name="BLAST3" localSheetId="4">[7]Sheet1!$C$17</definedName>
    <definedName name="BLAST3">[53]MRATES!$J$17</definedName>
    <definedName name="blastch" localSheetId="0">[126]ssr200809!$D$32</definedName>
    <definedName name="blastch">[127]ssr200809!$D$32</definedName>
    <definedName name="Blasting" localSheetId="2">#REF!</definedName>
    <definedName name="Blasting" localSheetId="1">#REF!</definedName>
    <definedName name="Blasting" localSheetId="4">#REF!</definedName>
    <definedName name="Blasting" localSheetId="6">#REF!</definedName>
    <definedName name="Blasting" localSheetId="5">#REF!</definedName>
    <definedName name="Blasting" localSheetId="7">#REF!</definedName>
    <definedName name="Blasting">#REF!</definedName>
    <definedName name="Bls">#REF!</definedName>
    <definedName name="bo" localSheetId="5">#REF!</definedName>
    <definedName name="bo" localSheetId="7">#REF!</definedName>
    <definedName name="bo">#REF!</definedName>
    <definedName name="BoltsNuts">[61]maya!$B$376:$B$381</definedName>
    <definedName name="BOND600" localSheetId="0">[52]MRATES!$G$12</definedName>
    <definedName name="BOND600" localSheetId="4">[7]Sheet1!$I$11</definedName>
    <definedName name="BOND600">[53]MRATES!$G$12</definedName>
    <definedName name="boo" localSheetId="2">#REF!</definedName>
    <definedName name="boo" localSheetId="1">#REF!</definedName>
    <definedName name="boo" localSheetId="4">#REF!</definedName>
    <definedName name="boo" localSheetId="6">#REF!</definedName>
    <definedName name="boo" localSheetId="5">#REF!</definedName>
    <definedName name="boo" localSheetId="7">#REF!</definedName>
    <definedName name="boo">#REF!</definedName>
    <definedName name="BOTTOMDOMEONETOSIX" localSheetId="5">#REF!</definedName>
    <definedName name="BOTTOMDOMEONETOSIX" localSheetId="7">#REF!</definedName>
    <definedName name="BOTTOMDOMEONETOSIX">#REF!</definedName>
    <definedName name="BOTTOMDOMESIXTOTHIRTEEN" localSheetId="5">#REF!</definedName>
    <definedName name="BOTTOMDOMESIXTOTHIRTEEN" localSheetId="7">#REF!</definedName>
    <definedName name="BOTTOMDOMESIXTOTHIRTEEN">#REF!</definedName>
    <definedName name="BOTTOMRINGGIRDERONETOSIX" localSheetId="5">#REF!</definedName>
    <definedName name="BOTTOMRINGGIRDERONETOSIX" localSheetId="7">#REF!</definedName>
    <definedName name="BOTTOMRINGGIRDERONETOSIX">#REF!</definedName>
    <definedName name="BOTTOMRINGGIRDERSEVENTOTHIRTEEN" localSheetId="5">#REF!</definedName>
    <definedName name="BOTTOMRINGGIRDERSEVENTOTHIRTEEN" localSheetId="7">#REF!</definedName>
    <definedName name="BOTTOMRINGGIRDERSEVENTOTHIRTEEN">#REF!</definedName>
    <definedName name="BPCASH">#REF!</definedName>
    <definedName name="BPCASH1">#REF!</definedName>
    <definedName name="brick" localSheetId="5">#REF!</definedName>
    <definedName name="brick" localSheetId="7">#REF!</definedName>
    <definedName name="brick">#REF!</definedName>
    <definedName name="bricks" localSheetId="2">[67]RMR!#REF!</definedName>
    <definedName name="bricks" localSheetId="1">[67]RMR!#REF!</definedName>
    <definedName name="bricks" localSheetId="4">[67]RMR!#REF!</definedName>
    <definedName name="bricks" localSheetId="6">[67]RMR!#REF!</definedName>
    <definedName name="bricks" localSheetId="5">[67]RMR!#REF!</definedName>
    <definedName name="bricks">[67]RMR!#REF!</definedName>
    <definedName name="Bricks_23_11_7cm_2nd_class" localSheetId="2">#REF!</definedName>
    <definedName name="Bricks_23_11_7cm_2nd_class" localSheetId="1">#REF!</definedName>
    <definedName name="Bricks_23_11_7cm_2nd_class" localSheetId="4">#REF!</definedName>
    <definedName name="Bricks_23_11_7cm_2nd_class" localSheetId="6">#REF!</definedName>
    <definedName name="Bricks_23_11_7cm_2nd_class" localSheetId="5">#REF!</definedName>
    <definedName name="Bricks_23_11_7cm_2nd_class" localSheetId="7">#REF!</definedName>
    <definedName name="Bricks_23_11_7cm_2nd_class">#REF!</definedName>
    <definedName name="Bricks_Tiles" localSheetId="2">[67]General!#REF!</definedName>
    <definedName name="Bricks_Tiles" localSheetId="1">[67]General!#REF!</definedName>
    <definedName name="Bricks_Tiles" localSheetId="4">[67]General!#REF!</definedName>
    <definedName name="Bricks_Tiles" localSheetId="6">[67]General!#REF!</definedName>
    <definedName name="Bricks_Tiles" localSheetId="5">[67]General!#REF!</definedName>
    <definedName name="Bricks_Tiles" localSheetId="7">[67]General!#REF!</definedName>
    <definedName name="Bricks_Tiles">[67]General!#REF!</definedName>
    <definedName name="Brm1max" localSheetId="0">#REF!</definedName>
    <definedName name="Brm1max">#REF!</definedName>
    <definedName name="Brm1min" localSheetId="0">#REF!</definedName>
    <definedName name="Brm1min">#REF!</definedName>
    <definedName name="Brm2max" localSheetId="0">#REF!</definedName>
    <definedName name="Brm2max">#REF!</definedName>
    <definedName name="Brm2min">#REF!</definedName>
    <definedName name="Brm3max">#REF!</definedName>
    <definedName name="Brm3min">#REF!</definedName>
    <definedName name="Brm4max">#REF!</definedName>
    <definedName name="Brm4min">#REF!</definedName>
    <definedName name="Brm5max">#REF!</definedName>
    <definedName name="Brm5min">#REF!</definedName>
    <definedName name="Brm6max">#REF!</definedName>
    <definedName name="Brm6min">#REF!</definedName>
    <definedName name="Brs">#REF!</definedName>
    <definedName name="bs" localSheetId="2">#REF!</definedName>
    <definedName name="bs" localSheetId="1">#REF!</definedName>
    <definedName name="bs" localSheetId="4">#REF!</definedName>
    <definedName name="bs" localSheetId="6">#REF!</definedName>
    <definedName name="bs" localSheetId="5">#REF!</definedName>
    <definedName name="bs" localSheetId="7">#REF!</definedName>
    <definedName name="bs">#REF!</definedName>
    <definedName name="BS600_">[7]Sheet1!$I$11</definedName>
    <definedName name="BSG" localSheetId="2">[128]Abs!#REF!</definedName>
    <definedName name="BSG" localSheetId="1">[128]Abs!#REF!</definedName>
    <definedName name="BSG" localSheetId="4">[128]Abs!#REF!</definedName>
    <definedName name="BSG" localSheetId="6">[128]Abs!#REF!</definedName>
    <definedName name="BSG" localSheetId="5">[128]Abs!#REF!</definedName>
    <definedName name="BSG" localSheetId="7">[128]Abs!#REF!</definedName>
    <definedName name="BSG">[128]Abs!#REF!</definedName>
    <definedName name="bsi" localSheetId="2">#REF!</definedName>
    <definedName name="bsi" localSheetId="0">#REF!</definedName>
    <definedName name="bsi" localSheetId="1">#REF!</definedName>
    <definedName name="bsi" localSheetId="4">#REF!</definedName>
    <definedName name="bsi" localSheetId="6">#REF!</definedName>
    <definedName name="bsi" localSheetId="5">#REF!</definedName>
    <definedName name="bsi" localSheetId="7">#REF!</definedName>
    <definedName name="bsi">#REF!</definedName>
    <definedName name="bso" localSheetId="2">#REF!</definedName>
    <definedName name="bso" localSheetId="1">#REF!</definedName>
    <definedName name="bso" localSheetId="4">#REF!</definedName>
    <definedName name="bso" localSheetId="6">#REF!</definedName>
    <definedName name="bso" localSheetId="5">#REF!</definedName>
    <definedName name="bso" localSheetId="7">#REF!</definedName>
    <definedName name="bso">#REF!</definedName>
    <definedName name="Bssc">#REF!</definedName>
    <definedName name="BTL" localSheetId="0">'[103]MTC-estimate'!$C$7</definedName>
    <definedName name="BTL">'[104]MTC-estimate'!$C$7</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lk">[66]General!$K$3</definedName>
    <definedName name="Bund_uantities" localSheetId="2">#REF!</definedName>
    <definedName name="Bund_uantities" localSheetId="1">#REF!</definedName>
    <definedName name="Bund_uantities" localSheetId="4">#REF!</definedName>
    <definedName name="Bund_uantities" localSheetId="6">#REF!</definedName>
    <definedName name="Bund_uantities" localSheetId="5">#REF!</definedName>
    <definedName name="Bund_uantities" localSheetId="7">#REF!</definedName>
    <definedName name="Bund_uantities">#REF!</definedName>
    <definedName name="bund14" localSheetId="2">#REF!</definedName>
    <definedName name="bund14" localSheetId="1">#REF!</definedName>
    <definedName name="bund14" localSheetId="4">#REF!</definedName>
    <definedName name="bund14" localSheetId="6">#REF!</definedName>
    <definedName name="bund14" localSheetId="5">#REF!</definedName>
    <definedName name="bund14" localSheetId="7">#REF!</definedName>
    <definedName name="bund14">#REF!</definedName>
    <definedName name="bunddeatails" localSheetId="2">OFFSET(#REF!,0,0,COUNTA(#REF!)-COUNTBLANK(#REF!),1)</definedName>
    <definedName name="bunddeatails" localSheetId="1">OFFSET(#REF!,0,0,COUNTA(#REF!)-COUNTBLANK(#REF!),1)</definedName>
    <definedName name="bunddeatails" localSheetId="4">OFFSET(#REF!,0,0,COUNTA(#REF!)-COUNTBLANK(#REF!),1)</definedName>
    <definedName name="bunddeatails" localSheetId="6">OFFSET(#REF!,0,0,COUNTA(#REF!)-COUNTBLANK(#REF!),1)</definedName>
    <definedName name="bunddeatails" localSheetId="5">OFFSET(#REF!,0,0,COUNTA(#REF!)-COUNTBLANK(#REF!),1)</definedName>
    <definedName name="bunddeatails" localSheetId="7">OFFSET(#REF!,0,0,COUNTA(#REF!)-COUNTBLANK(#REF!),1)</definedName>
    <definedName name="bunddeatails">OFFSET(#REF!,0,0,COUNTA(#REF!)-COUNTBLANK(#REF!),1)</definedName>
    <definedName name="Button_2">"Physical_Progress_Daily_Financial_List"</definedName>
    <definedName name="BW" localSheetId="2">#REF!</definedName>
    <definedName name="BW" localSheetId="0">#REF!</definedName>
    <definedName name="BW" localSheetId="1">#REF!</definedName>
    <definedName name="BW" localSheetId="4">#REF!</definedName>
    <definedName name="BW" localSheetId="6">#REF!</definedName>
    <definedName name="BW" localSheetId="5">#REF!</definedName>
    <definedName name="BW" localSheetId="7">#REF!</definedName>
    <definedName name="BW">#REF!</definedName>
    <definedName name="bwcanal1" localSheetId="2">#REF!</definedName>
    <definedName name="bwcanal1" localSheetId="1">#REF!</definedName>
    <definedName name="bwcanal1" localSheetId="4">#REF!</definedName>
    <definedName name="bwcanal1" localSheetId="6">#REF!</definedName>
    <definedName name="bwcanal1" localSheetId="5">#REF!</definedName>
    <definedName name="bwcanal1" localSheetId="7">#REF!</definedName>
    <definedName name="bwcanal1">#REF!</definedName>
    <definedName name="bwcanal2" localSheetId="5">#REF!</definedName>
    <definedName name="bwcanal2" localSheetId="7">#REF!</definedName>
    <definedName name="bwcanal2">#REF!</definedName>
    <definedName name="bwcanal3" localSheetId="5">#REF!</definedName>
    <definedName name="bwcanal3" localSheetId="7">#REF!</definedName>
    <definedName name="bwcanal3">#REF!</definedName>
    <definedName name="bwdw">'[129]Ch_9_ 1.00mt Drop'!$H$35</definedName>
    <definedName name="BWIRE" localSheetId="0">[52]MRATES!$P$52</definedName>
    <definedName name="BWIRE" localSheetId="4">[43]MRATES!$T$19</definedName>
    <definedName name="BWIRE">[53]MRATES!$P$52</definedName>
    <definedName name="bwu">'[129]Ch_9_ 1.00mt Drop'!$F$7</definedName>
    <definedName name="bx" localSheetId="2">#REF!</definedName>
    <definedName name="bx" localSheetId="1">#REF!</definedName>
    <definedName name="bx" localSheetId="4">#REF!</definedName>
    <definedName name="bx" localSheetId="6">#REF!</definedName>
    <definedName name="bx" localSheetId="5">#REF!</definedName>
    <definedName name="bx" localSheetId="7">#REF!</definedName>
    <definedName name="bx">#REF!</definedName>
    <definedName name="c.c136">[130]Sheet1!$A$19:$A$22</definedName>
    <definedName name="CA_LC">'[131]Data '!#REF!</definedName>
    <definedName name="CA_Lead_KM">'[132]Lead statement'!$F$10</definedName>
    <definedName name="CANTILEVERONETOSIX" localSheetId="2">#REF!</definedName>
    <definedName name="CANTILEVERONETOSIX" localSheetId="1">#REF!</definedName>
    <definedName name="CANTILEVERONETOSIX" localSheetId="4">#REF!</definedName>
    <definedName name="CANTILEVERONETOSIX" localSheetId="6">#REF!</definedName>
    <definedName name="CANTILEVERONETOSIX" localSheetId="5">#REF!</definedName>
    <definedName name="CANTILEVERONETOSIX" localSheetId="7">#REF!</definedName>
    <definedName name="CANTILEVERONETOSIX">#REF!</definedName>
    <definedName name="CANTILEVERSEVENTOTHIRTEEN" localSheetId="5">#REF!</definedName>
    <definedName name="CANTILEVERSEVENTOTHIRTEEN" localSheetId="7">#REF!</definedName>
    <definedName name="CANTILEVERSEVENTOTHIRTEEN">#REF!</definedName>
    <definedName name="CAPACITY_TABLE" localSheetId="0">#REF!</definedName>
    <definedName name="CAPACITY_TABLE" localSheetId="5">#REF!</definedName>
    <definedName name="CAPACITY_TABLE" localSheetId="7">#REF!</definedName>
    <definedName name="CAPACITY_TABLE">#REF!</definedName>
    <definedName name="caparea" localSheetId="5">#REF!</definedName>
    <definedName name="caparea" localSheetId="7">#REF!</definedName>
    <definedName name="caparea">#REF!</definedName>
    <definedName name="Caparrl" localSheetId="5">#REF!</definedName>
    <definedName name="Caparrl" localSheetId="7">#REF!</definedName>
    <definedName name="Caparrl">#REF!</definedName>
    <definedName name="CAPARRLTAB" localSheetId="5">#REF!</definedName>
    <definedName name="CAPARRLTAB" localSheetId="7">#REF!</definedName>
    <definedName name="CAPARRLTAB">#REF!</definedName>
    <definedName name="caplevel" localSheetId="5">#REF!</definedName>
    <definedName name="caplevel" localSheetId="7">#REF!</definedName>
    <definedName name="caplevel">#REF!</definedName>
    <definedName name="CAR">#REF!</definedName>
    <definedName name="cashflow">#REF!</definedName>
    <definedName name="CasingRto" localSheetId="0">[55]CONST!$K$61</definedName>
    <definedName name="CasingRto">[85]CONST!$K$61</definedName>
    <definedName name="CasingRto2" localSheetId="0">[55]CONST!$U$61</definedName>
    <definedName name="CasingRto2">[85]CONST!$U$61</definedName>
    <definedName name="cavmajor">#REF!</definedName>
    <definedName name="cavnorth">#REF!</definedName>
    <definedName name="cavsouth">#REF!</definedName>
    <definedName name="cavsum">#REF!</definedName>
    <definedName name="cavthcm">#REF!</definedName>
    <definedName name="cavwater">#REF!</definedName>
    <definedName name="caw_1_2">#REF!</definedName>
    <definedName name="CBL" localSheetId="2">#REF!</definedName>
    <definedName name="CBL" localSheetId="1">#REF!</definedName>
    <definedName name="CBL" localSheetId="4">#REF!</definedName>
    <definedName name="CBL" localSheetId="6">#REF!</definedName>
    <definedName name="CBL" localSheetId="5">#REF!</definedName>
    <definedName name="CBL" localSheetId="7">#REF!</definedName>
    <definedName name="CBL">#REF!</definedName>
    <definedName name="cbld">'[129]Ch_9_ 1.00mt Drop'!$H$10</definedName>
    <definedName name="cbld1">'[51]Ch13.00 1Mt Drop'!$H$10</definedName>
    <definedName name="cbld2">'[51]15_Design_1.0M_Drop'!$H$10</definedName>
    <definedName name="CBLround" localSheetId="0">#REF!</definedName>
    <definedName name="CBLround">#REF!</definedName>
    <definedName name="cblu">'[129]Ch_9_ 1.00mt Drop'!$F$10</definedName>
    <definedName name="cblu1">'[51]Ch13.00 1Mt Drop'!$F$10</definedName>
    <definedName name="cblu2">'[51]15_Design_1.0M_Drop'!$F$10</definedName>
    <definedName name="CBTW" localSheetId="2">#REF!</definedName>
    <definedName name="CBTW" localSheetId="1">#REF!</definedName>
    <definedName name="CBTW" localSheetId="4">#REF!</definedName>
    <definedName name="CBTW" localSheetId="6">#REF!</definedName>
    <definedName name="CBTW" localSheetId="5">#REF!</definedName>
    <definedName name="CBTW" localSheetId="7">#REF!</definedName>
    <definedName name="CBTW">#REF!</definedName>
    <definedName name="CBTWL" localSheetId="2">#REF!</definedName>
    <definedName name="CBTWL" localSheetId="1">#REF!</definedName>
    <definedName name="CBTWL" localSheetId="4">#REF!</definedName>
    <definedName name="CBTWL" localSheetId="6">#REF!</definedName>
    <definedName name="CBTWL" localSheetId="5">#REF!</definedName>
    <definedName name="CBTWL" localSheetId="7">#REF!</definedName>
    <definedName name="CBTWL">#REF!</definedName>
    <definedName name="CBTWR" localSheetId="5">#REF!</definedName>
    <definedName name="CBTWR" localSheetId="7">#REF!</definedName>
    <definedName name="CBTWR">#REF!</definedName>
    <definedName name="CBW" localSheetId="5">#REF!</definedName>
    <definedName name="CBW" localSheetId="7">#REF!</definedName>
    <definedName name="CBW">#REF!</definedName>
    <definedName name="cc" localSheetId="2">'[122]Aug,02'!#REF!</definedName>
    <definedName name="cc" localSheetId="1">'[122]Aug,02'!#REF!</definedName>
    <definedName name="cc" localSheetId="4">'[122]Aug,02'!#REF!</definedName>
    <definedName name="cc" localSheetId="6">'[122]Aug,02'!#REF!</definedName>
    <definedName name="cc" localSheetId="5">'[122]Aug,02'!#REF!</definedName>
    <definedName name="cc">'[122]Aug,02'!#REF!</definedName>
    <definedName name="cc_mix">'[123]data existing_do not delete'!$D$2:$D$7</definedName>
    <definedName name="ccc" localSheetId="2">#REF!</definedName>
    <definedName name="ccc" localSheetId="1">#REF!</definedName>
    <definedName name="ccc" localSheetId="4">#REF!</definedName>
    <definedName name="ccc" localSheetId="6">#REF!</definedName>
    <definedName name="ccc" localSheetId="5">#REF!</definedName>
    <definedName name="ccc" localSheetId="7">#REF!</definedName>
    <definedName name="ccc">#REF!</definedName>
    <definedName name="cccc" localSheetId="2">'[122]Aug,02'!#REF!</definedName>
    <definedName name="cccc" localSheetId="1">'[122]Aug,02'!#REF!</definedName>
    <definedName name="cccc" localSheetId="4">'[122]Aug,02'!#REF!</definedName>
    <definedName name="cccc" localSheetId="6">'[122]Aug,02'!#REF!</definedName>
    <definedName name="cccc" localSheetId="5">'[122]Aug,02'!#REF!</definedName>
    <definedName name="cccc" localSheetId="7">'[122]Aug,02'!#REF!</definedName>
    <definedName name="cccc">'[122]Aug,02'!#REF!</definedName>
    <definedName name="ccir" localSheetId="2">#REF!</definedName>
    <definedName name="ccir" localSheetId="1">#REF!</definedName>
    <definedName name="ccir" localSheetId="4">#REF!</definedName>
    <definedName name="ccir" localSheetId="6">#REF!</definedName>
    <definedName name="ccir" localSheetId="5">#REF!</definedName>
    <definedName name="ccir" localSheetId="7">#REF!</definedName>
    <definedName name="ccir">#REF!</definedName>
    <definedName name="CCL" localSheetId="0">'[103]MTC-estimate'!$C$8</definedName>
    <definedName name="CCL">'[104]MTC-estimate'!$C$8</definedName>
    <definedName name="CCRoad" localSheetId="2">[133]GEN_abstrct!#REF!</definedName>
    <definedName name="CCRoad" localSheetId="1">[133]GEN_abstrct!#REF!</definedName>
    <definedName name="CCRoad" localSheetId="4">[133]GEN_abstrct!#REF!</definedName>
    <definedName name="CCRoad" localSheetId="6">[133]GEN_abstrct!#REF!</definedName>
    <definedName name="CCRoad" localSheetId="5">[133]GEN_abstrct!#REF!</definedName>
    <definedName name="CCRoad" localSheetId="7">[133]GEN_abstrct!#REF!</definedName>
    <definedName name="CCRoad">[133]GEN_abstrct!#REF!</definedName>
    <definedName name="cd" localSheetId="2">#REF!</definedName>
    <definedName name="cd" localSheetId="0">#REF!</definedName>
    <definedName name="cd" localSheetId="1">#REF!</definedName>
    <definedName name="cd" localSheetId="4">#REF!</definedName>
    <definedName name="cd" localSheetId="6">#REF!</definedName>
    <definedName name="cd" localSheetId="5">#REF!</definedName>
    <definedName name="cd" localSheetId="7">#REF!</definedName>
    <definedName name="cd">#REF!</definedName>
    <definedName name="cddata" localSheetId="5">#REF!</definedName>
    <definedName name="cddata" localSheetId="7">#REF!</definedName>
    <definedName name="cddata">#REF!</definedName>
    <definedName name="CDECV" localSheetId="0">[72]Abs_CD_2!$K$51</definedName>
    <definedName name="CDECV">[73]Abs_CD_2!$K$51</definedName>
    <definedName name="CDN" localSheetId="0">'[103]MTC-estimate'!$I$7</definedName>
    <definedName name="CDN">'[104]MTC-estimate'!$I$7</definedName>
    <definedName name="CDNO" localSheetId="0">'[134]1V800'!$C$10</definedName>
    <definedName name="CDNO">'[135]1V800'!$C$10</definedName>
    <definedName name="cdno_600" localSheetId="2">#REF!</definedName>
    <definedName name="cdno_600" localSheetId="0">#REF!</definedName>
    <definedName name="cdno_600" localSheetId="1">#REF!</definedName>
    <definedName name="cdno_600" localSheetId="4">#REF!</definedName>
    <definedName name="cdno_600" localSheetId="6">#REF!</definedName>
    <definedName name="cdno_600" localSheetId="5">#REF!</definedName>
    <definedName name="cdno_600" localSheetId="7">#REF!</definedName>
    <definedName name="cdno_600">#REF!</definedName>
    <definedName name="CDSC" localSheetId="0">'[103]MTC-estimate'!$I$8</definedName>
    <definedName name="CDSC">'[104]MTC-estimate'!$I$8</definedName>
    <definedName name="CEL">[115]DATA!$F$89</definedName>
    <definedName name="Cem">#REF!</definedName>
    <definedName name="CEMENT" localSheetId="0">[52]MRATES!$P$48</definedName>
    <definedName name="CEMENT" localSheetId="4">[43]MRATES!$T$15</definedName>
    <definedName name="CEMENT">[53]MRATES!$P$48</definedName>
    <definedName name="Cement_excluding_cost_of_empty_cement_bags" localSheetId="2">#REF!</definedName>
    <definedName name="Cement_excluding_cost_of_empty_cement_bags" localSheetId="1">#REF!</definedName>
    <definedName name="Cement_excluding_cost_of_empty_cement_bags" localSheetId="4">#REF!</definedName>
    <definedName name="Cement_excluding_cost_of_empty_cement_bags" localSheetId="6">#REF!</definedName>
    <definedName name="Cement_excluding_cost_of_empty_cement_bags" localSheetId="5">#REF!</definedName>
    <definedName name="Cement_excluding_cost_of_empty_cement_bags" localSheetId="7">#REF!</definedName>
    <definedName name="Cement_excluding_cost_of_empty_cement_bags">#REF!</definedName>
    <definedName name="Cement_Rate">'[131]Data '!$D$9</definedName>
    <definedName name="Cement_SSR_Rate">'[132]Lead statement'!$O$7</definedName>
    <definedName name="cementcost" localSheetId="2">[136]materialcost!#REF!</definedName>
    <definedName name="cementcost" localSheetId="0">[137]materialcost!#REF!</definedName>
    <definedName name="cementcost" localSheetId="1">[136]materialcost!#REF!</definedName>
    <definedName name="cementcost" localSheetId="4">[136]materialcost!#REF!</definedName>
    <definedName name="cementcost" localSheetId="6">[136]materialcost!#REF!</definedName>
    <definedName name="cementcost" localSheetId="5">[136]materialcost!#REF!</definedName>
    <definedName name="cementcost" localSheetId="7">[136]materialcost!#REF!</definedName>
    <definedName name="cementcost">[136]materialcost!#REF!</definedName>
    <definedName name="Centering_charges_for_bed_blocks_and_culvert_slabs_and_other_structures_of_less_than_3_mts._span." localSheetId="2">#REF!</definedName>
    <definedName name="Centering_charges_for_bed_blocks_and_culvert_slabs_and_other_structures_of_less_than_3_mts._span." localSheetId="1">#REF!</definedName>
    <definedName name="Centering_charges_for_bed_blocks_and_culvert_slabs_and_other_structures_of_less_than_3_mts._span." localSheetId="4">#REF!</definedName>
    <definedName name="Centering_charges_for_bed_blocks_and_culvert_slabs_and_other_structures_of_less_than_3_mts._span." localSheetId="6">#REF!</definedName>
    <definedName name="Centering_charges_for_bed_blocks_and_culvert_slabs_and_other_structures_of_less_than_3_mts._span." localSheetId="5">#REF!</definedName>
    <definedName name="Centering_charges_for_bed_blocks_and_culvert_slabs_and_other_structures_of_less_than_3_mts._span." localSheetId="7">#REF!</definedName>
    <definedName name="Centering_charges_for_bed_blocks_and_culvert_slabs_and_other_structures_of_less_than_3_mts._span.">#REF!</definedName>
    <definedName name="Centering_charges_for_culvert_slabs_and_other_structures_of__3_mts._span_and_above" localSheetId="5">#REF!</definedName>
    <definedName name="Centering_charges_for_culvert_slabs_and_other_structures_of__3_mts._span_and_above" localSheetId="7">#REF!</definedName>
    <definedName name="Centering_charges_for_culvert_slabs_and_other_structures_of__3_mts._span_and_above">#REF!</definedName>
    <definedName name="CFB" localSheetId="5">#REF!</definedName>
    <definedName name="CFB" localSheetId="7">#REF!</definedName>
    <definedName name="CFB">#REF!</definedName>
    <definedName name="CFDREFG" localSheetId="5">#REF!</definedName>
    <definedName name="CFDREFG" localSheetId="7">#REF!</definedName>
    <definedName name="CFDREFG">#REF!</definedName>
    <definedName name="cflo" hidden="1">{"CASH FLOW",#N/A,FALSE,"A"}</definedName>
    <definedName name="CFSD" localSheetId="5">#REF!</definedName>
    <definedName name="CFSD" localSheetId="7">#REF!</definedName>
    <definedName name="CFSD">#REF!</definedName>
    <definedName name="CFSL" localSheetId="5">#REF!</definedName>
    <definedName name="CFSL" localSheetId="7">#REF!</definedName>
    <definedName name="CFSL">#REF!</definedName>
    <definedName name="chand" localSheetId="5">#REF!</definedName>
    <definedName name="chand" localSheetId="7">#REF!</definedName>
    <definedName name="chand">#REF!</definedName>
    <definedName name="check">#N/A</definedName>
    <definedName name="checking2" localSheetId="2">[115]DATA!#REF!</definedName>
    <definedName name="checking2" localSheetId="1">[115]DATA!#REF!</definedName>
    <definedName name="checking2" localSheetId="4">[115]DATA!#REF!</definedName>
    <definedName name="checking2" localSheetId="6">[115]DATA!#REF!</definedName>
    <definedName name="checking2" localSheetId="5">[115]DATA!#REF!</definedName>
    <definedName name="checking2" localSheetId="7">[115]DATA!#REF!</definedName>
    <definedName name="checking2">[115]DATA!#REF!</definedName>
    <definedName name="CHGJFY" localSheetId="2">'[113]Aug,02'!#REF!</definedName>
    <definedName name="CHGJFY" localSheetId="1">'[113]Aug,02'!#REF!</definedName>
    <definedName name="CHGJFY" localSheetId="4">'[113]Aug,02'!#REF!</definedName>
    <definedName name="CHGJFY" localSheetId="6">'[113]Aug,02'!#REF!</definedName>
    <definedName name="CHGJFY" localSheetId="5">'[113]Aug,02'!#REF!</definedName>
    <definedName name="CHGJFY" localSheetId="7">'[113]Aug,02'!#REF!</definedName>
    <definedName name="CHGJFY">'[113]Aug,02'!#REF!</definedName>
    <definedName name="CHP" localSheetId="2">#REF!</definedName>
    <definedName name="CHP" localSheetId="1">#REF!</definedName>
    <definedName name="CHP" localSheetId="4">#REF!</definedName>
    <definedName name="CHP" localSheetId="6">#REF!</definedName>
    <definedName name="CHP" localSheetId="5">#REF!</definedName>
    <definedName name="CHP" localSheetId="7">#REF!</definedName>
    <definedName name="CHP">#REF!</definedName>
    <definedName name="CHRL" localSheetId="4">#REF!</definedName>
    <definedName name="CHRL" localSheetId="3">#REF!</definedName>
    <definedName name="CHRL" localSheetId="5">#REF!</definedName>
    <definedName name="CHRL" localSheetId="7">#REF!</definedName>
    <definedName name="CHRL">#REF!</definedName>
    <definedName name="cidjoint" localSheetId="5">#REF!</definedName>
    <definedName name="cidjoint" localSheetId="7">#REF!</definedName>
    <definedName name="cidjoint">#REF!</definedName>
    <definedName name="CIDjoints">[61]maya!$B$370:$B$375</definedName>
    <definedName name="Cinder" localSheetId="2">[67]Material!#REF!</definedName>
    <definedName name="Cinder" localSheetId="1">[67]Material!#REF!</definedName>
    <definedName name="Cinder" localSheetId="4">[67]Material!#REF!</definedName>
    <definedName name="Cinder" localSheetId="6">[67]Material!#REF!</definedName>
    <definedName name="Cinder" localSheetId="5">[67]Material!#REF!</definedName>
    <definedName name="Cinder" localSheetId="7">[67]Material!#REF!</definedName>
    <definedName name="Cinder">[67]Material!#REF!</definedName>
    <definedName name="CIR" localSheetId="0">[72]coverpage!$E$27</definedName>
    <definedName name="CIR">[83]coverpage!$E$27</definedName>
    <definedName name="City" localSheetId="2">#REF!</definedName>
    <definedName name="City" localSheetId="1">#REF!</definedName>
    <definedName name="City" localSheetId="4">#REF!</definedName>
    <definedName name="City" localSheetId="6">#REF!</definedName>
    <definedName name="City" localSheetId="5">#REF!</definedName>
    <definedName name="City" localSheetId="7">#REF!</definedName>
    <definedName name="City">#REF!</definedName>
    <definedName name="claim">#REF!</definedName>
    <definedName name="claims">#REF!</definedName>
    <definedName name="Clayey_Soil_in_wet_and_slushy_condition_________SS_20_B" localSheetId="5">#REF!</definedName>
    <definedName name="Clayey_Soil_in_wet_and_slushy_condition_________SS_20_B" localSheetId="7">#REF!</definedName>
    <definedName name="Clayey_Soil_in_wet_and_slushy_condition_________SS_20_B">#REF!</definedName>
    <definedName name="Clear" localSheetId="2">'[138]BUND ABS'!#REF!</definedName>
    <definedName name="Clear" localSheetId="1">'[138]BUND ABS'!#REF!</definedName>
    <definedName name="Clear" localSheetId="4">'[138]BUND ABS'!#REF!</definedName>
    <definedName name="Clear" localSheetId="6">'[138]BUND ABS'!#REF!</definedName>
    <definedName name="Clear" localSheetId="5">'[138]BUND ABS'!#REF!</definedName>
    <definedName name="Clear">'[138]BUND ABS'!#REF!</definedName>
    <definedName name="Clearing_alchi__tilla" localSheetId="2">#REF!</definedName>
    <definedName name="Clearing_alchi__tilla" localSheetId="1">#REF!</definedName>
    <definedName name="Clearing_alchi__tilla" localSheetId="4">#REF!</definedName>
    <definedName name="Clearing_alchi__tilla" localSheetId="6">#REF!</definedName>
    <definedName name="Clearing_alchi__tilla" localSheetId="5">#REF!</definedName>
    <definedName name="Clearing_alchi__tilla" localSheetId="7">#REF!</definedName>
    <definedName name="Clearing_alchi__tilla">#REF!</definedName>
    <definedName name="Clearing_heavy_Jungle" localSheetId="5">#REF!</definedName>
    <definedName name="Clearing_heavy_Jungle" localSheetId="7">#REF!</definedName>
    <definedName name="Clearing_heavy_Jungle">#REF!</definedName>
    <definedName name="Clearing_Juliflora__Prosafis__jungle_including_up_rooting_and_removing_of_Juliflora_stumps." localSheetId="5">#REF!</definedName>
    <definedName name="Clearing_Juliflora__Prosafis__jungle_including_up_rooting_and_removing_of_Juliflora_stumps." localSheetId="7">#REF!</definedName>
    <definedName name="Clearing_Juliflora__Prosafis__jungle_including_up_rooting_and_removing_of_Juliflora_stumps.">#REF!</definedName>
    <definedName name="Clearing_light_Jungle" localSheetId="5">#REF!</definedName>
    <definedName name="Clearing_light_Jungle" localSheetId="7">#REF!</definedName>
    <definedName name="Clearing_light_Jungle">#REF!</definedName>
    <definedName name="Clearing_Scrub_Jungle" localSheetId="5">#REF!</definedName>
    <definedName name="Clearing_Scrub_Jungle" localSheetId="7">#REF!</definedName>
    <definedName name="Clearing_Scrub_Jungle">#REF!</definedName>
    <definedName name="CLinTh" localSheetId="5">#REF!</definedName>
    <definedName name="CLinTh" localSheetId="7">#REF!</definedName>
    <definedName name="CLinTh">#REF!</definedName>
    <definedName name="clx" localSheetId="2">[139]Data!#REF!</definedName>
    <definedName name="clx" localSheetId="0">[140]Data!#REF!</definedName>
    <definedName name="clx" localSheetId="1">[139]Data!#REF!</definedName>
    <definedName name="clx" localSheetId="4">[139]Data!#REF!</definedName>
    <definedName name="clx" localSheetId="6">[139]Data!#REF!</definedName>
    <definedName name="clx" localSheetId="5">[139]Data!#REF!</definedName>
    <definedName name="clx">[139]Data!#REF!</definedName>
    <definedName name="CM_1_10" localSheetId="2">[67]Data!#REF!</definedName>
    <definedName name="CM_1_10" localSheetId="1">[67]Data!#REF!</definedName>
    <definedName name="CM_1_10" localSheetId="4">[67]Data!#REF!</definedName>
    <definedName name="CM_1_10" localSheetId="6">[67]Data!#REF!</definedName>
    <definedName name="CM_1_10" localSheetId="5">[67]Data!#REF!</definedName>
    <definedName name="CM_1_10">[67]Data!#REF!</definedName>
    <definedName name="CM_1_2" localSheetId="5">[67]Data!#REF!</definedName>
    <definedName name="CM_1_2">[67]Data!#REF!</definedName>
    <definedName name="CM_1_3" localSheetId="5">[67]Data!#REF!</definedName>
    <definedName name="CM_1_3">[67]Data!#REF!</definedName>
    <definedName name="CM_1_4" localSheetId="5">[67]Data!#REF!</definedName>
    <definedName name="CM_1_4">[67]Data!#REF!</definedName>
    <definedName name="CM_1_5" localSheetId="5">[67]Data!#REF!</definedName>
    <definedName name="CM_1_5">[67]Data!#REF!</definedName>
    <definedName name="CM_1_6" localSheetId="5">[67]Data!#REF!</definedName>
    <definedName name="CM_1_6">[67]Data!#REF!</definedName>
    <definedName name="CM_1_8" localSheetId="5">[67]Data!#REF!</definedName>
    <definedName name="CM_1_8">[67]Data!#REF!</definedName>
    <definedName name="cm_mix">'[123]data existing_do not delete'!$A$78:$A$84</definedName>
    <definedName name="CMFD" localSheetId="2">#REF!</definedName>
    <definedName name="CMFD" localSheetId="1">#REF!</definedName>
    <definedName name="CMFD" localSheetId="4">#REF!</definedName>
    <definedName name="CMFD" localSheetId="6">#REF!</definedName>
    <definedName name="CMFD" localSheetId="5">#REF!</definedName>
    <definedName name="CMFD" localSheetId="7">#REF!</definedName>
    <definedName name="CMFD">#REF!</definedName>
    <definedName name="cnvey" localSheetId="2">[141]Lead!#REF!</definedName>
    <definedName name="cnvey" localSheetId="1">[141]Lead!#REF!</definedName>
    <definedName name="cnvey" localSheetId="4">[141]Lead!#REF!</definedName>
    <definedName name="cnvey" localSheetId="6">[141]Lead!#REF!</definedName>
    <definedName name="cnvey" localSheetId="5">[141]Lead!#REF!</definedName>
    <definedName name="cnvey" localSheetId="7">[141]Lead!#REF!</definedName>
    <definedName name="cnvey">[141]Lead!#REF!</definedName>
    <definedName name="Code" localSheetId="2" hidden="1">#REF!</definedName>
    <definedName name="Code" localSheetId="1" hidden="1">#REF!</definedName>
    <definedName name="Code" localSheetId="4" hidden="1">#REF!</definedName>
    <definedName name="Code" localSheetId="6" hidden="1">#REF!</definedName>
    <definedName name="Code" localSheetId="5" hidden="1">#REF!</definedName>
    <definedName name="Code" localSheetId="7" hidden="1">#REF!</definedName>
    <definedName name="Code" hidden="1">#REF!</definedName>
    <definedName name="COLLAR">"Rectangle 67"</definedName>
    <definedName name="Company" localSheetId="2">#REF!</definedName>
    <definedName name="Company" localSheetId="1">#REF!</definedName>
    <definedName name="Company" localSheetId="4">#REF!</definedName>
    <definedName name="Company" localSheetId="6">#REF!</definedName>
    <definedName name="Company" localSheetId="5">#REF!</definedName>
    <definedName name="Company" localSheetId="7">#REF!</definedName>
    <definedName name="Company">#REF!</definedName>
    <definedName name="Compressor_Charges___10.5_cum_per_minit_capacity" localSheetId="5">#REF!</definedName>
    <definedName name="Compressor_Charges___10.5_cum_per_minit_capacity" localSheetId="7">#REF!</definedName>
    <definedName name="Compressor_Charges___10.5_cum_per_minit_capacity">#REF!</definedName>
    <definedName name="Compressor_Charges___6_cum_per_minit_capacity" localSheetId="5">#REF!</definedName>
    <definedName name="Compressor_Charges___6_cum_per_minit_capacity" localSheetId="7">#REF!</definedName>
    <definedName name="Compressor_Charges___6_cum_per_minit_capacity">#REF!</definedName>
    <definedName name="COMPSTRESS">#REF!</definedName>
    <definedName name="CONCIL">#N/A</definedName>
    <definedName name="Concrete_Mixture" localSheetId="5">#REF!</definedName>
    <definedName name="Concrete_Mixture" localSheetId="7">#REF!</definedName>
    <definedName name="Concrete_Mixture">#REF!</definedName>
    <definedName name="Concrete_Pump" localSheetId="5">#REF!</definedName>
    <definedName name="Concrete_Pump" localSheetId="7">#REF!</definedName>
    <definedName name="Concrete_Pump">#REF!</definedName>
    <definedName name="Construction">'[101]Bitumen trunk'!$W$1:$AN$196</definedName>
    <definedName name="Cost_of_materials" localSheetId="2">#REF!</definedName>
    <definedName name="Cost_of_materials" localSheetId="0">#REF!</definedName>
    <definedName name="Cost_of_materials" localSheetId="1">#REF!</definedName>
    <definedName name="Cost_of_materials" localSheetId="4">#REF!</definedName>
    <definedName name="Cost_of_materials" localSheetId="6">#REF!</definedName>
    <definedName name="Cost_of_materials" localSheetId="5">#REF!</definedName>
    <definedName name="Cost_of_materials" localSheetId="7">#REF!</definedName>
    <definedName name="Cost_of_materials">#REF!</definedName>
    <definedName name="Cost_per_CuM">'[142]Data '!#REF!</definedName>
    <definedName name="costmatlrppr" localSheetId="2">#REF!</definedName>
    <definedName name="costmatlrppr" localSheetId="0">#REF!</definedName>
    <definedName name="costmatlrppr" localSheetId="1">#REF!</definedName>
    <definedName name="costmatlrppr" localSheetId="4">#REF!</definedName>
    <definedName name="costmatlrppr" localSheetId="6">#REF!</definedName>
    <definedName name="costmatlrppr" localSheetId="5">#REF!</definedName>
    <definedName name="costmatlrppr" localSheetId="7">#REF!</definedName>
    <definedName name="costmatlrppr">#REF!</definedName>
    <definedName name="Country" localSheetId="5">#REF!</definedName>
    <definedName name="Country" localSheetId="7">#REF!</definedName>
    <definedName name="Country">#REF!</definedName>
    <definedName name="cover" localSheetId="2">[128]Abs!#REF!</definedName>
    <definedName name="cover" localSheetId="0">[128]Abs!#REF!</definedName>
    <definedName name="cover" localSheetId="1">[128]Abs!#REF!</definedName>
    <definedName name="cover" localSheetId="4">[128]Abs!#REF!</definedName>
    <definedName name="cover" localSheetId="6">[128]Abs!#REF!</definedName>
    <definedName name="cover" localSheetId="5">[128]Abs!#REF!</definedName>
    <definedName name="cover">[128]Abs!#REF!</definedName>
    <definedName name="CP" localSheetId="2">[53]MRATES!$C$36</definedName>
    <definedName name="CP" localSheetId="0">[52]MRATES!$C$36</definedName>
    <definedName name="CP" localSheetId="1">[53]MRATES!$C$36</definedName>
    <definedName name="CP" localSheetId="4">[143]Sheet1!$H$54</definedName>
    <definedName name="CP" localSheetId="6">[53]MRATES!$C$36</definedName>
    <definedName name="CP" localSheetId="5">[53]MRATES!$C$36</definedName>
    <definedName name="CP" localSheetId="7">[53]MRATES!$C$36</definedName>
    <definedName name="CP">[143]Sheet1!$H$54</definedName>
    <definedName name="CPF" localSheetId="2">'[144]Aug,02'!#REF!</definedName>
    <definedName name="CPF" localSheetId="1">'[144]Aug,02'!#REF!</definedName>
    <definedName name="CPF" localSheetId="4">'[144]Aug,02'!#REF!</definedName>
    <definedName name="CPF" localSheetId="6">'[144]Aug,02'!#REF!</definedName>
    <definedName name="CPF" localSheetId="5">'[144]Aug,02'!#REF!</definedName>
    <definedName name="CPF" localSheetId="7">'[144]Aug,02'!#REF!</definedName>
    <definedName name="CPF">'[144]Aug,02'!#REF!</definedName>
    <definedName name="cr_mpl_divn_corenet_cn_mpl" localSheetId="2">#REF!</definedName>
    <definedName name="cr_mpl_divn_corenet_cn_mpl" localSheetId="1">#REF!</definedName>
    <definedName name="cr_mpl_divn_corenet_cn_mpl" localSheetId="4">#REF!</definedName>
    <definedName name="cr_mpl_divn_corenet_cn_mpl" localSheetId="6">#REF!</definedName>
    <definedName name="cr_mpl_divn_corenet_cn_mpl" localSheetId="5">#REF!</definedName>
    <definedName name="cr_mpl_divn_corenet_cn_mpl" localSheetId="7">#REF!</definedName>
    <definedName name="cr_mpl_divn_corenet_cn_mpl">#REF!</definedName>
    <definedName name="CR_stone">'[145]Common '!$D$21:$D$22</definedName>
    <definedName name="CR_stone_HBG">'[145]Common '!$D$21</definedName>
    <definedName name="Crane__Rate_of_sinking_0.8_mts._per_day" localSheetId="2">#REF!</definedName>
    <definedName name="Crane__Rate_of_sinking_0.8_mts._per_day" localSheetId="1">#REF!</definedName>
    <definedName name="Crane__Rate_of_sinking_0.8_mts._per_day" localSheetId="4">#REF!</definedName>
    <definedName name="Crane__Rate_of_sinking_0.8_mts._per_day" localSheetId="6">#REF!</definedName>
    <definedName name="Crane__Rate_of_sinking_0.8_mts._per_day" localSheetId="5">#REF!</definedName>
    <definedName name="Crane__Rate_of_sinking_0.8_mts._per_day" localSheetId="7">#REF!</definedName>
    <definedName name="Crane__Rate_of_sinking_0.8_mts._per_day">#REF!</definedName>
    <definedName name="CROPCFTABLE" localSheetId="0">#REF!</definedName>
    <definedName name="CROPCFTABLE" localSheetId="5">#REF!</definedName>
    <definedName name="CROPCFTABLE" localSheetId="7">#REF!</definedName>
    <definedName name="CROPCFTABLE">#REF!</definedName>
    <definedName name="Cropcoeftab" localSheetId="5">#REF!</definedName>
    <definedName name="Cropcoeftab" localSheetId="7">#REF!</definedName>
    <definedName name="Cropcoeftab">#REF!</definedName>
    <definedName name="CRS" localSheetId="0">[52]MRATES!$G$10</definedName>
    <definedName name="CRS" localSheetId="4">[7]Sheet1!$I$9</definedName>
    <definedName name="CRS">[53]MRATES!$G$10</definedName>
    <definedName name="crsrate" localSheetId="0">'[27]lead-st'!$L$12</definedName>
    <definedName name="crsrate">'[21]lead-st'!$L$12</definedName>
    <definedName name="crss" localSheetId="0">[27]rdamdata!$J$10</definedName>
    <definedName name="crss">[21]rdamdata!$J$10</definedName>
    <definedName name="crush" localSheetId="0">[125]r!$F$30</definedName>
    <definedName name="crush">[146]r!$F$30</definedName>
    <definedName name="Crushing" localSheetId="2">#REF!</definedName>
    <definedName name="Crushing" localSheetId="1">#REF!</definedName>
    <definedName name="Crushing" localSheetId="4">#REF!</definedName>
    <definedName name="Crushing" localSheetId="6">#REF!</definedName>
    <definedName name="Crushing" localSheetId="5">#REF!</definedName>
    <definedName name="Crushing" localSheetId="7">#REF!</definedName>
    <definedName name="Crushing">#REF!</definedName>
    <definedName name="crust" localSheetId="2">'[147]Data.F8.BTR'!#REF!</definedName>
    <definedName name="crust" localSheetId="0">'[147]Data.F8.BTR'!#REF!</definedName>
    <definedName name="crust" localSheetId="1">'[147]Data.F8.BTR'!#REF!</definedName>
    <definedName name="crust" localSheetId="4">'[147]Data.F8.BTR'!#REF!</definedName>
    <definedName name="crust" localSheetId="6">'[147]Data.F8.BTR'!#REF!</definedName>
    <definedName name="crust" localSheetId="5">'[147]Data.F8.BTR'!#REF!</definedName>
    <definedName name="crust" localSheetId="7">'[147]Data.F8.BTR'!#REF!</definedName>
    <definedName name="crust">'[147]Data.F8.BTR'!#REF!</definedName>
    <definedName name="CSAND" localSheetId="0">[52]MRATES!$G$8</definedName>
    <definedName name="CSAND">[53]MRATES!$G$8</definedName>
    <definedName name="CTBL" localSheetId="5">#REF!</definedName>
    <definedName name="CTBL" localSheetId="7">#REF!</definedName>
    <definedName name="CTBL">#REF!</definedName>
    <definedName name="ctrhabstat" localSheetId="2">#REF!</definedName>
    <definedName name="ctrhabstat" localSheetId="1">#REF!</definedName>
    <definedName name="ctrhabstat" localSheetId="4">#REF!</definedName>
    <definedName name="ctrhabstat" localSheetId="6">#REF!</definedName>
    <definedName name="ctrhabstat" localSheetId="5">#REF!</definedName>
    <definedName name="ctrhabstat" localSheetId="7">#REF!</definedName>
    <definedName name="ctrhabstat">#REF!</definedName>
    <definedName name="Cuddapah_Shahabad_slabs_40mm" localSheetId="2">[67]Material!#REF!</definedName>
    <definedName name="Cuddapah_Shahabad_slabs_40mm" localSheetId="1">[67]Material!#REF!</definedName>
    <definedName name="Cuddapah_Shahabad_slabs_40mm" localSheetId="4">[67]Material!#REF!</definedName>
    <definedName name="Cuddapah_Shahabad_slabs_40mm" localSheetId="6">[67]Material!#REF!</definedName>
    <definedName name="Cuddapah_Shahabad_slabs_40mm" localSheetId="5">[67]Material!#REF!</definedName>
    <definedName name="Cuddapah_Shahabad_slabs_40mm" localSheetId="7">[67]Material!#REF!</definedName>
    <definedName name="Cuddapah_Shahabad_slabs_40mm">[67]Material!#REF!</definedName>
    <definedName name="Cuddapah_Shahabad_slabs_50_mm" localSheetId="2">[67]Material!#REF!</definedName>
    <definedName name="Cuddapah_Shahabad_slabs_50_mm" localSheetId="1">[67]Material!#REF!</definedName>
    <definedName name="Cuddapah_Shahabad_slabs_50_mm" localSheetId="4">[67]Material!#REF!</definedName>
    <definedName name="Cuddapah_Shahabad_slabs_50_mm" localSheetId="6">[67]Material!#REF!</definedName>
    <definedName name="Cuddapah_Shahabad_slabs_50_mm" localSheetId="5">[67]Material!#REF!</definedName>
    <definedName name="Cuddapah_Shahabad_slabs_50_mm" localSheetId="7">[67]Material!#REF!</definedName>
    <definedName name="Cuddapah_Shahabad_slabs_50_mm">[67]Material!#REF!</definedName>
    <definedName name="CURRENT_MONTH">#REF!</definedName>
    <definedName name="Cutting_and_removing_other_kindof_trees_including_stacking_of_girth_30_to_100_cm" localSheetId="2">#REF!</definedName>
    <definedName name="Cutting_and_removing_other_kindof_trees_including_stacking_of_girth_30_to_100_cm" localSheetId="1">#REF!</definedName>
    <definedName name="Cutting_and_removing_other_kindof_trees_including_stacking_of_girth_30_to_100_cm" localSheetId="4">#REF!</definedName>
    <definedName name="Cutting_and_removing_other_kindof_trees_including_stacking_of_girth_30_to_100_cm" localSheetId="6">#REF!</definedName>
    <definedName name="Cutting_and_removing_other_kindof_trees_including_stacking_of_girth_30_to_100_cm" localSheetId="5">#REF!</definedName>
    <definedName name="Cutting_and_removing_other_kindof_trees_including_stacking_of_girth_30_to_100_cm" localSheetId="7">#REF!</definedName>
    <definedName name="Cutting_and_removing_other_kindof_trees_including_stacking_of_girth_30_to_100_cm">#REF!</definedName>
    <definedName name="Cutting_and_removing_Palmyrah_trees_including_stacking_of_girth_30_to_100_cm." localSheetId="5">#REF!</definedName>
    <definedName name="Cutting_and_removing_Palmyrah_trees_including_stacking_of_girth_30_to_100_cm." localSheetId="7">#REF!</definedName>
    <definedName name="Cutting_and_removing_Palmyrah_trees_including_stacking_of_girth_30_to_100_cm.">#REF!</definedName>
    <definedName name="cvalue">#REF!</definedName>
    <definedName name="CWL" localSheetId="0">'[103]MTC-estimate'!$I$6</definedName>
    <definedName name="CWL">'[104]MTC-estimate'!$I$6</definedName>
    <definedName name="CWSUMP">'[148]DATA-BASE'!$I$6:$T$22</definedName>
    <definedName name="D" localSheetId="0">'[149]UT Without Drop'!$H$77</definedName>
    <definedName name="D" localSheetId="4">'[150]Dn LF Sluice'!$F$39</definedName>
    <definedName name="D">'[151]UT Without Drop'!$H$77</definedName>
    <definedName name="D.L.R.B.___Km.8.395_of_Left_Main_Canal" localSheetId="2">#REF!</definedName>
    <definedName name="D.L.R.B.___Km.8.395_of_Left_Main_Canal" localSheetId="1">#REF!</definedName>
    <definedName name="D.L.R.B.___Km.8.395_of_Left_Main_Canal" localSheetId="4">#REF!</definedName>
    <definedName name="D.L.R.B.___Km.8.395_of_Left_Main_Canal" localSheetId="6">#REF!</definedName>
    <definedName name="D.L.R.B.___Km.8.395_of_Left_Main_Canal" localSheetId="5">#REF!</definedName>
    <definedName name="D.L.R.B.___Km.8.395_of_Left_Main_Canal" localSheetId="7">#REF!</definedName>
    <definedName name="D.L.R.B.___Km.8.395_of_Left_Main_Canal">#REF!</definedName>
    <definedName name="D.t" localSheetId="2">[152]data!#REF!</definedName>
    <definedName name="D.t" localSheetId="1">[152]data!#REF!</definedName>
    <definedName name="D.t" localSheetId="4">[152]data!#REF!</definedName>
    <definedName name="D.t" localSheetId="6">[152]data!#REF!</definedName>
    <definedName name="D.t" localSheetId="5">[152]data!#REF!</definedName>
    <definedName name="D.t" localSheetId="7">[152]data!#REF!</definedName>
    <definedName name="D.t">[152]data!#REF!</definedName>
    <definedName name="D_">#REF!</definedName>
    <definedName name="d_35">#N/A</definedName>
    <definedName name="d_jp" hidden="1">{"'Sheet1'!$A$4386:$N$4591"}</definedName>
    <definedName name="D65536A1">#REF!</definedName>
    <definedName name="d8d678678976867" localSheetId="5">'[153]Aug,02'!#REF!</definedName>
    <definedName name="d8d678678976867">'[153]Aug,02'!#REF!</definedName>
    <definedName name="da" localSheetId="2">#REF!</definedName>
    <definedName name="da" localSheetId="1">#REF!</definedName>
    <definedName name="da" localSheetId="4">#REF!</definedName>
    <definedName name="da" localSheetId="6">#REF!</definedName>
    <definedName name="da" localSheetId="5">#REF!</definedName>
    <definedName name="da" localSheetId="7">#REF!</definedName>
    <definedName name="da">#REF!</definedName>
    <definedName name="DATA" localSheetId="2">[127]ssr200809!#REF!</definedName>
    <definedName name="DATA" localSheetId="0">[126]ssr200809!#REF!</definedName>
    <definedName name="DATA" localSheetId="1">[127]ssr200809!#REF!</definedName>
    <definedName name="DATA" localSheetId="4">[127]ssr200809!#REF!</definedName>
    <definedName name="DATA" localSheetId="6">[127]ssr200809!#REF!</definedName>
    <definedName name="DATA" localSheetId="5">[127]ssr200809!#REF!</definedName>
    <definedName name="DATA" localSheetId="7">[127]ssr200809!#REF!</definedName>
    <definedName name="DATA">[127]ssr200809!#REF!</definedName>
    <definedName name="Data...CD">[154]Labour!$D$5</definedName>
    <definedName name="_xlnm.Data_Form">#N/A</definedName>
    <definedName name="data1" localSheetId="2" hidden="1">#REF!</definedName>
    <definedName name="data1" localSheetId="1" hidden="1">#REF!</definedName>
    <definedName name="data1" localSheetId="4" hidden="1">#REF!</definedName>
    <definedName name="data1" localSheetId="6" hidden="1">#REF!</definedName>
    <definedName name="data1" localSheetId="5" hidden="1">#REF!</definedName>
    <definedName name="data1" localSheetId="7" hidden="1">#REF!</definedName>
    <definedName name="data1" hidden="1">#REF!</definedName>
    <definedName name="data2" localSheetId="5" hidden="1">#REF!</definedName>
    <definedName name="data2" localSheetId="7" hidden="1">#REF!</definedName>
    <definedName name="data2" hidden="1">#REF!</definedName>
    <definedName name="data3" localSheetId="5" hidden="1">#REF!</definedName>
    <definedName name="data3" localSheetId="7" hidden="1">#REF!</definedName>
    <definedName name="data3" hidden="1">#REF!</definedName>
    <definedName name="DATA6" localSheetId="5">#REF!</definedName>
    <definedName name="DATA6" localSheetId="7">#REF!</definedName>
    <definedName name="DATA6">#REF!</definedName>
    <definedName name="Data7" localSheetId="5">#REF!</definedName>
    <definedName name="Data7" localSheetId="7">#REF!</definedName>
    <definedName name="Data7">#REF!</definedName>
    <definedName name="DATA83">'[155]Data (2)'!#REF!</definedName>
    <definedName name="Dataa" localSheetId="5">#REF!</definedName>
    <definedName name="Dataa" localSheetId="7">#REF!</definedName>
    <definedName name="Dataa">#REF!</definedName>
    <definedName name="_xlnm.Database" localSheetId="0">#REF!</definedName>
    <definedName name="_xlnm.Database" localSheetId="5">#REF!</definedName>
    <definedName name="_xlnm.Database" localSheetId="7">#REF!</definedName>
    <definedName name="_xlnm.Database">#REF!</definedName>
    <definedName name="daw_5_5">#REF!</definedName>
    <definedName name="DBL" localSheetId="5">#REF!</definedName>
    <definedName name="DBL" localSheetId="7">#REF!</definedName>
    <definedName name="DBL">#REF!</definedName>
    <definedName name="DBM" localSheetId="2">[128]Abs!#REF!</definedName>
    <definedName name="DBM" localSheetId="0">[128]Abs!#REF!</definedName>
    <definedName name="DBM" localSheetId="1">[128]Abs!#REF!</definedName>
    <definedName name="DBM" localSheetId="4">[128]Abs!#REF!</definedName>
    <definedName name="DBM" localSheetId="6">[128]Abs!#REF!</definedName>
    <definedName name="DBM" localSheetId="5">[128]Abs!#REF!</definedName>
    <definedName name="DBM">[128]Abs!#REF!</definedName>
    <definedName name="dcxfes" localSheetId="5">'[113]Aug,02'!#REF!</definedName>
    <definedName name="dcxfes">'[113]Aug,02'!#REF!</definedName>
    <definedName name="DD" localSheetId="2">#REF!</definedName>
    <definedName name="DD" localSheetId="0">#REF!</definedName>
    <definedName name="DD" localSheetId="1">#REF!</definedName>
    <definedName name="DD" localSheetId="4">#REF!</definedName>
    <definedName name="DD" localSheetId="6">#REF!</definedName>
    <definedName name="DD" localSheetId="5">#REF!</definedName>
    <definedName name="DD" localSheetId="7">#REF!</definedName>
    <definedName name="DD">#REF!</definedName>
    <definedName name="DD20HB">[156]Leads!$Q$39</definedName>
    <definedName name="ddd" localSheetId="2">#REF!</definedName>
    <definedName name="ddd" localSheetId="1">#REF!</definedName>
    <definedName name="ddd" localSheetId="4">#REF!</definedName>
    <definedName name="ddd" localSheetId="6">#REF!</definedName>
    <definedName name="ddd" localSheetId="5">#REF!</definedName>
    <definedName name="ddd" localSheetId="7">#REF!</definedName>
    <definedName name="ddd">#REF!</definedName>
    <definedName name="dddd">[157]leads!$H$7</definedName>
    <definedName name="ddf">#N/A</definedName>
    <definedName name="DDSAND">[156]Leads!$Q$36</definedName>
    <definedName name="de" localSheetId="2">[102]Lead!#REF!</definedName>
    <definedName name="de" localSheetId="1">[102]Lead!#REF!</definedName>
    <definedName name="de" localSheetId="4">[102]Lead!#REF!</definedName>
    <definedName name="de" localSheetId="6">[102]Lead!#REF!</definedName>
    <definedName name="de" localSheetId="5">[102]Lead!#REF!</definedName>
    <definedName name="de" localSheetId="7">[102]Lead!#REF!</definedName>
    <definedName name="de">[102]Lead!#REF!</definedName>
    <definedName name="DEE" localSheetId="0">[103]LEAD!$D$53</definedName>
    <definedName name="DEE">[104]LEAD!$D$53</definedName>
    <definedName name="def">#N/A</definedName>
    <definedName name="deha" localSheetId="2">#REF!</definedName>
    <definedName name="deha" localSheetId="1">#REF!</definedName>
    <definedName name="deha" localSheetId="4">#REF!</definedName>
    <definedName name="deha" localSheetId="6">#REF!</definedName>
    <definedName name="deha" localSheetId="5">#REF!</definedName>
    <definedName name="deha" localSheetId="7">#REF!</definedName>
    <definedName name="deha">#REF!</definedName>
    <definedName name="delhi">#N/A</definedName>
    <definedName name="delifting_depths">'[123]data existing_do not delete'!$A$27:$A$40</definedName>
    <definedName name="dert">#N/A</definedName>
    <definedName name="description">[158]maya!$A$71:$A$98</definedName>
    <definedName name="df">[159]Data!$G$7</definedName>
    <definedName name="dfd" localSheetId="2">'[160]Aug,02'!#REF!</definedName>
    <definedName name="dfd" localSheetId="1">'[160]Aug,02'!#REF!</definedName>
    <definedName name="dfd" localSheetId="4">'[160]Aug,02'!#REF!</definedName>
    <definedName name="dfd" localSheetId="6">'[160]Aug,02'!#REF!</definedName>
    <definedName name="dfd" localSheetId="5">'[160]Aug,02'!#REF!</definedName>
    <definedName name="dfd" localSheetId="7">'[160]Aug,02'!#REF!</definedName>
    <definedName name="dfd">'[160]Aug,02'!#REF!</definedName>
    <definedName name="dfDSAFdSFGDSFDfg" localSheetId="2">#REF!</definedName>
    <definedName name="dfDSAFdSFGDSFDfg" localSheetId="1">#REF!</definedName>
    <definedName name="dfDSAFdSFGDSFDfg" localSheetId="4">#REF!</definedName>
    <definedName name="dfDSAFdSFGDSFDfg" localSheetId="6">#REF!</definedName>
    <definedName name="dfDSAFdSFGDSFDfg" localSheetId="5">#REF!</definedName>
    <definedName name="dfDSAFdSFGDSFDfg" localSheetId="7">#REF!</definedName>
    <definedName name="dfDSAFdSFGDSFDfg">#REF!</definedName>
    <definedName name="dfdsafSHGrshdfxhfdhfdzhdh" localSheetId="5">#REF!</definedName>
    <definedName name="dfdsafSHGrshdfxhfdhfdzhdh" localSheetId="7">#REF!</definedName>
    <definedName name="dfdsafSHGrshdfxhfdhfdzhdh">#REF!</definedName>
    <definedName name="dfdsfd">'[161]Plant &amp;  Machinery'!$G$13</definedName>
    <definedName name="dfdsgbsdggdfshfsdhDSGSDFsfsdgdfxzf" localSheetId="2">'[113]Aug,02'!#REF!</definedName>
    <definedName name="dfdsgbsdggdfshfsdhDSGSDFsfsdgdfxzf" localSheetId="1">'[113]Aug,02'!#REF!</definedName>
    <definedName name="dfdsgbsdggdfshfsdhDSGSDFsfsdgdfxzf" localSheetId="4">'[113]Aug,02'!#REF!</definedName>
    <definedName name="dfdsgbsdggdfshfsdhDSGSDFsfsdgdfxzf" localSheetId="6">'[113]Aug,02'!#REF!</definedName>
    <definedName name="dfdsgbsdggdfshfsdhDSGSDFsfsdgdfxzf" localSheetId="5">'[113]Aug,02'!#REF!</definedName>
    <definedName name="dfdsgbsdggdfshfsdhDSGSDFsfsdgdfxzf" localSheetId="7">'[113]Aug,02'!#REF!</definedName>
    <definedName name="dfdsgbsdggdfshfsdhDSGSDFsfsdgdfxzf">'[113]Aug,02'!#REF!</definedName>
    <definedName name="dfhfgdeste" localSheetId="2">'[113]Aug,02'!#REF!</definedName>
    <definedName name="dfhfgdeste" localSheetId="1">'[113]Aug,02'!#REF!</definedName>
    <definedName name="dfhfgdeste" localSheetId="4">'[113]Aug,02'!#REF!</definedName>
    <definedName name="dfhfgdeste" localSheetId="6">'[113]Aug,02'!#REF!</definedName>
    <definedName name="dfhfgdeste" localSheetId="5">'[113]Aug,02'!#REF!</definedName>
    <definedName name="dfhfgdeste" localSheetId="7">'[113]Aug,02'!#REF!</definedName>
    <definedName name="dfhfgdeste">'[113]Aug,02'!#REF!</definedName>
    <definedName name="DFHFGXHFGJN" localSheetId="5">'[113]Aug,02'!#REF!</definedName>
    <definedName name="DFHFGXHFGJN">'[113]Aug,02'!#REF!</definedName>
    <definedName name="DFHZDRGFDHZDT" localSheetId="5">'[113]Aug,02'!#REF!</definedName>
    <definedName name="DFHZDRGFDHZDT">'[113]Aug,02'!#REF!</definedName>
    <definedName name="dflo" hidden="1">{"CASH FLOW",#N/A,FALSE,"A"}</definedName>
    <definedName name="dfshtdhjdfgsdgsdsdf" localSheetId="5">'[113]Aug,02'!#REF!</definedName>
    <definedName name="dfshtdhjdfgsdgsdsdf">'[113]Aug,02'!#REF!</definedName>
    <definedName name="dfsSDFdSSFFFFFFFDsSDDDDDDDDDDDDDDDDD" localSheetId="5">'[113]Aug,02'!#REF!</definedName>
    <definedName name="dfsSDFdSSFFFFFFFDsSDDDDDDDDDDDDDDDDD">'[113]Aug,02'!#REF!</definedName>
    <definedName name="dgsrhgrhregZHEW" localSheetId="2">#REF!</definedName>
    <definedName name="dgsrhgrhregZHEW" localSheetId="1">#REF!</definedName>
    <definedName name="dgsrhgrhregZHEW" localSheetId="4">#REF!</definedName>
    <definedName name="dgsrhgrhregZHEW" localSheetId="6">#REF!</definedName>
    <definedName name="dgsrhgrhregZHEW" localSheetId="5">#REF!</definedName>
    <definedName name="dgsrhgrhregZHEW" localSheetId="7">#REF!</definedName>
    <definedName name="dgsrhgrhregZHEW">#REF!</definedName>
    <definedName name="Diff" localSheetId="2">#REF!</definedName>
    <definedName name="Diff" localSheetId="1">#REF!</definedName>
    <definedName name="Diff" localSheetId="4">#REF!</definedName>
    <definedName name="Diff" localSheetId="6">#REF!</definedName>
    <definedName name="Diff" localSheetId="5">#REF!</definedName>
    <definedName name="Diff" localSheetId="7">#REF!</definedName>
    <definedName name="Diff">#REF!</definedName>
    <definedName name="Discount" localSheetId="5" hidden="1">#REF!</definedName>
    <definedName name="Discount" localSheetId="7" hidden="1">#REF!</definedName>
    <definedName name="Discount" hidden="1">#REF!</definedName>
    <definedName name="disp2" localSheetId="0">#REF!</definedName>
    <definedName name="disp2" localSheetId="4">#REF!</definedName>
    <definedName name="disp2" localSheetId="5">#REF!</definedName>
    <definedName name="disp2" localSheetId="7">#REF!</definedName>
    <definedName name="disp2">#REF!</definedName>
    <definedName name="display_area_2" localSheetId="2" hidden="1">#REF!</definedName>
    <definedName name="display_area_2" localSheetId="1" hidden="1">#REF!</definedName>
    <definedName name="display_area_2" localSheetId="4" hidden="1">#REF!</definedName>
    <definedName name="display_area_2" localSheetId="6" hidden="1">#REF!</definedName>
    <definedName name="display_area_2" localSheetId="5" hidden="1">#REF!</definedName>
    <definedName name="display_area_2" localSheetId="7" hidden="1">#REF!</definedName>
    <definedName name="display_area_2" hidden="1">#REF!</definedName>
    <definedName name="DISTRIBUTION_OF_RAINFALL_AND_YIELD" localSheetId="5">#REF!</definedName>
    <definedName name="DISTRIBUTION_OF_RAINFALL_AND_YIELD" localSheetId="7">#REF!</definedName>
    <definedName name="DISTRIBUTION_OF_RAINFALL_AND_YIELD">#REF!</definedName>
    <definedName name="div" localSheetId="0">[72]coverpage!$E$28</definedName>
    <definedName name="div">[83]coverpage!$E$28</definedName>
    <definedName name="DJ" localSheetId="2">'[113]Aug,02'!#REF!</definedName>
    <definedName name="DJ" localSheetId="1">'[113]Aug,02'!#REF!</definedName>
    <definedName name="DJ" localSheetId="4">'[113]Aug,02'!#REF!</definedName>
    <definedName name="DJ" localSheetId="6">'[113]Aug,02'!#REF!</definedName>
    <definedName name="DJ" localSheetId="5">'[113]Aug,02'!#REF!</definedName>
    <definedName name="DJ" localSheetId="7">'[113]Aug,02'!#REF!</definedName>
    <definedName name="DJ">'[113]Aug,02'!#REF!</definedName>
    <definedName name="DJD" localSheetId="2">#REF!</definedName>
    <definedName name="DJD" localSheetId="0">#REF!</definedName>
    <definedName name="DJD" localSheetId="1">#REF!</definedName>
    <definedName name="DJD" localSheetId="4">#REF!</definedName>
    <definedName name="DJD" localSheetId="6">#REF!</definedName>
    <definedName name="DJD" localSheetId="5">#REF!</definedName>
    <definedName name="DJD" localSheetId="7">#REF!</definedName>
    <definedName name="DJD">#REF!</definedName>
    <definedName name="djgjgfyerwyretraeyrwet" localSheetId="2">'[112]Aug,02'!#REF!</definedName>
    <definedName name="djgjgfyerwyretraeyrwet" localSheetId="1">'[112]Aug,02'!#REF!</definedName>
    <definedName name="djgjgfyerwyretraeyrwet" localSheetId="4">'[112]Aug,02'!#REF!</definedName>
    <definedName name="djgjgfyerwyretraeyrwet" localSheetId="6">'[112]Aug,02'!#REF!</definedName>
    <definedName name="djgjgfyerwyretraeyrwet" localSheetId="5">'[112]Aug,02'!#REF!</definedName>
    <definedName name="djgjgfyerwyretraeyrwet" localSheetId="7">'[112]Aug,02'!#REF!</definedName>
    <definedName name="djgjgfyerwyretraeyrwet">'[112]Aug,02'!#REF!</definedName>
    <definedName name="dk" localSheetId="4">#REF!</definedName>
    <definedName name="dk" localSheetId="5">#REF!</definedName>
    <definedName name="dk" localSheetId="7">#REF!</definedName>
    <definedName name="dk">#REF!</definedName>
    <definedName name="dk_20">#REF!</definedName>
    <definedName name="DKDK">[162]Labour!$D$5</definedName>
    <definedName name="DL" localSheetId="0">'[103]MTC-estimate'!$C$9</definedName>
    <definedName name="DL">'[104]MTC-estimate'!$C$9</definedName>
    <definedName name="DName" localSheetId="2">#REF!</definedName>
    <definedName name="DName" localSheetId="1">#REF!</definedName>
    <definedName name="DName" localSheetId="4">#REF!</definedName>
    <definedName name="DName" localSheetId="6">#REF!</definedName>
    <definedName name="DName" localSheetId="5">#REF!</definedName>
    <definedName name="DName" localSheetId="7">#REF!</definedName>
    <definedName name="DName">#REF!</definedName>
    <definedName name="do___________________________________________________________20_B">'[66]Common '!$D$182</definedName>
    <definedName name="Doc">#N/A</definedName>
    <definedName name="Documents">#N/A</definedName>
    <definedName name="door_sizes">'[123]data existing_do not delete'!$E$33:$E$50</definedName>
    <definedName name="dpofjmd">#REF!</definedName>
    <definedName name="drain" localSheetId="2">#REF!</definedName>
    <definedName name="drain" localSheetId="1">#REF!</definedName>
    <definedName name="drain" localSheetId="4">#REF!</definedName>
    <definedName name="drain" localSheetId="6">#REF!</definedName>
    <definedName name="drain" localSheetId="5">#REF!</definedName>
    <definedName name="drain" localSheetId="7">#REF!</definedName>
    <definedName name="drain">#REF!</definedName>
    <definedName name="DrCstL" localSheetId="5">#REF!</definedName>
    <definedName name="DrCstL" localSheetId="7">#REF!</definedName>
    <definedName name="DrCstL">#REF!</definedName>
    <definedName name="DRLT" localSheetId="2">#REF!</definedName>
    <definedName name="DRLT" localSheetId="1">#REF!</definedName>
    <definedName name="DRLT" localSheetId="4">#REF!</definedName>
    <definedName name="DRLT" localSheetId="6">#REF!</definedName>
    <definedName name="DRLT" localSheetId="5">#REF!</definedName>
    <definedName name="DRLT" localSheetId="7">#REF!</definedName>
    <definedName name="DRLT">#REF!</definedName>
    <definedName name="DropWellDia" localSheetId="5">#REF!</definedName>
    <definedName name="DropWellDia" localSheetId="7">#REF!</definedName>
    <definedName name="DropWellDia">#REF!</definedName>
    <definedName name="Drum_Mix_Plant_40___60_TPH">[66]Usage!$C$5</definedName>
    <definedName name="Dry_rough_stone_revetment_for__aprons_and_stacking_within_40_metres" localSheetId="2">#REF!</definedName>
    <definedName name="Dry_rough_stone_revetment_for__aprons_and_stacking_within_40_metres" localSheetId="1">#REF!</definedName>
    <definedName name="Dry_rough_stone_revetment_for__aprons_and_stacking_within_40_metres" localSheetId="4">#REF!</definedName>
    <definedName name="Dry_rough_stone_revetment_for__aprons_and_stacking_within_40_metres" localSheetId="6">#REF!</definedName>
    <definedName name="Dry_rough_stone_revetment_for__aprons_and_stacking_within_40_metres" localSheetId="5">#REF!</definedName>
    <definedName name="Dry_rough_stone_revetment_for__aprons_and_stacking_within_40_metres" localSheetId="7">#REF!</definedName>
    <definedName name="Dry_rough_stone_revetment_for__aprons_and_stacking_within_40_metres">#REF!</definedName>
    <definedName name="ds" localSheetId="5">#REF!</definedName>
    <definedName name="ds" localSheetId="7">#REF!</definedName>
    <definedName name="ds">#REF!</definedName>
    <definedName name="DSAFASFSAFSA" localSheetId="2">'[113]Aug,02'!#REF!</definedName>
    <definedName name="DSAFASFSAFSA" localSheetId="1">'[113]Aug,02'!#REF!</definedName>
    <definedName name="DSAFASFSAFSA" localSheetId="4">'[113]Aug,02'!#REF!</definedName>
    <definedName name="DSAFASFSAFSA" localSheetId="6">'[113]Aug,02'!#REF!</definedName>
    <definedName name="DSAFASFSAFSA" localSheetId="5">'[113]Aug,02'!#REF!</definedName>
    <definedName name="DSAFASFSAFSA">'[113]Aug,02'!#REF!</definedName>
    <definedName name="dsagsdgtdsagasdfg" localSheetId="2">'[112]Aug,02'!#REF!</definedName>
    <definedName name="dsagsdgtdsagasdfg" localSheetId="1">'[112]Aug,02'!#REF!</definedName>
    <definedName name="dsagsdgtdsagasdfg" localSheetId="4">'[112]Aug,02'!#REF!</definedName>
    <definedName name="dsagsdgtdsagasdfg" localSheetId="6">'[112]Aug,02'!#REF!</definedName>
    <definedName name="dsagsdgtdsagasdfg" localSheetId="5">'[112]Aug,02'!#REF!</definedName>
    <definedName name="dsagsdgtdsagasdfg">'[112]Aug,02'!#REF!</definedName>
    <definedName name="dsds" localSheetId="5">'[163]Aug,02'!#REF!</definedName>
    <definedName name="dsds">'[163]Aug,02'!#REF!</definedName>
    <definedName name="dsdsds">#REF!</definedName>
    <definedName name="dsFDSFdsGFSGGHFFFFFFSGFgFFSG" localSheetId="5">'[113]Aug,02'!#REF!</definedName>
    <definedName name="dsFDSFdsGFSGGHFFFFFFSGFgFFSG">'[113]Aug,02'!#REF!</definedName>
    <definedName name="dsfgdhtfgkhgjHGFJHGKHKHJ" localSheetId="5">'[153]Aug,02'!#REF!</definedName>
    <definedName name="dsfgdhtfgkhgjHGFJHGKHKHJ">'[153]Aug,02'!#REF!</definedName>
    <definedName name="dsgasdhgdfhsdfgsfdgsd" localSheetId="5">'[112]Aug,02'!#REF!</definedName>
    <definedName name="dsgasdhgdfhsdfgsfdgsd">'[112]Aug,02'!#REF!</definedName>
    <definedName name="DSMFL" localSheetId="2">#REF!</definedName>
    <definedName name="DSMFL" localSheetId="1">#REF!</definedName>
    <definedName name="DSMFL" localSheetId="4">#REF!</definedName>
    <definedName name="DSMFL" localSheetId="6">#REF!</definedName>
    <definedName name="DSMFL" localSheetId="5">#REF!</definedName>
    <definedName name="DSMFL" localSheetId="7">#REF!</definedName>
    <definedName name="DSMFL">#REF!</definedName>
    <definedName name="dt" localSheetId="2">#REF!</definedName>
    <definedName name="dt" localSheetId="0">[152]data!#REF!</definedName>
    <definedName name="dt" localSheetId="1">#REF!</definedName>
    <definedName name="dt" localSheetId="4">#REF!</definedName>
    <definedName name="dt" localSheetId="6">#REF!</definedName>
    <definedName name="dt" localSheetId="5">#REF!</definedName>
    <definedName name="dt" localSheetId="7">#REF!</definedName>
    <definedName name="dt">#REF!</definedName>
    <definedName name="DTS_APTS" localSheetId="0">#REF!</definedName>
    <definedName name="DTS_APTS" localSheetId="5">#REF!</definedName>
    <definedName name="DTS_APTS" localSheetId="7">#REF!</definedName>
    <definedName name="DTS_APTS">#REF!</definedName>
    <definedName name="DTS_BT6" localSheetId="0">#REF!</definedName>
    <definedName name="DTS_BT6" localSheetId="5">#REF!</definedName>
    <definedName name="DTS_BT6" localSheetId="7">#REF!</definedName>
    <definedName name="DTS_BT6">#REF!</definedName>
    <definedName name="DTS_BT8" localSheetId="0">#REF!</definedName>
    <definedName name="DTS_BT8" localSheetId="5">#REF!</definedName>
    <definedName name="DTS_BT8" localSheetId="7">#REF!</definedName>
    <definedName name="DTS_BT8">#REF!</definedName>
    <definedName name="DTS_BTE" localSheetId="5">#REF!</definedName>
    <definedName name="DTS_BTE" localSheetId="7">#REF!</definedName>
    <definedName name="DTS_BTE">#REF!</definedName>
    <definedName name="DTS_C1" localSheetId="5">#REF!</definedName>
    <definedName name="DTS_C1" localSheetId="7">#REF!</definedName>
    <definedName name="DTS_C1">#REF!</definedName>
    <definedName name="DTS_CC" localSheetId="5">#REF!</definedName>
    <definedName name="DTS_CC" localSheetId="7">#REF!</definedName>
    <definedName name="DTS_CC">#REF!</definedName>
    <definedName name="DTS_CEM" localSheetId="5">#REF!</definedName>
    <definedName name="DTS_CEM" localSheetId="7">#REF!</definedName>
    <definedName name="DTS_CEM">#REF!</definedName>
    <definedName name="DTS_ECV" localSheetId="5">#REF!</definedName>
    <definedName name="DTS_ECV" localSheetId="7">#REF!</definedName>
    <definedName name="DTS_ECV">#REF!</definedName>
    <definedName name="DTS_EMD" localSheetId="5">#REF!</definedName>
    <definedName name="DTS_EMD" localSheetId="7">#REF!</definedName>
    <definedName name="DTS_EMD">#REF!</definedName>
    <definedName name="DTS_EW" localSheetId="5">#REF!</definedName>
    <definedName name="DTS_EW" localSheetId="7">#REF!</definedName>
    <definedName name="DTS_EW">#REF!</definedName>
    <definedName name="DTS_GSB" localSheetId="5">#REF!</definedName>
    <definedName name="DTS_GSB" localSheetId="7">#REF!</definedName>
    <definedName name="DTS_GSB">#REF!</definedName>
    <definedName name="DTS_HYSD" localSheetId="5">#REF!</definedName>
    <definedName name="DTS_HYSD" localSheetId="7">#REF!</definedName>
    <definedName name="DTS_HYSD">#REF!</definedName>
    <definedName name="DTS_LIQ" localSheetId="5">#REF!</definedName>
    <definedName name="DTS_LIQ" localSheetId="7">#REF!</definedName>
    <definedName name="DTS_LIQ">#REF!</definedName>
    <definedName name="DTS_MSS" localSheetId="5">#REF!</definedName>
    <definedName name="DTS_MSS" localSheetId="7">#REF!</definedName>
    <definedName name="DTS_MSS">#REF!</definedName>
    <definedName name="DTS_PER" localSheetId="5">#REF!</definedName>
    <definedName name="DTS_PER" localSheetId="7">#REF!</definedName>
    <definedName name="DTS_PER">#REF!</definedName>
    <definedName name="DTS_REG" localSheetId="5">#REF!</definedName>
    <definedName name="DTS_REG" localSheetId="7">#REF!</definedName>
    <definedName name="DTS_REG">#REF!</definedName>
    <definedName name="DTS_SIM" localSheetId="5">#REF!</definedName>
    <definedName name="DTS_SIM" localSheetId="7">#REF!</definedName>
    <definedName name="DTS_SIM">#REF!</definedName>
    <definedName name="DTS_VRCC" localSheetId="5">#REF!</definedName>
    <definedName name="DTS_VRCC" localSheetId="7">#REF!</definedName>
    <definedName name="DTS_VRCC">#REF!</definedName>
    <definedName name="DTS_WBM" localSheetId="5">#REF!</definedName>
    <definedName name="DTS_WBM" localSheetId="7">#REF!</definedName>
    <definedName name="DTS_WBM">#REF!</definedName>
    <definedName name="du">'[129]Ch_9_ 1.00mt Drop'!$F$6</definedName>
    <definedName name="DUST" localSheetId="0">[52]MRATES!$M$17</definedName>
    <definedName name="DUST" localSheetId="4">[7]Sheet1!$F$17</definedName>
    <definedName name="DUST">[53]MRATES!$M$17</definedName>
    <definedName name="dwdw1">'[51]Ch13.00 1Mt Drop'!$H$35</definedName>
    <definedName name="dwdw2">'[51]15_Design_1.0M_Drop'!$H$35</definedName>
    <definedName name="E" localSheetId="2" hidden="1">{"'ridftotal'!$A$4:$S$27"}</definedName>
    <definedName name="E" localSheetId="1" hidden="1">{"'ridftotal'!$A$4:$S$27"}</definedName>
    <definedName name="E" localSheetId="4" hidden="1">{"'ridftotal'!$A$4:$S$27"}</definedName>
    <definedName name="E" localSheetId="6" hidden="1">{"'ridftotal'!$A$4:$S$27"}</definedName>
    <definedName name="E" localSheetId="5" hidden="1">{"'ridftotal'!$A$4:$S$27"}</definedName>
    <definedName name="E" localSheetId="7" hidden="1">{"'ridftotal'!$A$4:$S$27"}</definedName>
    <definedName name="E" hidden="1">{"'ridftotal'!$A$4:$S$27"}</definedName>
    <definedName name="E_17" localSheetId="0">[164]Rates!$C$24</definedName>
    <definedName name="E_17">[165]Rates!$C$24</definedName>
    <definedName name="E_W_SIDE">#N/A</definedName>
    <definedName name="e9i65s9i769id67i9" localSheetId="2">'[153]Aug,02'!#REF!</definedName>
    <definedName name="e9i65s9i769id67i9" localSheetId="1">'[153]Aug,02'!#REF!</definedName>
    <definedName name="e9i65s9i769id67i9" localSheetId="4">'[153]Aug,02'!#REF!</definedName>
    <definedName name="e9i65s9i769id67i9" localSheetId="6">'[153]Aug,02'!#REF!</definedName>
    <definedName name="e9i65s9i769id67i9" localSheetId="5">'[153]Aug,02'!#REF!</definedName>
    <definedName name="e9i65s9i769id67i9" localSheetId="7">'[153]Aug,02'!#REF!</definedName>
    <definedName name="e9i65s9i769id67i9">'[153]Aug,02'!#REF!</definedName>
    <definedName name="Earth_and_gravel" localSheetId="2">#REF!</definedName>
    <definedName name="Earth_and_gravel" localSheetId="1">#REF!</definedName>
    <definedName name="Earth_and_gravel" localSheetId="4">#REF!</definedName>
    <definedName name="Earth_and_gravel" localSheetId="6">#REF!</definedName>
    <definedName name="Earth_and_gravel" localSheetId="5">#REF!</definedName>
    <definedName name="Earth_and_gravel" localSheetId="7">#REF!</definedName>
    <definedName name="Earth_and_gravel">#REF!</definedName>
    <definedName name="EARTH_D" localSheetId="0">[52]MRATES!$K$33</definedName>
    <definedName name="EARTH_D">[53]MRATES!$K$33</definedName>
    <definedName name="Earth_Lead">'[123]data existing_do not delete'!$F$75:$F$230</definedName>
    <definedName name="ec" localSheetId="0">[166]m!$M$3</definedName>
    <definedName name="ec">[167]m!$M$3</definedName>
    <definedName name="ECus" localSheetId="2">#REF!</definedName>
    <definedName name="ECus" localSheetId="1">#REF!</definedName>
    <definedName name="ECus" localSheetId="4">#REF!</definedName>
    <definedName name="ECus" localSheetId="6">#REF!</definedName>
    <definedName name="ECus" localSheetId="5">#REF!</definedName>
    <definedName name="ECus" localSheetId="7">#REF!</definedName>
    <definedName name="ECus">#REF!</definedName>
    <definedName name="ECV" localSheetId="2">#REF!</definedName>
    <definedName name="ECV" localSheetId="0">#REF!</definedName>
    <definedName name="ECV" localSheetId="1">#REF!</definedName>
    <definedName name="ECV" localSheetId="4">#REF!</definedName>
    <definedName name="ECV" localSheetId="6">#REF!</definedName>
    <definedName name="ECV" localSheetId="5">#REF!</definedName>
    <definedName name="ECV" localSheetId="7">#REF!</definedName>
    <definedName name="ECV">#REF!</definedName>
    <definedName name="EE" localSheetId="0">[103]LEAD!$H$53</definedName>
    <definedName name="EE">[104]LEAD!$H$53</definedName>
    <definedName name="ef" localSheetId="2">#REF!</definedName>
    <definedName name="ef" localSheetId="1">#REF!</definedName>
    <definedName name="ef" localSheetId="4">#REF!</definedName>
    <definedName name="ef" localSheetId="6">#REF!</definedName>
    <definedName name="ef" localSheetId="5">#REF!</definedName>
    <definedName name="ef" localSheetId="7">#REF!</definedName>
    <definedName name="ef">#REF!</definedName>
    <definedName name="efef" localSheetId="5">#REF!</definedName>
    <definedName name="efef" localSheetId="7">#REF!</definedName>
    <definedName name="efef">#REF!</definedName>
    <definedName name="effe" localSheetId="5">#REF!</definedName>
    <definedName name="effe" localSheetId="7">#REF!</definedName>
    <definedName name="effe">#REF!</definedName>
    <definedName name="efrsadFADFDSGRGDGs" localSheetId="2">'[113]Aug,02'!#REF!</definedName>
    <definedName name="efrsadFADFDSGRGDGs" localSheetId="1">'[113]Aug,02'!#REF!</definedName>
    <definedName name="efrsadFADFDSGRGDGs" localSheetId="4">'[113]Aug,02'!#REF!</definedName>
    <definedName name="efrsadFADFDSGRGDGs" localSheetId="6">'[113]Aug,02'!#REF!</definedName>
    <definedName name="efrsadFADFDSGRGDGs" localSheetId="5">'[113]Aug,02'!#REF!</definedName>
    <definedName name="efrsadFADFDSGRGDGs">'[113]Aug,02'!#REF!</definedName>
    <definedName name="egar">[168]Material!$D$117</definedName>
    <definedName name="ehyrehytrdsjyutujdrthy" localSheetId="2">'[113]Aug,02'!#REF!</definedName>
    <definedName name="ehyrehytrdsjyutujdrthy" localSheetId="1">'[113]Aug,02'!#REF!</definedName>
    <definedName name="ehyrehytrdsjyutujdrthy" localSheetId="4">'[113]Aug,02'!#REF!</definedName>
    <definedName name="ehyrehytrdsjyutujdrthy" localSheetId="6">'[113]Aug,02'!#REF!</definedName>
    <definedName name="ehyrehytrdsjyutujdrthy" localSheetId="5">'[113]Aug,02'!#REF!</definedName>
    <definedName name="ehyrehytrdsjyutujdrthy" localSheetId="7">'[113]Aug,02'!#REF!</definedName>
    <definedName name="ehyrehytrdsjyutujdrthy">'[113]Aug,02'!#REF!</definedName>
    <definedName name="Email" localSheetId="2">#REF!</definedName>
    <definedName name="Email" localSheetId="1">#REF!</definedName>
    <definedName name="Email" localSheetId="4">#REF!</definedName>
    <definedName name="Email" localSheetId="6">#REF!</definedName>
    <definedName name="Email" localSheetId="5">#REF!</definedName>
    <definedName name="Email" localSheetId="7">#REF!</definedName>
    <definedName name="Email">#REF!</definedName>
    <definedName name="EMMS" localSheetId="0">[169]MRATES!#REF!</definedName>
    <definedName name="EMMS" localSheetId="4">[43]MRATES!#REF!</definedName>
    <definedName name="EMMS" localSheetId="5">[170]MRATES!#REF!</definedName>
    <definedName name="EMMS" localSheetId="7">[170]MRATES!#REF!</definedName>
    <definedName name="EMMS">[170]MRATES!#REF!</definedName>
    <definedName name="End_Bal">#REF!</definedName>
    <definedName name="enter">#REF!</definedName>
    <definedName name="err">#N/A</definedName>
    <definedName name="errght">#N/A</definedName>
    <definedName name="ERTGREYTRSDUTRUTR" localSheetId="5">'[153]Aug,02'!#REF!</definedName>
    <definedName name="ERTGREYTRSDUTRUTR" localSheetId="7">'[153]Aug,02'!#REF!</definedName>
    <definedName name="ERTGREYTRSDUTRUTR">'[153]Aug,02'!#REF!</definedName>
    <definedName name="ERYUI">'[171]Plant &amp;  Machinery'!$G$13</definedName>
    <definedName name="ES20B">[7]Sheet1!$F$32</definedName>
    <definedName name="esrfewtewrew" localSheetId="2">#REF!</definedName>
    <definedName name="esrfewtewrew" localSheetId="1">#REF!</definedName>
    <definedName name="esrfewtewrew" localSheetId="4">#REF!</definedName>
    <definedName name="esrfewtewrew" localSheetId="6">#REF!</definedName>
    <definedName name="esrfewtewrew" localSheetId="5">#REF!</definedName>
    <definedName name="esrfewtewrew" localSheetId="7">#REF!</definedName>
    <definedName name="esrfewtewrew">#REF!</definedName>
    <definedName name="est" localSheetId="5">#REF!</definedName>
    <definedName name="est" localSheetId="7">#REF!</definedName>
    <definedName name="est">#REF!</definedName>
    <definedName name="etaertgrthdfhy" localSheetId="2">'[113]Aug,02'!#REF!</definedName>
    <definedName name="etaertgrthdfhy" localSheetId="1">'[113]Aug,02'!#REF!</definedName>
    <definedName name="etaertgrthdfhy" localSheetId="4">'[113]Aug,02'!#REF!</definedName>
    <definedName name="etaertgrthdfhy" localSheetId="6">'[113]Aug,02'!#REF!</definedName>
    <definedName name="etaertgrthdfhy" localSheetId="5">'[113]Aug,02'!#REF!</definedName>
    <definedName name="etaertgrthdfhy">'[113]Aug,02'!#REF!</definedName>
    <definedName name="ETCA" localSheetId="2">#REF!</definedName>
    <definedName name="ETCA" localSheetId="1">#REF!</definedName>
    <definedName name="ETCA" localSheetId="4">#REF!</definedName>
    <definedName name="ETCA" localSheetId="6">#REF!</definedName>
    <definedName name="ETCA" localSheetId="5">#REF!</definedName>
    <definedName name="ETCA" localSheetId="7">#REF!</definedName>
    <definedName name="ETCA">#REF!</definedName>
    <definedName name="etnotable" localSheetId="5">#REF!</definedName>
    <definedName name="etnotable" localSheetId="7">#REF!</definedName>
    <definedName name="etnotable">#REF!</definedName>
    <definedName name="ETRAY" localSheetId="5">#REF!</definedName>
    <definedName name="ETRAY" localSheetId="7">#REF!</definedName>
    <definedName name="ETRAY">#REF!</definedName>
    <definedName name="etreytrestyrester" localSheetId="2">'[113]Aug,02'!#REF!</definedName>
    <definedName name="etreytrestyrester" localSheetId="1">'[113]Aug,02'!#REF!</definedName>
    <definedName name="etreytrestyrester" localSheetId="4">'[113]Aug,02'!#REF!</definedName>
    <definedName name="etreytrestyrester" localSheetId="6">'[113]Aug,02'!#REF!</definedName>
    <definedName name="etreytrestyrester" localSheetId="5">'[113]Aug,02'!#REF!</definedName>
    <definedName name="etreytrestyrester">'[113]Aug,02'!#REF!</definedName>
    <definedName name="ETTABLE" localSheetId="2">#REF!</definedName>
    <definedName name="ETTABLE" localSheetId="1">#REF!</definedName>
    <definedName name="ETTABLE" localSheetId="4">#REF!</definedName>
    <definedName name="ETTABLE" localSheetId="6">#REF!</definedName>
    <definedName name="ETTABLE" localSheetId="5">#REF!</definedName>
    <definedName name="ETTABLE" localSheetId="7">#REF!</definedName>
    <definedName name="ETTABLE">#REF!</definedName>
    <definedName name="ETTEL" localSheetId="5">#REF!</definedName>
    <definedName name="ETTEL" localSheetId="7">#REF!</definedName>
    <definedName name="ETTEL">#REF!</definedName>
    <definedName name="EW">[61]maya!$A$1:$A$2</definedName>
    <definedName name="EW_by_Machine" localSheetId="2">#REF!</definedName>
    <definedName name="EW_by_Machine" localSheetId="1">#REF!</definedName>
    <definedName name="EW_by_Machine" localSheetId="4">#REF!</definedName>
    <definedName name="EW_by_Machine" localSheetId="6">#REF!</definedName>
    <definedName name="EW_by_Machine" localSheetId="5">#REF!</definedName>
    <definedName name="EW_by_Machine" localSheetId="7">#REF!</definedName>
    <definedName name="EW_by_Machine">#REF!</definedName>
    <definedName name="EW20A">[7]Sheet1!$F$31</definedName>
    <definedName name="EWBULK">[7]Sheet1!$F$30</definedName>
    <definedName name="ewf" localSheetId="2">#REF!</definedName>
    <definedName name="ewf" localSheetId="1">#REF!</definedName>
    <definedName name="ewf" localSheetId="4">#REF!</definedName>
    <definedName name="ewf" localSheetId="6">#REF!</definedName>
    <definedName name="ewf" localSheetId="5">#REF!</definedName>
    <definedName name="ewf" localSheetId="7">#REF!</definedName>
    <definedName name="ewf">#REF!</definedName>
    <definedName name="ewgsrg" localSheetId="5">#REF!</definedName>
    <definedName name="ewgsrg" localSheetId="7">#REF!</definedName>
    <definedName name="ewgsrg">#REF!</definedName>
    <definedName name="EWork" localSheetId="5">#REF!</definedName>
    <definedName name="EWork" localSheetId="7">#REF!</definedName>
    <definedName name="EWork">#REF!</definedName>
    <definedName name="EWSTM">[172]ewst!$E$13:$R$172</definedName>
    <definedName name="ewstmt" localSheetId="0">[173]bundqty!$E$98:$R$258</definedName>
    <definedName name="ewstmt" localSheetId="4">#REF!</definedName>
    <definedName name="ewstmt" localSheetId="3">#REF!</definedName>
    <definedName name="ewstmt" localSheetId="5">#REF!</definedName>
    <definedName name="ewstmt" localSheetId="7">#REF!</definedName>
    <definedName name="ewstmt">#REF!</definedName>
    <definedName name="excavationrate">'[174]data existing_do not delete'!$J$2:$J$9</definedName>
    <definedName name="excel">#REF!</definedName>
    <definedName name="Excel_BuiltIn__FilterDatabase_1">#REF!</definedName>
    <definedName name="Excel_BuiltIn__FilterDatabase_2">'[175]EW D.EST'!#REF!</definedName>
    <definedName name="Excel_BuiltIn__FilterDatabase_23" localSheetId="2">#REF!</definedName>
    <definedName name="Excel_BuiltIn__FilterDatabase_23" localSheetId="1">#REF!</definedName>
    <definedName name="Excel_BuiltIn__FilterDatabase_23" localSheetId="4">#REF!</definedName>
    <definedName name="Excel_BuiltIn__FilterDatabase_23" localSheetId="6">#REF!</definedName>
    <definedName name="Excel_BuiltIn__FilterDatabase_23" localSheetId="5">#REF!</definedName>
    <definedName name="Excel_BuiltIn__FilterDatabase_23" localSheetId="7">#REF!</definedName>
    <definedName name="Excel_BuiltIn__FilterDatabase_23">#REF!</definedName>
    <definedName name="Excel_BuiltIn__FilterDatabase_25" localSheetId="2">#REF!</definedName>
    <definedName name="Excel_BuiltIn__FilterDatabase_25" localSheetId="1">#REF!</definedName>
    <definedName name="Excel_BuiltIn__FilterDatabase_25" localSheetId="4">#REF!</definedName>
    <definedName name="Excel_BuiltIn__FilterDatabase_25" localSheetId="6">#REF!</definedName>
    <definedName name="Excel_BuiltIn__FilterDatabase_25" localSheetId="5">#REF!</definedName>
    <definedName name="Excel_BuiltIn__FilterDatabase_25" localSheetId="7">#REF!</definedName>
    <definedName name="Excel_BuiltIn__FilterDatabase_25">#REF!</definedName>
    <definedName name="Excel_BuiltIn__FilterDatabase_26" localSheetId="2">[176]Structures!#REF!</definedName>
    <definedName name="Excel_BuiltIn__FilterDatabase_26" localSheetId="0">[177]Structures!#REF!</definedName>
    <definedName name="Excel_BuiltIn__FilterDatabase_26" localSheetId="1">[176]Structures!#REF!</definedName>
    <definedName name="Excel_BuiltIn__FilterDatabase_26" localSheetId="4">[176]Structures!#REF!</definedName>
    <definedName name="Excel_BuiltIn__FilterDatabase_26" localSheetId="6">[176]Structures!#REF!</definedName>
    <definedName name="Excel_BuiltIn__FilterDatabase_26" localSheetId="5">[176]Structures!#REF!</definedName>
    <definedName name="Excel_BuiltIn__FilterDatabase_26">[176]Structures!#REF!</definedName>
    <definedName name="Excel_BuiltIn__FilterDatabase_3">#REF!</definedName>
    <definedName name="Excel_BuiltIn__FilterDatabase_30" localSheetId="2">#REF!</definedName>
    <definedName name="Excel_BuiltIn__FilterDatabase_30" localSheetId="1">#REF!</definedName>
    <definedName name="Excel_BuiltIn__FilterDatabase_30" localSheetId="4">#REF!</definedName>
    <definedName name="Excel_BuiltIn__FilterDatabase_30" localSheetId="6">#REF!</definedName>
    <definedName name="Excel_BuiltIn__FilterDatabase_30" localSheetId="5">#REF!</definedName>
    <definedName name="Excel_BuiltIn__FilterDatabase_30" localSheetId="7">#REF!</definedName>
    <definedName name="Excel_BuiltIn__FilterDatabase_30">#REF!</definedName>
    <definedName name="Excel_BuiltIn__FilterDatabase_5" localSheetId="2">#REF!</definedName>
    <definedName name="Excel_BuiltIn__FilterDatabase_5" localSheetId="1">#REF!</definedName>
    <definedName name="Excel_BuiltIn__FilterDatabase_5" localSheetId="4">#REF!</definedName>
    <definedName name="Excel_BuiltIn__FilterDatabase_5" localSheetId="6">#REF!</definedName>
    <definedName name="Excel_BuiltIn__FilterDatabase_5" localSheetId="5">#REF!</definedName>
    <definedName name="Excel_BuiltIn__FilterDatabase_5" localSheetId="7">#REF!</definedName>
    <definedName name="Excel_BuiltIn__FilterDatabase_5">#REF!</definedName>
    <definedName name="Excel_BuiltIn__FilterDatabase_5_1">'[178]CM CR'!#REF!</definedName>
    <definedName name="Excel_BuiltIn__FilterDatabase_6" localSheetId="5">#REF!</definedName>
    <definedName name="Excel_BuiltIn__FilterDatabase_6" localSheetId="7">#REF!</definedName>
    <definedName name="Excel_BuiltIn__FilterDatabase_6">#REF!</definedName>
    <definedName name="Excel_BuiltIn_Data_Form">#N/A</definedName>
    <definedName name="Excel_BuiltIn_Data_Form_19">#N/A</definedName>
    <definedName name="Excel_BuiltIn_Data_Form_2">#N/A</definedName>
    <definedName name="Excel_BuiltIn_Data_Form_20">#N/A</definedName>
    <definedName name="Excel_BuiltIn_Data_Form_21">#N/A</definedName>
    <definedName name="Excel_BuiltIn_Data_Form_35">#N/A</definedName>
    <definedName name="Excel_BuiltIn_Data_Form_7">#N/A</definedName>
    <definedName name="Excel_BuiltIn_Data_Form_8">#N/A</definedName>
    <definedName name="Excel_BuiltIn_Data_Form_9">#N/A</definedName>
    <definedName name="Excel_BuiltIn_Print_Area" localSheetId="5">#REF!</definedName>
    <definedName name="Excel_BuiltIn_Print_Area" localSheetId="7">#REF!</definedName>
    <definedName name="Excel_BuiltIn_Print_Area">#REF!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#REF!</definedName>
    <definedName name="Excel_BuiltIn_Print_Area_1_1_1_1">#REF!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 localSheetId="7">#REF!</definedName>
    <definedName name="Excel_BuiltIn_Print_Area_11_1">#REF!</definedName>
    <definedName name="Excel_BuiltIn_Print_Area_11_1_1">#REF!</definedName>
    <definedName name="Excel_BuiltIn_Print_Area_12" localSheetId="7">#REF!</definedName>
    <definedName name="Excel_BuiltIn_Print_Area_12">#REF!</definedName>
    <definedName name="Excel_BuiltIn_Print_Area_12_1" localSheetId="7">#REF!</definedName>
    <definedName name="Excel_BuiltIn_Print_Area_12_1">#REF!</definedName>
    <definedName name="Excel_BuiltIn_Print_Area_12_1_1">#REF!</definedName>
    <definedName name="Excel_BuiltIn_Print_Area_13">#REF!</definedName>
    <definedName name="Excel_BuiltIn_Print_Area_13_1">#REF!</definedName>
    <definedName name="Excel_BuiltIn_Print_Area_14">#REF!</definedName>
    <definedName name="Excel_BuiltIn_Print_Area_14_1">#REF!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7_1" localSheetId="0">#REF!</definedName>
    <definedName name="Excel_BuiltIn_Print_Area_17_1" localSheetId="4">#REF!</definedName>
    <definedName name="Excel_BuiltIn_Print_Area_17_1" localSheetId="5">#REF!</definedName>
    <definedName name="Excel_BuiltIn_Print_Area_17_1" localSheetId="7">#REF!</definedName>
    <definedName name="Excel_BuiltIn_Print_Area_17_1">#REF!</definedName>
    <definedName name="Excel_BuiltIn_Print_Area_18" localSheetId="0">#REF!</definedName>
    <definedName name="Excel_BuiltIn_Print_Area_18">#REF!</definedName>
    <definedName name="Excel_BuiltIn_Print_Area_18_1">#REF!</definedName>
    <definedName name="Excel_BuiltIn_Print_Area_19_1">#REF!</definedName>
    <definedName name="Excel_BuiltIn_Print_Area_2" localSheetId="4">#REF!</definedName>
    <definedName name="Excel_BuiltIn_Print_Area_2" localSheetId="5">#REF!</definedName>
    <definedName name="Excel_BuiltIn_Print_Area_2" localSheetId="7">#REF!</definedName>
    <definedName name="Excel_BuiltIn_Print_Area_2">#REF!</definedName>
    <definedName name="Excel_BuiltIn_Print_Area_2_1">#REF!</definedName>
    <definedName name="Excel_BuiltIn_Print_Area_2_1_1" localSheetId="0">#REF!</definedName>
    <definedName name="Excel_BuiltIn_Print_Area_2_1_1">(#REF!,#REF!)</definedName>
    <definedName name="Excel_BuiltIn_Print_Area_2_1_1_1">#REF!</definedName>
    <definedName name="Excel_BuiltIn_Print_Area_20">#REF!</definedName>
    <definedName name="Excel_BuiltIn_Print_Area_20_1">#REF!</definedName>
    <definedName name="Excel_BuiltIn_Print_Area_21">#REF!</definedName>
    <definedName name="Excel_BuiltIn_Print_Area_22">#REF!</definedName>
    <definedName name="Excel_BuiltIn_Print_Area_22_1">#REF!</definedName>
    <definedName name="Excel_BuiltIn_Print_Area_23" localSheetId="2">[127]bcratio2!#REF!</definedName>
    <definedName name="Excel_BuiltIn_Print_Area_23" localSheetId="0">[126]bcratio2!#REF!</definedName>
    <definedName name="Excel_BuiltIn_Print_Area_23" localSheetId="1">[127]bcratio2!#REF!</definedName>
    <definedName name="Excel_BuiltIn_Print_Area_23" localSheetId="4">[127]bcratio2!#REF!</definedName>
    <definedName name="Excel_BuiltIn_Print_Area_23" localSheetId="6">[127]bcratio2!#REF!</definedName>
    <definedName name="Excel_BuiltIn_Print_Area_23" localSheetId="5">[127]bcratio2!#REF!</definedName>
    <definedName name="Excel_BuiltIn_Print_Area_23" localSheetId="7">[127]bcratio2!#REF!</definedName>
    <definedName name="Excel_BuiltIn_Print_Area_23">[127]bcratio2!#REF!</definedName>
    <definedName name="Excel_BuiltIn_Print_Area_23_1">#REF!</definedName>
    <definedName name="Excel_BuiltIn_Print_Area_25" localSheetId="0">#REF!</definedName>
    <definedName name="Excel_BuiltIn_Print_Area_25">(#REF!,#REF!)</definedName>
    <definedName name="Excel_BuiltIn_Print_Area_26" localSheetId="0">#REF!</definedName>
    <definedName name="Excel_BuiltIn_Print_Area_26">#REF!</definedName>
    <definedName name="Excel_BuiltIn_Print_Area_27">#REF!</definedName>
    <definedName name="Excel_BuiltIn_Print_Area_3" localSheetId="4">#REF!</definedName>
    <definedName name="Excel_BuiltIn_Print_Area_3" localSheetId="5">#REF!</definedName>
    <definedName name="Excel_BuiltIn_Print_Area_3" localSheetId="7">#REF!</definedName>
    <definedName name="Excel_BuiltIn_Print_Area_3">#REF!</definedName>
    <definedName name="Excel_BuiltIn_Print_Area_3_1" localSheetId="0">#REF!</definedName>
    <definedName name="Excel_BuiltIn_Print_Area_3_1" localSheetId="4">#REF!</definedName>
    <definedName name="Excel_BuiltIn_Print_Area_3_1" localSheetId="5">#REF!</definedName>
    <definedName name="Excel_BuiltIn_Print_Area_3_1" localSheetId="7">#REF!</definedName>
    <definedName name="Excel_BuiltIn_Print_Area_3_1">#REF!</definedName>
    <definedName name="Excel_BuiltIn_Print_Area_3_1_1" localSheetId="0">#REF!</definedName>
    <definedName name="Excel_BuiltIn_Print_Area_3_1_1" localSheetId="4">#REF!</definedName>
    <definedName name="Excel_BuiltIn_Print_Area_3_1_1" localSheetId="5">#REF!</definedName>
    <definedName name="Excel_BuiltIn_Print_Area_3_1_1">#REF!</definedName>
    <definedName name="Excel_BuiltIn_Print_Area_3_1_1_1">#REF!</definedName>
    <definedName name="Excel_BuiltIn_Print_Area_3_1_1_1_1">#REF!</definedName>
    <definedName name="Excel_BuiltIn_Print_Area_3_1_20">#REF!</definedName>
    <definedName name="Excel_BuiltIn_Print_Area_30">#REF!</definedName>
    <definedName name="Excel_BuiltIn_Print_Area_31">#REF!</definedName>
    <definedName name="Excel_BuiltIn_Print_Area_32">#REF!</definedName>
    <definedName name="Excel_BuiltIn_Print_Area_33">#REF!</definedName>
    <definedName name="Excel_BuiltIn_Print_Area_34">#REF!</definedName>
    <definedName name="Excel_BuiltIn_Print_Area_35">#REF!</definedName>
    <definedName name="Excel_BuiltIn_Print_Area_4" localSheetId="4">#REF!</definedName>
    <definedName name="Excel_BuiltIn_Print_Area_4" localSheetId="5">#REF!</definedName>
    <definedName name="Excel_BuiltIn_Print_Area_4" localSheetId="7">#REF!</definedName>
    <definedName name="Excel_BuiltIn_Print_Area_4">#REF!</definedName>
    <definedName name="Excel_BuiltIn_Print_Area_4_1" localSheetId="4">#REF!</definedName>
    <definedName name="Excel_BuiltIn_Print_Area_4_1" localSheetId="5">#REF!</definedName>
    <definedName name="Excel_BuiltIn_Print_Area_4_1" localSheetId="7">#REF!</definedName>
    <definedName name="Excel_BuiltIn_Print_Area_4_1">#REF!</definedName>
    <definedName name="Excel_BuiltIn_Print_Area_4_1_1" localSheetId="5">#REF!</definedName>
    <definedName name="Excel_BuiltIn_Print_Area_4_1_1" localSheetId="7">#REF!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20">#REF!</definedName>
    <definedName name="Excel_BuiltIn_Print_Area_5" localSheetId="7">#REF!</definedName>
    <definedName name="Excel_BuiltIn_Print_Area_5">#REF!</definedName>
    <definedName name="Excel_BuiltIn_Print_Area_5_1" localSheetId="5">#REF!</definedName>
    <definedName name="Excel_BuiltIn_Print_Area_5_1" localSheetId="7">#REF!</definedName>
    <definedName name="Excel_BuiltIn_Print_Area_5_1">#REF!</definedName>
    <definedName name="Excel_BuiltIn_Print_Area_5_1_1" localSheetId="5">#REF!</definedName>
    <definedName name="Excel_BuiltIn_Print_Area_5_1_1" localSheetId="7">#REF!</definedName>
    <definedName name="Excel_BuiltIn_Print_Area_5_1_1">#REF!</definedName>
    <definedName name="Excel_BuiltIn_Print_Area_5_1_1_1" localSheetId="0">#REF!</definedName>
    <definedName name="Excel_BuiltIn_Print_Area_5_1_1_1">"$#REF!.$A$1:$K$612"</definedName>
    <definedName name="Excel_BuiltIn_Print_Area_5_1_1_1_1">#REF!</definedName>
    <definedName name="Excel_BuiltIn_Print_Area_5_20">#REF!</definedName>
    <definedName name="Excel_BuiltIn_Print_Area_6" localSheetId="0">#REF!</definedName>
    <definedName name="Excel_BuiltIn_Print_Area_6">'[178]CM CL'!#REF!</definedName>
    <definedName name="Excel_BuiltIn_Print_Area_6_1" localSheetId="4">#REF!</definedName>
    <definedName name="Excel_BuiltIn_Print_Area_6_1" localSheetId="5">#REF!</definedName>
    <definedName name="Excel_BuiltIn_Print_Area_6_1" localSheetId="7">#REF!</definedName>
    <definedName name="Excel_BuiltIn_Print_Area_6_1">#REF!</definedName>
    <definedName name="Excel_BuiltIn_Print_Area_6_1_1" localSheetId="4">#REF!</definedName>
    <definedName name="Excel_BuiltIn_Print_Area_6_1_1" localSheetId="5">#REF!</definedName>
    <definedName name="Excel_BuiltIn_Print_Area_6_1_1" localSheetId="7">#REF!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8">#REF!</definedName>
    <definedName name="Excel_BuiltIn_Print_Area_8_1" localSheetId="0">#REF!</definedName>
    <definedName name="Excel_BuiltIn_Print_Area_8_1" localSheetId="4">#REF!</definedName>
    <definedName name="Excel_BuiltIn_Print_Area_8_1" localSheetId="5">#REF!</definedName>
    <definedName name="Excel_BuiltIn_Print_Area_8_1" localSheetId="7">#REF!</definedName>
    <definedName name="Excel_BuiltIn_Print_Area_8_1">#REF!</definedName>
    <definedName name="Excel_BuiltIn_Print_Area_8_1_1">"$#REF!.$A$1:$J$697"</definedName>
    <definedName name="Excel_BuiltIn_Print_Area_8_1_1_1">#REF!</definedName>
    <definedName name="Excel_BuiltIn_Print_Area_9" localSheetId="0">#REF!</definedName>
    <definedName name="Excel_BuiltIn_Print_Area_9" localSheetId="7">#REF!</definedName>
    <definedName name="Excel_BuiltIn_Print_Area_9">#REF!</definedName>
    <definedName name="Excel_BuiltIn_Print_Area_9_1">#REF!</definedName>
    <definedName name="Excel_BuiltIn_Print_Area_9_1_1">#REF!</definedName>
    <definedName name="Excel_BuiltIn_Print_Titles">NA()</definedName>
    <definedName name="Excel_BuiltIn_Print_Titles_1" localSheetId="0">#REF!</definedName>
    <definedName name="Excel_BuiltIn_Print_Titles_1" localSheetId="7">#REF!</definedName>
    <definedName name="Excel_BuiltIn_Print_Titles_1">#REF!</definedName>
    <definedName name="Excel_BuiltIn_Print_Titles_3" localSheetId="2">#REF!</definedName>
    <definedName name="Excel_BuiltIn_Print_Titles_3" localSheetId="1">#REF!</definedName>
    <definedName name="Excel_BuiltIn_Print_Titles_3" localSheetId="4">#REF!</definedName>
    <definedName name="Excel_BuiltIn_Print_Titles_3" localSheetId="6">#REF!</definedName>
    <definedName name="Excel_BuiltIn_Print_Titles_3" localSheetId="5">#REF!</definedName>
    <definedName name="Excel_BuiltIn_Print_Titles_3" localSheetId="7">#REF!</definedName>
    <definedName name="Excel_BuiltIn_Print_Titles_3">#REF!</definedName>
    <definedName name="Excel_BuiltIn_Print_Titles_5">'[178]CM CR'!#REF!</definedName>
    <definedName name="Excel_BuiltIn_Print_Titles_7">[178]CMN420!#REF!</definedName>
    <definedName name="Excel_dpjmd">#REF!</definedName>
    <definedName name="extra" localSheetId="0">#REF!</definedName>
    <definedName name="extra">#REF!</definedName>
    <definedName name="_xlnm.Extract">#REF!</definedName>
    <definedName name="f" localSheetId="4">#REF!</definedName>
    <definedName name="f" localSheetId="5">#REF!</definedName>
    <definedName name="f" localSheetId="7">#REF!</definedName>
    <definedName name="f">#REF!</definedName>
    <definedName name="F.B" localSheetId="5">#REF!</definedName>
    <definedName name="F.B" localSheetId="7">#REF!</definedName>
    <definedName name="F.B">#REF!</definedName>
    <definedName name="Fax" localSheetId="5">#REF!</definedName>
    <definedName name="Fax" localSheetId="7">#REF!</definedName>
    <definedName name="Fax">#REF!</definedName>
    <definedName name="FB" localSheetId="4">#REF!</definedName>
    <definedName name="FB" localSheetId="5">#REF!</definedName>
    <definedName name="FB" localSheetId="7">#REF!</definedName>
    <definedName name="FB">#REF!</definedName>
    <definedName name="fbd">'[129]Ch_9_ 1.00mt Drop'!$H$9</definedName>
    <definedName name="fbu">'[129]Ch_9_ 1.00mt Drop'!$F$9</definedName>
    <definedName name="fc" localSheetId="2">[179]Data!#REF!</definedName>
    <definedName name="fc" localSheetId="0">[180]Data!#REF!</definedName>
    <definedName name="fc" localSheetId="1">[179]Data!#REF!</definedName>
    <definedName name="fc" localSheetId="4">[179]Data!#REF!</definedName>
    <definedName name="fc" localSheetId="6">[179]Data!#REF!</definedName>
    <definedName name="fc" localSheetId="5">[179]Data!#REF!</definedName>
    <definedName name="fc" localSheetId="7">[179]Data!#REF!</definedName>
    <definedName name="fc">[179]Data!#REF!</definedName>
    <definedName name="FCode" localSheetId="2" hidden="1">#REF!</definedName>
    <definedName name="FCode" localSheetId="1" hidden="1">#REF!</definedName>
    <definedName name="FCode" localSheetId="4" hidden="1">#REF!</definedName>
    <definedName name="FCode" localSheetId="6" hidden="1">#REF!</definedName>
    <definedName name="FCode" localSheetId="5" hidden="1">#REF!</definedName>
    <definedName name="FCode" localSheetId="7" hidden="1">#REF!</definedName>
    <definedName name="FCode" hidden="1">#REF!</definedName>
    <definedName name="fd">#N/A</definedName>
    <definedName name="FdBtL" localSheetId="5">#REF!</definedName>
    <definedName name="FdBtL" localSheetId="7">#REF!</definedName>
    <definedName name="FdBtL">#REF!</definedName>
    <definedName name="fdd">#N/A</definedName>
    <definedName name="fdf" localSheetId="2">'[113]Aug,02'!#REF!</definedName>
    <definedName name="fdf" localSheetId="1">'[113]Aug,02'!#REF!</definedName>
    <definedName name="fdf" localSheetId="4">'[113]Aug,02'!#REF!</definedName>
    <definedName name="fdf" localSheetId="6">'[113]Aug,02'!#REF!</definedName>
    <definedName name="fdf" localSheetId="5">'[113]Aug,02'!#REF!</definedName>
    <definedName name="fdf" localSheetId="7">'[113]Aug,02'!#REF!</definedName>
    <definedName name="fdf">'[113]Aug,02'!#REF!</definedName>
    <definedName name="fdg" localSheetId="2">'[181]Aug,02'!#REF!</definedName>
    <definedName name="fdg" localSheetId="1">'[181]Aug,02'!#REF!</definedName>
    <definedName name="fdg" localSheetId="4">'[181]Aug,02'!#REF!</definedName>
    <definedName name="fdg" localSheetId="6">'[181]Aug,02'!#REF!</definedName>
    <definedName name="fdg" localSheetId="5">'[181]Aug,02'!#REF!</definedName>
    <definedName name="fdg">'[181]Aug,02'!#REF!</definedName>
    <definedName name="fdgf" localSheetId="5">'[181]Aug,02'!#REF!</definedName>
    <definedName name="fdgf">'[181]Aug,02'!#REF!</definedName>
    <definedName name="fdgtregregwe" localSheetId="2">#REF!</definedName>
    <definedName name="fdgtregregwe" localSheetId="1">#REF!</definedName>
    <definedName name="fdgtregregwe" localSheetId="4">#REF!</definedName>
    <definedName name="fdgtregregwe" localSheetId="6">#REF!</definedName>
    <definedName name="fdgtregregwe" localSheetId="5">#REF!</definedName>
    <definedName name="fdgtregregwe" localSheetId="7">#REF!</definedName>
    <definedName name="fdgtregregwe">#REF!</definedName>
    <definedName name="FDHXGFKCGUKHG" localSheetId="5">#REF!</definedName>
    <definedName name="FDHXGFKCGUKHG" localSheetId="7">#REF!</definedName>
    <definedName name="FDHXGFKCGUKHG">#REF!</definedName>
    <definedName name="FDJDSJFDJFLDJF">[162]Labour!$D$19</definedName>
    <definedName name="fdss" localSheetId="2">'[113]Aug,02'!#REF!</definedName>
    <definedName name="fdss" localSheetId="1">'[113]Aug,02'!#REF!</definedName>
    <definedName name="fdss" localSheetId="4">'[113]Aug,02'!#REF!</definedName>
    <definedName name="fdss" localSheetId="6">'[113]Aug,02'!#REF!</definedName>
    <definedName name="fdss" localSheetId="5">'[113]Aug,02'!#REF!</definedName>
    <definedName name="fdss" localSheetId="7">'[113]Aug,02'!#REF!</definedName>
    <definedName name="fdss">'[113]Aug,02'!#REF!</definedName>
    <definedName name="FdTh" localSheetId="2">#REF!</definedName>
    <definedName name="FdTh" localSheetId="1">#REF!</definedName>
    <definedName name="FdTh" localSheetId="4">#REF!</definedName>
    <definedName name="FdTh" localSheetId="6">#REF!</definedName>
    <definedName name="FdTh" localSheetId="5">#REF!</definedName>
    <definedName name="FdTh" localSheetId="7">#REF!</definedName>
    <definedName name="FdTh">#REF!</definedName>
    <definedName name="FdTL" localSheetId="2">#REF!</definedName>
    <definedName name="FdTL" localSheetId="1">#REF!</definedName>
    <definedName name="FdTL" localSheetId="4">#REF!</definedName>
    <definedName name="FdTL" localSheetId="6">#REF!</definedName>
    <definedName name="FdTL" localSheetId="5">#REF!</definedName>
    <definedName name="FdTL" localSheetId="7">#REF!</definedName>
    <definedName name="FdTL">#REF!</definedName>
    <definedName name="fdzghtdzhrgrdzhSrhgrddsssssssssssssssssssssss" localSheetId="5">#REF!</definedName>
    <definedName name="fdzghtdzhrgrdzhSrhgrddsssssssssssssssssssssss" localSheetId="7">#REF!</definedName>
    <definedName name="fdzghtdzhrgrdzhSrhgrddsssssssssssssssssssssss">#REF!</definedName>
    <definedName name="Feeder_Road_Sections">[101]Feeder!$A$1:$L$386</definedName>
    <definedName name="ff" localSheetId="2">#REF!</definedName>
    <definedName name="ff" localSheetId="1">#REF!</definedName>
    <definedName name="FF" localSheetId="4">#REF!</definedName>
    <definedName name="ff" localSheetId="6">#REF!</definedName>
    <definedName name="ff" localSheetId="5">#REF!</definedName>
    <definedName name="ff" localSheetId="7">#REF!</definedName>
    <definedName name="ff">#REF!</definedName>
    <definedName name="FGD" localSheetId="2" hidden="1">{"'ridftotal'!$A$4:$S$27"}</definedName>
    <definedName name="FGD" localSheetId="1" hidden="1">{"'ridftotal'!$A$4:$S$27"}</definedName>
    <definedName name="FGD" localSheetId="4" hidden="1">{"'ridftotal'!$A$4:$S$27"}</definedName>
    <definedName name="FGD" localSheetId="6" hidden="1">{"'ridftotal'!$A$4:$S$27"}</definedName>
    <definedName name="FGD" localSheetId="5" hidden="1">{"'ridftotal'!$A$4:$S$27"}</definedName>
    <definedName name="FGD" localSheetId="7" hidden="1">{"'ridftotal'!$A$4:$S$27"}</definedName>
    <definedName name="FGD" hidden="1">{"'ridftotal'!$A$4:$S$27"}</definedName>
    <definedName name="fgdfgdfgdf">[182]v!$A$2:$E$51</definedName>
    <definedName name="fgdshgfhfdbdfsgfd" localSheetId="2">'[160]Aug,02'!#REF!</definedName>
    <definedName name="fgdshgfhfdbdfsgfd" localSheetId="1">'[160]Aug,02'!#REF!</definedName>
    <definedName name="fgdshgfhfdbdfsgfd" localSheetId="4">'[160]Aug,02'!#REF!</definedName>
    <definedName name="fgdshgfhfdbdfsgfd" localSheetId="6">'[160]Aug,02'!#REF!</definedName>
    <definedName name="fgdshgfhfdbdfsgfd" localSheetId="5">'[160]Aug,02'!#REF!</definedName>
    <definedName name="fgdshgfhfdbdfsgfd" localSheetId="7">'[160]Aug,02'!#REF!</definedName>
    <definedName name="fgdshgfhfdbdfsgfd">'[160]Aug,02'!#REF!</definedName>
    <definedName name="fgg">#N/A</definedName>
    <definedName name="FGHH" localSheetId="2" hidden="1">{"'ridftotal'!$A$4:$S$27"}</definedName>
    <definedName name="FGHH" localSheetId="1" hidden="1">{"'ridftotal'!$A$4:$S$27"}</definedName>
    <definedName name="FGHH" localSheetId="4" hidden="1">{"'ridftotal'!$A$4:$S$27"}</definedName>
    <definedName name="FGHH" localSheetId="6" hidden="1">{"'ridftotal'!$A$4:$S$27"}</definedName>
    <definedName name="FGHH" localSheetId="5" hidden="1">{"'ridftotal'!$A$4:$S$27"}</definedName>
    <definedName name="FGHH" localSheetId="7" hidden="1">{"'ridftotal'!$A$4:$S$27"}</definedName>
    <definedName name="FGHH" hidden="1">{"'ridftotal'!$A$4:$S$27"}</definedName>
    <definedName name="fgjxfgxjftxjngfdfhj" localSheetId="2">#REF!</definedName>
    <definedName name="fgjxfgxjftxjngfdfhj" localSheetId="1">#REF!</definedName>
    <definedName name="fgjxfgxjftxjngfdfhj" localSheetId="4">#REF!</definedName>
    <definedName name="fgjxfgxjftxjngfdfhj" localSheetId="6">#REF!</definedName>
    <definedName name="fgjxfgxjftxjngfdfhj" localSheetId="5">#REF!</definedName>
    <definedName name="fgjxfgxjftxjngfdfhj" localSheetId="7">#REF!</definedName>
    <definedName name="fgjxfgxjftxjngfdfhj">#REF!</definedName>
    <definedName name="fgrhyrdhydrzyzes" localSheetId="2">'[113]Aug,02'!#REF!</definedName>
    <definedName name="fgrhyrdhydrzyzes" localSheetId="1">'[113]Aug,02'!#REF!</definedName>
    <definedName name="fgrhyrdhydrzyzes" localSheetId="4">'[113]Aug,02'!#REF!</definedName>
    <definedName name="fgrhyrdhydrzyzes" localSheetId="6">'[113]Aug,02'!#REF!</definedName>
    <definedName name="fgrhyrdhydrzyzes" localSheetId="5">'[113]Aug,02'!#REF!</definedName>
    <definedName name="fgrhyrdhydrzyzes">'[113]Aug,02'!#REF!</definedName>
    <definedName name="FGTY">[171]Material!$D$79</definedName>
    <definedName name="FGTYU">[171]Labour!$D$19</definedName>
    <definedName name="fhfdhfgdasdfASD" localSheetId="2">'[113]Aug,02'!#REF!</definedName>
    <definedName name="fhfdhfgdasdfASD" localSheetId="1">'[113]Aug,02'!#REF!</definedName>
    <definedName name="fhfdhfgdasdfASD" localSheetId="4">'[113]Aug,02'!#REF!</definedName>
    <definedName name="fhfdhfgdasdfASD" localSheetId="6">'[113]Aug,02'!#REF!</definedName>
    <definedName name="fhfdhfgdasdfASD" localSheetId="5">'[113]Aug,02'!#REF!</definedName>
    <definedName name="fhfdhfgdasdfASD" localSheetId="7">'[113]Aug,02'!#REF!</definedName>
    <definedName name="fhfdhfgdasdfASD">'[113]Aug,02'!#REF!</definedName>
    <definedName name="FHGFDGXHDFHFDHXDFHXFD" localSheetId="2">'[153]Aug,02'!#REF!</definedName>
    <definedName name="FHGFDGXHDFHFDHXDFHXFD" localSheetId="1">'[153]Aug,02'!#REF!</definedName>
    <definedName name="FHGFDGXHDFHFDHXDFHXFD" localSheetId="4">'[153]Aug,02'!#REF!</definedName>
    <definedName name="FHGFDGXHDFHFDHXDFHXFD" localSheetId="6">'[153]Aug,02'!#REF!</definedName>
    <definedName name="FHGFDGXHDFHFDHXDFHXFD" localSheetId="5">'[153]Aug,02'!#REF!</definedName>
    <definedName name="FHGFDGXHDFHFDHXDFHXFD" localSheetId="7">'[153]Aug,02'!#REF!</definedName>
    <definedName name="FHGFDGXHDFHFDHXDFHXFD">'[153]Aug,02'!#REF!</definedName>
    <definedName name="FHRDHSDGSDFADSF" localSheetId="5">'[113]Aug,02'!#REF!</definedName>
    <definedName name="FHRDHSDGSDFADSF">'[113]Aug,02'!#REF!</definedName>
    <definedName name="FHTGFH" localSheetId="5">'[113]Aug,02'!#REF!</definedName>
    <definedName name="FHTGFH">'[113]Aug,02'!#REF!</definedName>
    <definedName name="final">#N/A</definedName>
    <definedName name="finished" localSheetId="2">#REF!</definedName>
    <definedName name="finished" localSheetId="1">#REF!</definedName>
    <definedName name="finished" localSheetId="4">#REF!</definedName>
    <definedName name="finished" localSheetId="6">#REF!</definedName>
    <definedName name="finished" localSheetId="5">#REF!</definedName>
    <definedName name="finished" localSheetId="7">#REF!</definedName>
    <definedName name="finished">#REF!</definedName>
    <definedName name="Fissured_and_fractured_rock_and_boulders_upto_3_cum_in_size_requiring_blasting_including_stacking" localSheetId="5">#REF!</definedName>
    <definedName name="Fissured_and_fractured_rock_and_boulders_upto_3_cum_in_size_requiring_blasting_including_stacking" localSheetId="7">#REF!</definedName>
    <definedName name="Fissured_and_fractured_rock_and_boulders_upto_3_cum_in_size_requiring_blasting_including_stacking">#REF!</definedName>
    <definedName name="fiw" localSheetId="4">#REF!</definedName>
    <definedName name="fiw" localSheetId="3">#REF!</definedName>
    <definedName name="fiw" localSheetId="5">#REF!</definedName>
    <definedName name="fiw" localSheetId="7">#REF!</definedName>
    <definedName name="fiw">#REF!</definedName>
    <definedName name="FJGFH" localSheetId="2">'[113]Aug,02'!#REF!</definedName>
    <definedName name="FJGFH" localSheetId="1">'[113]Aug,02'!#REF!</definedName>
    <definedName name="FJGFH" localSheetId="4">'[113]Aug,02'!#REF!</definedName>
    <definedName name="FJGFH" localSheetId="6">'[113]Aug,02'!#REF!</definedName>
    <definedName name="FJGFH" localSheetId="5">'[113]Aug,02'!#REF!</definedName>
    <definedName name="FJGFH">'[113]Aug,02'!#REF!</definedName>
    <definedName name="fjgfjkgf" localSheetId="2">'[113]Aug,02'!#REF!</definedName>
    <definedName name="fjgfjkgf" localSheetId="1">'[113]Aug,02'!#REF!</definedName>
    <definedName name="fjgfjkgf" localSheetId="4">'[113]Aug,02'!#REF!</definedName>
    <definedName name="fjgfjkgf" localSheetId="6">'[113]Aug,02'!#REF!</definedName>
    <definedName name="fjgfjkgf" localSheetId="5">'[113]Aug,02'!#REF!</definedName>
    <definedName name="fjgfjkgf">'[113]Aug,02'!#REF!</definedName>
    <definedName name="fktyjtfhfrh" localSheetId="5">'[113]Aug,02'!#REF!</definedName>
    <definedName name="fktyjtfhfrh">'[113]Aug,02'!#REF!</definedName>
    <definedName name="Footings__bed_blocks" localSheetId="5">[67]Works!#REF!</definedName>
    <definedName name="Footings__bed_blocks">[67]Works!#REF!</definedName>
    <definedName name="For_CC_pavements__wearing_coats__approach__slabs__guide_stone__J._M._stone_etc." localSheetId="2">#REF!</definedName>
    <definedName name="For_CC_pavements__wearing_coats__approach__slabs__guide_stone__J._M._stone_etc." localSheetId="1">#REF!</definedName>
    <definedName name="For_CC_pavements__wearing_coats__approach__slabs__guide_stone__J._M._stone_etc." localSheetId="4">#REF!</definedName>
    <definedName name="For_CC_pavements__wearing_coats__approach__slabs__guide_stone__J._M._stone_etc." localSheetId="6">#REF!</definedName>
    <definedName name="For_CC_pavements__wearing_coats__approach__slabs__guide_stone__J._M._stone_etc." localSheetId="5">#REF!</definedName>
    <definedName name="For_CC_pavements__wearing_coats__approach__slabs__guide_stone__J._M._stone_etc." localSheetId="7">#REF!</definedName>
    <definedName name="For_CC_pavements__wearing_coats__approach__slabs__guide_stone__J._M._stone_etc.">#REF!</definedName>
    <definedName name="For_cement_concrete_for_foundation_below_low_water_level" localSheetId="5">#REF!</definedName>
    <definedName name="For_cement_concrete_for_foundation_below_low_water_level" localSheetId="7">#REF!</definedName>
    <definedName name="For_cement_concrete_for_foundation_below_low_water_level">#REF!</definedName>
    <definedName name="For_earth_work_excavation_for_foundations_below_low_water_level" localSheetId="5">#REF!</definedName>
    <definedName name="For_earth_work_excavation_for_foundations_below_low_water_level" localSheetId="7">#REF!</definedName>
    <definedName name="For_earth_work_excavation_for_foundations_below_low_water_level">#REF!</definedName>
    <definedName name="For_mass_concrete_piers__abutments_and_steining_well_curbes__well_caps_etc." localSheetId="5">#REF!</definedName>
    <definedName name="For_mass_concrete_piers__abutments_and_steining_well_curbes__well_caps_etc." localSheetId="7">#REF!</definedName>
    <definedName name="For_mass_concrete_piers__abutments_and_steining_well_curbes__well_caps_etc.">#REF!</definedName>
    <definedName name="For_RCC_beams" localSheetId="5">#REF!</definedName>
    <definedName name="For_RCC_beams" localSheetId="7">#REF!</definedName>
    <definedName name="For_RCC_beams">#REF!</definedName>
    <definedName name="For_RCC_deck_slabs" localSheetId="5">#REF!</definedName>
    <definedName name="For_RCC_deck_slabs" localSheetId="7">#REF!</definedName>
    <definedName name="For_RCC_deck_slabs">#REF!</definedName>
    <definedName name="For_RCC_hand_rails" localSheetId="5">#REF!</definedName>
    <definedName name="For_RCC_hand_rails" localSheetId="7">#REF!</definedName>
    <definedName name="For_RCC_hand_rails">#REF!</definedName>
    <definedName name="For_RCC_piers__abutments__wing_wall___steining__well_curbs__well_caps_etc." localSheetId="5">#REF!</definedName>
    <definedName name="For_RCC_piers__abutments__wing_wall___steining__well_curbs__well_caps_etc." localSheetId="7">#REF!</definedName>
    <definedName name="For_RCC_piers__abutments__wing_wall___steining__well_curbs__well_caps_etc.">#REF!</definedName>
    <definedName name="For_SS_Revetment_work_225__mm" localSheetId="5">#REF!</definedName>
    <definedName name="For_SS_Revetment_work_225__mm" localSheetId="7">#REF!</definedName>
    <definedName name="For_SS_Revetment_work_225__mm">#REF!</definedName>
    <definedName name="For_SS_Revetment_work_300__mm" localSheetId="5">#REF!</definedName>
    <definedName name="For_SS_Revetment_work_300__mm" localSheetId="7">#REF!</definedName>
    <definedName name="For_SS_Revetment_work_300__mm">#REF!</definedName>
    <definedName name="For_SS_Revetment_work450__mm" localSheetId="5">#REF!</definedName>
    <definedName name="For_SS_Revetment_work450__mm" localSheetId="7">#REF!</definedName>
    <definedName name="For_SS_Revetment_work450__mm">#REF!</definedName>
    <definedName name="FoundConc">[61]maya!$A$3:$A$6</definedName>
    <definedName name="fr">#N/A</definedName>
    <definedName name="fr_35">#N/A</definedName>
    <definedName name="fresh">[183]r!$F$30</definedName>
    <definedName name="FRL">'[184]Gang-Deta'!$AM$13</definedName>
    <definedName name="Front_End_Roller" localSheetId="2">#REF!</definedName>
    <definedName name="Front_End_Roller" localSheetId="1">#REF!</definedName>
    <definedName name="Front_End_Roller" localSheetId="4">#REF!</definedName>
    <definedName name="Front_End_Roller" localSheetId="6">#REF!</definedName>
    <definedName name="Front_End_Roller" localSheetId="5">#REF!</definedName>
    <definedName name="Front_End_Roller" localSheetId="7">#REF!</definedName>
    <definedName name="Front_End_Roller">#REF!</definedName>
    <definedName name="FRTG">[171]Labour!$D$5</definedName>
    <definedName name="frty">'[171]Plant &amp;  Machinery'!$G$4</definedName>
    <definedName name="frw" localSheetId="2">'[113]Aug,02'!#REF!</definedName>
    <definedName name="frw" localSheetId="1">'[113]Aug,02'!#REF!</definedName>
    <definedName name="frw" localSheetId="4">'[113]Aug,02'!#REF!</definedName>
    <definedName name="frw" localSheetId="6">'[113]Aug,02'!#REF!</definedName>
    <definedName name="frw" localSheetId="5">'[113]Aug,02'!#REF!</definedName>
    <definedName name="frw" localSheetId="7">'[113]Aug,02'!#REF!</definedName>
    <definedName name="frw">'[113]Aug,02'!#REF!</definedName>
    <definedName name="fsafasgfsafFcsdzgbdsgzxfdaszfz" localSheetId="2">'[113]Aug,02'!#REF!</definedName>
    <definedName name="fsafasgfsafFcsdzgbdsgzxfdaszfz" localSheetId="1">'[113]Aug,02'!#REF!</definedName>
    <definedName name="fsafasgfsafFcsdzgbdsgzxfdaszfz" localSheetId="4">'[113]Aug,02'!#REF!</definedName>
    <definedName name="fsafasgfsafFcsdzgbdsgzxfdaszfz" localSheetId="6">'[113]Aug,02'!#REF!</definedName>
    <definedName name="fsafasgfsafFcsdzgbdsgzxfdaszfz" localSheetId="5">'[113]Aug,02'!#REF!</definedName>
    <definedName name="fsafasgfsafFcsdzgbdsgzxfdaszfz" localSheetId="7">'[113]Aug,02'!#REF!</definedName>
    <definedName name="fsafasgfsafFcsdzgbdsgzxfdaszfz">'[113]Aug,02'!#REF!</definedName>
    <definedName name="FSAND" localSheetId="0">[52]MRATES!$G$9</definedName>
    <definedName name="FSAND" localSheetId="4">[7]Sheet1!$I$8</definedName>
    <definedName name="FSAND">[53]MRATES!$G$9</definedName>
    <definedName name="FSD" localSheetId="2">#REF!</definedName>
    <definedName name="FSD" localSheetId="0">#REF!</definedName>
    <definedName name="FSD" localSheetId="1">#REF!</definedName>
    <definedName name="FSD" localSheetId="4">#REF!</definedName>
    <definedName name="FSD" localSheetId="6">#REF!</definedName>
    <definedName name="FSD" localSheetId="5">#REF!</definedName>
    <definedName name="FSD" localSheetId="7">#REF!</definedName>
    <definedName name="FSD">#REF!</definedName>
    <definedName name="fsdd">'[129]Ch_9_ 1.00mt Drop'!$H$8</definedName>
    <definedName name="fsdd1">'[51]Ch13.00 1Mt Drop'!$H$8</definedName>
    <definedName name="fsdd2">'[51]15_Design_1.0M_Drop'!$H$8</definedName>
    <definedName name="fsdfdsf" localSheetId="2">#REF!</definedName>
    <definedName name="fsdfdsf" localSheetId="1">#REF!</definedName>
    <definedName name="fsdfdsf" localSheetId="4">#REF!</definedName>
    <definedName name="fsdfdsf" localSheetId="6">#REF!</definedName>
    <definedName name="fsdfdsf" localSheetId="5">#REF!</definedName>
    <definedName name="fsdfdsf" localSheetId="7">#REF!</definedName>
    <definedName name="fsdfdsf">#REF!</definedName>
    <definedName name="fsdu">'[129]Ch_9_ 1.00mt Drop'!$F$8</definedName>
    <definedName name="fsdu1">'[51]Ch13.00 1Mt Drop'!$F$8</definedName>
    <definedName name="fsdu2">'[51]15_Design_1.0M_Drop'!$F$8</definedName>
    <definedName name="fsfsf">[110]Data!#REF!</definedName>
    <definedName name="FTL" localSheetId="2">#REF!</definedName>
    <definedName name="FTL" localSheetId="1">#REF!</definedName>
    <definedName name="FTL" localSheetId="4">#REF!</definedName>
    <definedName name="FTL" localSheetId="6">#REF!</definedName>
    <definedName name="FTL" localSheetId="5">#REF!</definedName>
    <definedName name="FTL" localSheetId="7">#REF!</definedName>
    <definedName name="FTL">#REF!</definedName>
    <definedName name="FTL_19" localSheetId="2">#REF!</definedName>
    <definedName name="FTL_19" localSheetId="1">#REF!</definedName>
    <definedName name="FTL_19" localSheetId="4">#REF!</definedName>
    <definedName name="FTL_19" localSheetId="6">#REF!</definedName>
    <definedName name="FTL_19" localSheetId="5">#REF!</definedName>
    <definedName name="FTL_19" localSheetId="7">#REF!</definedName>
    <definedName name="FTL_19">#REF!</definedName>
    <definedName name="FTL_20" localSheetId="5">#REF!</definedName>
    <definedName name="FTL_20" localSheetId="7">#REF!</definedName>
    <definedName name="FTL_20">#REF!</definedName>
    <definedName name="FTL_21" localSheetId="5">#REF!</definedName>
    <definedName name="FTL_21" localSheetId="7">#REF!</definedName>
    <definedName name="FTL_21">#REF!</definedName>
    <definedName name="FTLCAP" localSheetId="5">#REF!</definedName>
    <definedName name="FTLCAP" localSheetId="7">#REF!</definedName>
    <definedName name="FTLCAP">#REF!</definedName>
    <definedName name="FTLCAP_19" localSheetId="5">#REF!</definedName>
    <definedName name="FTLCAP_19" localSheetId="7">#REF!</definedName>
    <definedName name="FTLCAP_19">#REF!</definedName>
    <definedName name="FTLCAP_20" localSheetId="5">#REF!</definedName>
    <definedName name="FTLCAP_20" localSheetId="7">#REF!</definedName>
    <definedName name="FTLCAP_20">#REF!</definedName>
    <definedName name="FTLCAP_21" localSheetId="5">#REF!</definedName>
    <definedName name="FTLCAP_21" localSheetId="7">#REF!</definedName>
    <definedName name="FTLCAP_21">#REF!</definedName>
    <definedName name="ftss" hidden="1">{"FTS",#N/A,FALSE,"E"}</definedName>
    <definedName name="Full_Print">#REF!</definedName>
    <definedName name="funds" hidden="1">{"'Sheet1'!$A$4386:$N$4591"}</definedName>
    <definedName name="FW" localSheetId="4">#REF!</definedName>
    <definedName name="FW" localSheetId="3">#REF!</definedName>
    <definedName name="FW" localSheetId="5">#REF!</definedName>
    <definedName name="FW" localSheetId="7">#REF!</definedName>
    <definedName name="FW">#REF!</definedName>
    <definedName name="fwff" localSheetId="2">'[113]Aug,02'!#REF!</definedName>
    <definedName name="fwff" localSheetId="1">'[113]Aug,02'!#REF!</definedName>
    <definedName name="fwff" localSheetId="4">'[113]Aug,02'!#REF!</definedName>
    <definedName name="fwff" localSheetId="6">'[113]Aug,02'!#REF!</definedName>
    <definedName name="fwff" localSheetId="5">'[113]Aug,02'!#REF!</definedName>
    <definedName name="fwff">'[113]Aug,02'!#REF!</definedName>
    <definedName name="FXGHFD" localSheetId="2">'[113]Aug,02'!#REF!</definedName>
    <definedName name="FXGHFD" localSheetId="1">'[113]Aug,02'!#REF!</definedName>
    <definedName name="FXGHFD" localSheetId="4">'[113]Aug,02'!#REF!</definedName>
    <definedName name="FXGHFD" localSheetId="6">'[113]Aug,02'!#REF!</definedName>
    <definedName name="FXGHFD" localSheetId="5">'[113]Aug,02'!#REF!</definedName>
    <definedName name="FXGHFD">'[113]Aug,02'!#REF!</definedName>
    <definedName name="g" localSheetId="2">#REF!</definedName>
    <definedName name="g" localSheetId="1">#REF!</definedName>
    <definedName name="g" localSheetId="4">#REF!</definedName>
    <definedName name="g" localSheetId="6">#REF!</definedName>
    <definedName name="g" localSheetId="5">#REF!</definedName>
    <definedName name="g" localSheetId="7">#REF!</definedName>
    <definedName name="g">#REF!</definedName>
    <definedName name="G984.00" localSheetId="0">'[185]Civil works'!$G$171</definedName>
    <definedName name="G984.00">'[186]Civil works'!$G$171</definedName>
    <definedName name="gagan">[168]Material!$D$113</definedName>
    <definedName name="gap" localSheetId="0">#REF!</definedName>
    <definedName name="gap">#REF!</definedName>
    <definedName name="GCXXHBFXHGFHJC" localSheetId="2">'[153]Aug,02'!#REF!</definedName>
    <definedName name="GCXXHBFXHGFHJC" localSheetId="1">'[153]Aug,02'!#REF!</definedName>
    <definedName name="GCXXHBFXHGFHJC" localSheetId="4">'[153]Aug,02'!#REF!</definedName>
    <definedName name="GCXXHBFXHGFHJC" localSheetId="6">'[153]Aug,02'!#REF!</definedName>
    <definedName name="GCXXHBFXHGFHJC" localSheetId="5">'[153]Aug,02'!#REF!</definedName>
    <definedName name="GCXXHBFXHGFHJC" localSheetId="7">'[153]Aug,02'!#REF!</definedName>
    <definedName name="GCXXHBFXHGFHJC">'[153]Aug,02'!#REF!</definedName>
    <definedName name="Generating_get_125_KVA" localSheetId="2">#REF!</definedName>
    <definedName name="Generating_get_125_KVA" localSheetId="1">#REF!</definedName>
    <definedName name="Generating_get_125_KVA" localSheetId="4">#REF!</definedName>
    <definedName name="Generating_get_125_KVA" localSheetId="6">#REF!</definedName>
    <definedName name="Generating_get_125_KVA" localSheetId="5">#REF!</definedName>
    <definedName name="Generating_get_125_KVA" localSheetId="7">#REF!</definedName>
    <definedName name="Generating_get_125_KVA">#REF!</definedName>
    <definedName name="gfhgfhjhg" localSheetId="5">#REF!</definedName>
    <definedName name="gfhgfhjhg" localSheetId="7">#REF!</definedName>
    <definedName name="gfhgfhjhg">#REF!</definedName>
    <definedName name="gfuygug" localSheetId="2">'[113]Aug,02'!#REF!</definedName>
    <definedName name="gfuygug" localSheetId="1">'[113]Aug,02'!#REF!</definedName>
    <definedName name="gfuygug" localSheetId="4">'[113]Aug,02'!#REF!</definedName>
    <definedName name="gfuygug" localSheetId="6">'[113]Aug,02'!#REF!</definedName>
    <definedName name="gfuygug" localSheetId="5">'[113]Aug,02'!#REF!</definedName>
    <definedName name="gfuygug">'[113]Aug,02'!#REF!</definedName>
    <definedName name="gg">'[187]Plant &amp;  Machinery'!$G$53</definedName>
    <definedName name="ggg">[188]Analy!#REF!</definedName>
    <definedName name="ggggg" localSheetId="2">'[122]Aug,02'!#REF!</definedName>
    <definedName name="ggggg" localSheetId="1">'[122]Aug,02'!#REF!</definedName>
    <definedName name="ggggg" localSheetId="4">'[122]Aug,02'!#REF!</definedName>
    <definedName name="ggggg" localSheetId="6">'[122]Aug,02'!#REF!</definedName>
    <definedName name="ggggg" localSheetId="5">'[122]Aug,02'!#REF!</definedName>
    <definedName name="ggggg" localSheetId="7">'[122]Aug,02'!#REF!</definedName>
    <definedName name="ggggg">'[122]Aug,02'!#REF!</definedName>
    <definedName name="GH" localSheetId="2">'[113]Aug,02'!#REF!</definedName>
    <definedName name="GH" localSheetId="1">'[113]Aug,02'!#REF!</definedName>
    <definedName name="GH" localSheetId="4">'[113]Aug,02'!#REF!</definedName>
    <definedName name="GH" localSheetId="6">'[113]Aug,02'!#REF!</definedName>
    <definedName name="GH" localSheetId="5">'[113]Aug,02'!#REF!</definedName>
    <definedName name="GH">'[113]Aug,02'!#REF!</definedName>
    <definedName name="ghfhgfhnhj" localSheetId="5">'[113]Aug,02'!#REF!</definedName>
    <definedName name="ghfhgfhnhj">'[113]Aug,02'!#REF!</definedName>
    <definedName name="ghgghghhghg" localSheetId="5">'[108]Aug,02'!#REF!</definedName>
    <definedName name="ghgghghhghg">'[108]Aug,02'!#REF!</definedName>
    <definedName name="GHGHF">[171]Material!$D$51</definedName>
    <definedName name="GHHH">[171]Material!$D$129</definedName>
    <definedName name="GHJK" localSheetId="2" hidden="1">{"'ridftotal'!$A$4:$S$27"}</definedName>
    <definedName name="GHJK" localSheetId="1" hidden="1">{"'ridftotal'!$A$4:$S$27"}</definedName>
    <definedName name="GHJK" localSheetId="4" hidden="1">{"'ridftotal'!$A$4:$S$27"}</definedName>
    <definedName name="GHJK" localSheetId="6" hidden="1">{"'ridftotal'!$A$4:$S$27"}</definedName>
    <definedName name="GHJK" localSheetId="5" hidden="1">{"'ridftotal'!$A$4:$S$27"}</definedName>
    <definedName name="GHJK" localSheetId="7" hidden="1">{"'ridftotal'!$A$4:$S$27"}</definedName>
    <definedName name="GHJK" hidden="1">{"'ridftotal'!$A$4:$S$27"}</definedName>
    <definedName name="GHJKJK" localSheetId="2" hidden="1">{"'ridftotal'!$A$4:$S$27"}</definedName>
    <definedName name="GHJKJK" localSheetId="1" hidden="1">{"'ridftotal'!$A$4:$S$27"}</definedName>
    <definedName name="GHJKJK" localSheetId="4" hidden="1">{"'ridftotal'!$A$4:$S$27"}</definedName>
    <definedName name="GHJKJK" localSheetId="6" hidden="1">{"'ridftotal'!$A$4:$S$27"}</definedName>
    <definedName name="GHJKJK" localSheetId="5" hidden="1">{"'ridftotal'!$A$4:$S$27"}</definedName>
    <definedName name="GHJKJK" localSheetId="7" hidden="1">{"'ridftotal'!$A$4:$S$27"}</definedName>
    <definedName name="GHJKJK" hidden="1">{"'ridftotal'!$A$4:$S$27"}</definedName>
    <definedName name="GHMHMM" localSheetId="2">#REF!</definedName>
    <definedName name="GHMHMM" localSheetId="1">#REF!</definedName>
    <definedName name="GHMHMM" localSheetId="4">#REF!</definedName>
    <definedName name="GHMHMM" localSheetId="6">#REF!</definedName>
    <definedName name="GHMHMM" localSheetId="5">#REF!</definedName>
    <definedName name="GHMHMM" localSheetId="7">#REF!</definedName>
    <definedName name="GHMHMM">#REF!</definedName>
    <definedName name="ghzfsdgrsgfgfhzndghFGDFGZZS" localSheetId="2">'[113]Aug,02'!#REF!</definedName>
    <definedName name="ghzfsdgrsgfgfhzndghFGDFGZZS" localSheetId="1">'[113]Aug,02'!#REF!</definedName>
    <definedName name="ghzfsdgrsgfgfhzndghFGDFGZZS" localSheetId="4">'[113]Aug,02'!#REF!</definedName>
    <definedName name="ghzfsdgrsgfgfhzndghFGDFGZZS" localSheetId="6">'[113]Aug,02'!#REF!</definedName>
    <definedName name="ghzfsdgrsgfgfhzndghFGDFGZZS" localSheetId="5">'[113]Aug,02'!#REF!</definedName>
    <definedName name="ghzfsdgrsgfgfhzndghFGDFGZZS">'[113]Aug,02'!#REF!</definedName>
    <definedName name="GI_sheet_1mm_corrugated" localSheetId="5">[67]Material!#REF!</definedName>
    <definedName name="GI_sheet_1mm_corrugated">[67]Material!#REF!</definedName>
    <definedName name="GI_sheet_1mm_plain" localSheetId="5">[67]Material!#REF!</definedName>
    <definedName name="GI_sheet_1mm_plain">[67]Material!#REF!</definedName>
    <definedName name="giall">[130]Sheet1!$B$120:$B$243</definedName>
    <definedName name="GIS" localSheetId="2">'[108]Aug,02'!#REF!</definedName>
    <definedName name="GIS" localSheetId="1">'[108]Aug,02'!#REF!</definedName>
    <definedName name="GIS" localSheetId="4">'[108]Aug,02'!#REF!</definedName>
    <definedName name="GIS" localSheetId="6">'[108]Aug,02'!#REF!</definedName>
    <definedName name="GIS" localSheetId="5">'[108]Aug,02'!#REF!</definedName>
    <definedName name="GIS" localSheetId="7">'[108]Aug,02'!#REF!</definedName>
    <definedName name="GIS">'[108]Aug,02'!#REF!</definedName>
    <definedName name="GIS_ii" localSheetId="2">'[108]Aug,02'!#REF!</definedName>
    <definedName name="GIS_ii" localSheetId="1">'[108]Aug,02'!#REF!</definedName>
    <definedName name="GIS_ii" localSheetId="4">'[108]Aug,02'!#REF!</definedName>
    <definedName name="GIS_ii" localSheetId="6">'[108]Aug,02'!#REF!</definedName>
    <definedName name="GIS_ii" localSheetId="5">'[108]Aug,02'!#REF!</definedName>
    <definedName name="GIS_ii" localSheetId="7">'[108]Aug,02'!#REF!</definedName>
    <definedName name="GIS_ii">'[108]Aug,02'!#REF!</definedName>
    <definedName name="gispecials">[130]Sheet1!$B$120:$B$234</definedName>
    <definedName name="gkjhgckjkjhlkjjjjjjjjjjjjjjjjjjjjjjjjjjjjjjjjjj" localSheetId="2">#REF!</definedName>
    <definedName name="gkjhgckjkjhlkjjjjjjjjjjjjjjjjjjjjjjjjjjjjjjjjjj" localSheetId="1">#REF!</definedName>
    <definedName name="gkjhgckjkjhlkjjjjjjjjjjjjjjjjjjjjjjjjjjjjjjjjjj" localSheetId="4">#REF!</definedName>
    <definedName name="gkjhgckjkjhlkjjjjjjjjjjjjjjjjjjjjjjjjjjjjjjjjjj" localSheetId="6">#REF!</definedName>
    <definedName name="gkjhgckjkjhlkjjjjjjjjjjjjjjjjjjjjjjjjjjjjjjjjjj" localSheetId="5">#REF!</definedName>
    <definedName name="gkjhgckjkjhlkjjjjjjjjjjjjjjjjjjjjjjjjjjjjjjjjjj" localSheetId="7">#REF!</definedName>
    <definedName name="gkjhgckjkjhlkjjjjjjjjjjjjjjjjjjjjjjjjjjjjjjjjjj">#REF!</definedName>
    <definedName name="gld">'[129]Ch_9_ 1.00mt Drop'!$H$11</definedName>
    <definedName name="glu">'[129]Ch_9_ 1.00mt Drop'!$F$11</definedName>
    <definedName name="GN" localSheetId="2" hidden="1">{"'ridftotal'!$A$4:$S$27"}</definedName>
    <definedName name="GN" localSheetId="1" hidden="1">{"'ridftotal'!$A$4:$S$27"}</definedName>
    <definedName name="GN" localSheetId="4" hidden="1">{"'ridftotal'!$A$4:$S$27"}</definedName>
    <definedName name="GN" localSheetId="6" hidden="1">{"'ridftotal'!$A$4:$S$27"}</definedName>
    <definedName name="GN" localSheetId="5" hidden="1">{"'ridftotal'!$A$4:$S$27"}</definedName>
    <definedName name="GN" localSheetId="7" hidden="1">{"'ridftotal'!$A$4:$S$27"}</definedName>
    <definedName name="GN" hidden="1">{"'ridftotal'!$A$4:$S$27"}</definedName>
    <definedName name="GNUT1" localSheetId="2">#REF!</definedName>
    <definedName name="GNUT1" localSheetId="1">#REF!</definedName>
    <definedName name="GNUT1" localSheetId="4">#REF!</definedName>
    <definedName name="GNUT1" localSheetId="6">#REF!</definedName>
    <definedName name="GNUT1" localSheetId="5">#REF!</definedName>
    <definedName name="GNUT1" localSheetId="7">#REF!</definedName>
    <definedName name="GNUT1">#REF!</definedName>
    <definedName name="GNUT2" localSheetId="2">#REF!</definedName>
    <definedName name="GNUT2" localSheetId="1">#REF!</definedName>
    <definedName name="GNUT2" localSheetId="4">#REF!</definedName>
    <definedName name="GNUT2" localSheetId="6">#REF!</definedName>
    <definedName name="GNUT2" localSheetId="5">#REF!</definedName>
    <definedName name="GNUT2" localSheetId="7">#REF!</definedName>
    <definedName name="GNUT2">#REF!</definedName>
    <definedName name="goo" localSheetId="5">#REF!</definedName>
    <definedName name="goo" localSheetId="7">#REF!</definedName>
    <definedName name="goo">#REF!</definedName>
    <definedName name="GOPA">#REF!</definedName>
    <definedName name="gowraram" localSheetId="4">'[189]Sheet1 (2)'!#REF!</definedName>
    <definedName name="gowraram" localSheetId="3">'[189]Sheet1 (2)'!#REF!</definedName>
    <definedName name="gowraram" localSheetId="5">'[189]Sheet1 (2)'!#REF!</definedName>
    <definedName name="gowraram">'[189]Sheet1 (2)'!#REF!</definedName>
    <definedName name="GPF" localSheetId="5">'[108]Aug,02'!#REF!</definedName>
    <definedName name="GPF">'[108]Aug,02'!#REF!</definedName>
    <definedName name="gr" localSheetId="0">#REF!</definedName>
    <definedName name="gr" localSheetId="4">#REF!</definedName>
    <definedName name="gr" localSheetId="5">#REF!</definedName>
    <definedName name="gr" localSheetId="7">#REF!</definedName>
    <definedName name="gr">#REF!</definedName>
    <definedName name="GRA" localSheetId="0">[72]RMR!$L$18</definedName>
    <definedName name="GRA">[73]RMR!$L$18</definedName>
    <definedName name="Grab_dredging_crane___1_cum___normally_runs_for_4_hours_a_day" localSheetId="2">[66]Usage!#REF!</definedName>
    <definedName name="Grab_dredging_crane___1_cum___normally_runs_for_4_hours_a_day" localSheetId="1">[66]Usage!#REF!</definedName>
    <definedName name="Grab_dredging_crane___1_cum___normally_runs_for_4_hours_a_day" localSheetId="4">[66]Usage!#REF!</definedName>
    <definedName name="Grab_dredging_crane___1_cum___normally_runs_for_4_hours_a_day" localSheetId="6">[66]Usage!#REF!</definedName>
    <definedName name="Grab_dredging_crane___1_cum___normally_runs_for_4_hours_a_day" localSheetId="5">[66]Usage!#REF!</definedName>
    <definedName name="Grab_dredging_crane___1_cum___normally_runs_for_4_hours_a_day" localSheetId="7">[66]Usage!#REF!</definedName>
    <definedName name="Grab_dredging_crane___1_cum___normally_runs_for_4_hours_a_day">[66]Usage!#REF!</definedName>
    <definedName name="Granite__dolamite_and_trap" localSheetId="2">#REF!</definedName>
    <definedName name="Granite__dolamite_and_trap" localSheetId="1">#REF!</definedName>
    <definedName name="Granite__dolamite_and_trap" localSheetId="4">#REF!</definedName>
    <definedName name="Granite__dolamite_and_trap" localSheetId="6">#REF!</definedName>
    <definedName name="Granite__dolamite_and_trap" localSheetId="5">#REF!</definedName>
    <definedName name="Granite__dolamite_and_trap" localSheetId="7">#REF!</definedName>
    <definedName name="Granite__dolamite_and_trap">#REF!</definedName>
    <definedName name="Granite_for_SS_revetment_225_mm" localSheetId="5">#REF!</definedName>
    <definedName name="Granite_for_SS_revetment_225_mm" localSheetId="7">#REF!</definedName>
    <definedName name="Granite_for_SS_revetment_225_mm">#REF!</definedName>
    <definedName name="Granite_for_SS_revetment_300_mm" localSheetId="5">#REF!</definedName>
    <definedName name="Granite_for_SS_revetment_300_mm" localSheetId="7">#REF!</definedName>
    <definedName name="Granite_for_SS_revetment_300_mm">#REF!</definedName>
    <definedName name="Granite_stone_slabs_for_culverts__lintels_and_copings__3_faces_dressed_coarsed_rubble_masonary" localSheetId="5">#REF!</definedName>
    <definedName name="Granite_stone_slabs_for_culverts__lintels_and_copings__3_faces_dressed_coarsed_rubble_masonary" localSheetId="7">#REF!</definedName>
    <definedName name="Granite_stone_slabs_for_culverts__lintels_and_copings__3_faces_dressed_coarsed_rubble_masonary">#REF!</definedName>
    <definedName name="GRAVEL" localSheetId="0">[52]MRATES!$G$6</definedName>
    <definedName name="GRAVEL" localSheetId="4">[7]Sheet1!$I$6</definedName>
    <definedName name="GRAVEL">[53]MRATES!$G$6</definedName>
    <definedName name="GRAVEL_D" localSheetId="0">[52]MRATES!$K$34</definedName>
    <definedName name="GRAVEL_D">[53]MRATES!$K$34</definedName>
    <definedName name="gravel_dust_sand" localSheetId="2">#REF!</definedName>
    <definedName name="gravel_dust_sand" localSheetId="1">#REF!</definedName>
    <definedName name="gravel_dust_sand" localSheetId="4">#REF!</definedName>
    <definedName name="gravel_dust_sand" localSheetId="6">#REF!</definedName>
    <definedName name="gravel_dust_sand" localSheetId="5">#REF!</definedName>
    <definedName name="gravel_dust_sand" localSheetId="7">#REF!</definedName>
    <definedName name="gravel_dust_sand">#REF!</definedName>
    <definedName name="Gravel_including_stacking" localSheetId="5">#REF!</definedName>
    <definedName name="Gravel_including_stacking" localSheetId="7">#REF!</definedName>
    <definedName name="Gravel_including_stacking">#REF!</definedName>
    <definedName name="grvet">[190]Data!#REF!</definedName>
    <definedName name="GS_barbed_wire" localSheetId="2">[67]Material!#REF!</definedName>
    <definedName name="GS_barbed_wire" localSheetId="1">[67]Material!#REF!</definedName>
    <definedName name="GS_barbed_wire" localSheetId="4">[67]Material!#REF!</definedName>
    <definedName name="GS_barbed_wire" localSheetId="6">[67]Material!#REF!</definedName>
    <definedName name="GS_barbed_wire" localSheetId="5">[67]Material!#REF!</definedName>
    <definedName name="GS_barbed_wire">[67]Material!#REF!</definedName>
    <definedName name="gsb" localSheetId="2">#REF!</definedName>
    <definedName name="gsb" localSheetId="1">#REF!</definedName>
    <definedName name="gsb" localSheetId="4">#REF!</definedName>
    <definedName name="gsb" localSheetId="6">#REF!</definedName>
    <definedName name="gsb" localSheetId="5">#REF!</definedName>
    <definedName name="gsb" localSheetId="7">#REF!</definedName>
    <definedName name="gsb">#REF!</definedName>
    <definedName name="gsdfhgujgfjfgh" localSheetId="2">'[113]Aug,02'!#REF!</definedName>
    <definedName name="gsdfhgujgfjfgh" localSheetId="1">'[113]Aug,02'!#REF!</definedName>
    <definedName name="gsdfhgujgfjfgh" localSheetId="4">'[113]Aug,02'!#REF!</definedName>
    <definedName name="gsdfhgujgfjfgh" localSheetId="6">'[113]Aug,02'!#REF!</definedName>
    <definedName name="gsdfhgujgfjfgh" localSheetId="5">'[113]Aug,02'!#REF!</definedName>
    <definedName name="gsdfhgujgfjfgh" localSheetId="7">'[113]Aug,02'!#REF!</definedName>
    <definedName name="gsdfhgujgfjfgh">'[113]Aug,02'!#REF!</definedName>
    <definedName name="GSN" localSheetId="0">'[103]MTC-estimate'!$I$9</definedName>
    <definedName name="GSN">'[104]MTC-estimate'!$I$9</definedName>
    <definedName name="gtr" localSheetId="2">'[113]Aug,02'!#REF!</definedName>
    <definedName name="gtr" localSheetId="1">'[113]Aug,02'!#REF!</definedName>
    <definedName name="gtr" localSheetId="4">'[113]Aug,02'!#REF!</definedName>
    <definedName name="gtr" localSheetId="6">'[113]Aug,02'!#REF!</definedName>
    <definedName name="gtr" localSheetId="5">'[113]Aug,02'!#REF!</definedName>
    <definedName name="gtr" localSheetId="7">'[113]Aug,02'!#REF!</definedName>
    <definedName name="gtr">'[113]Aug,02'!#REF!</definedName>
    <definedName name="gtyio">[171]Material!$D$70</definedName>
    <definedName name="Gudipally_vagu" localSheetId="4">'[189]Sheet1 (2)'!#REF!</definedName>
    <definedName name="Gudipally_vagu" localSheetId="3">'[189]Sheet1 (2)'!#REF!</definedName>
    <definedName name="Gudipally_vagu" localSheetId="5">'[189]Sheet1 (2)'!#REF!</definedName>
    <definedName name="Gudipally_vagu" localSheetId="7">'[189]Sheet1 (2)'!#REF!</definedName>
    <definedName name="Gudipally_vagu">'[189]Sheet1 (2)'!#REF!</definedName>
    <definedName name="Guide_wall_2" localSheetId="2">#REF!</definedName>
    <definedName name="Guide_wall_2" localSheetId="0">#REF!</definedName>
    <definedName name="Guide_wall_2" localSheetId="1">#REF!</definedName>
    <definedName name="Guide_wall_2" localSheetId="4">#REF!</definedName>
    <definedName name="Guide_wall_2" localSheetId="6">#REF!</definedName>
    <definedName name="Guide_wall_2" localSheetId="5">#REF!</definedName>
    <definedName name="Guide_wall_2" localSheetId="7">#REF!</definedName>
    <definedName name="Guide_wall_2">#REF!</definedName>
    <definedName name="h" localSheetId="0">#REF!</definedName>
    <definedName name="h">'[191]RF_DesignCT_Sp@53.0'!$D$39</definedName>
    <definedName name="H37h32">#REF!</definedName>
    <definedName name="Hard_disintegrated_rock_or_soft_rock_or_conglomerate_rock_and_Hard_lime_kankar_requiring_partial_blasting." localSheetId="2">#REF!</definedName>
    <definedName name="Hard_disintegrated_rock_or_soft_rock_or_conglomerate_rock_and_Hard_lime_kankar_requiring_partial_blasting." localSheetId="1">#REF!</definedName>
    <definedName name="Hard_disintegrated_rock_or_soft_rock_or_conglomerate_rock_and_Hard_lime_kankar_requiring_partial_blasting." localSheetId="4">#REF!</definedName>
    <definedName name="Hard_disintegrated_rock_or_soft_rock_or_conglomerate_rock_and_Hard_lime_kankar_requiring_partial_blasting." localSheetId="6">#REF!</definedName>
    <definedName name="Hard_disintegrated_rock_or_soft_rock_or_conglomerate_rock_and_Hard_lime_kankar_requiring_partial_blasting." localSheetId="5">#REF!</definedName>
    <definedName name="Hard_disintegrated_rock_or_soft_rock_or_conglomerate_rock_and_Hard_lime_kankar_requiring_partial_blasting." localSheetId="7">#REF!</definedName>
    <definedName name="Hard_disintegrated_rock_or_soft_rock_or_conglomerate_rock_and_Hard_lime_kankar_requiring_partial_blasting.">#REF!</definedName>
    <definedName name="Hard_disintegrated_rock_or_soft_rock_or_conglomerate_rock_etc.__removable_by_pick_axes_and_crow_bars" localSheetId="5">#REF!</definedName>
    <definedName name="Hard_disintegrated_rock_or_soft_rock_or_conglomerate_rock_etc.__removable_by_pick_axes_and_crow_bars" localSheetId="7">#REF!</definedName>
    <definedName name="Hard_disintegrated_rock_or_soft_rock_or_conglomerate_rock_etc.__removable_by_pick_axes_and_crow_bars">#REF!</definedName>
    <definedName name="Hard_Gravelly_Soils__________SS_20_A" localSheetId="5">#REF!</definedName>
    <definedName name="Hard_Gravelly_Soils__________SS_20_A" localSheetId="7">#REF!</definedName>
    <definedName name="Hard_Gravelly_Soils__________SS_20_A">#REF!</definedName>
    <definedName name="Hard_rock_and_boulders_more_than_3_cum_in_size_requiring_blasting_including_stacking" localSheetId="5">#REF!</definedName>
    <definedName name="Hard_rock_and_boulders_more_than_3_cum_in_size_requiring_blasting_including_stacking" localSheetId="7">#REF!</definedName>
    <definedName name="Hard_rock_and_boulders_more_than_3_cum_in_size_requiring_blasting_including_stacking">#REF!</definedName>
    <definedName name="hb__06_8" localSheetId="0">[121]wrdata!$B$6:$J$14</definedName>
    <definedName name="hb__06_8">[120]wrdata!$B$6:$J$14</definedName>
    <definedName name="hb__09_8" localSheetId="0">[121]wrdata!$B$15:$J$24</definedName>
    <definedName name="hb__09_8">[120]wrdata!$B$15:$J$24</definedName>
    <definedName name="hb__12_8" localSheetId="0">[121]wrdata!$B$25:$J$33</definedName>
    <definedName name="hb__12_8">[120]wrdata!$B$25:$J$33</definedName>
    <definedName name="hb__15_8" localSheetId="0">[121]wrdata!$B$34:$J$40</definedName>
    <definedName name="hb__15_8">[120]wrdata!$B$34:$J$40</definedName>
    <definedName name="HBG_metal_IRC" localSheetId="2">#REF!</definedName>
    <definedName name="HBG_metal_IRC" localSheetId="1">#REF!</definedName>
    <definedName name="HBG_metal_IRC" localSheetId="4">#REF!</definedName>
    <definedName name="HBG_metal_IRC" localSheetId="6">#REF!</definedName>
    <definedName name="HBG_metal_IRC" localSheetId="5">#REF!</definedName>
    <definedName name="HBG_metal_IRC" localSheetId="7">#REF!</definedName>
    <definedName name="HBG_metal_IRC">#REF!</definedName>
    <definedName name="HBG_metal_SS_5" localSheetId="5">#REF!</definedName>
    <definedName name="HBG_metal_SS_5" localSheetId="7">#REF!</definedName>
    <definedName name="HBG_metal_SS_5">#REF!</definedName>
    <definedName name="HDM_III_INPUT_DATA">'[101]Bitumen trunk'!$BO$1:$DI$196</definedName>
    <definedName name="HDrpW" localSheetId="2">#REF!</definedName>
    <definedName name="HDrpW" localSheetId="1">#REF!</definedName>
    <definedName name="HDrpW" localSheetId="4">#REF!</definedName>
    <definedName name="HDrpW" localSheetId="6">#REF!</definedName>
    <definedName name="HDrpW" localSheetId="5">#REF!</definedName>
    <definedName name="HDrpW" localSheetId="7">#REF!</definedName>
    <definedName name="HDrpW">#REF!</definedName>
    <definedName name="HFDHDFH" localSheetId="2">'[113]Aug,02'!#REF!</definedName>
    <definedName name="HFDHDFH" localSheetId="1">'[113]Aug,02'!#REF!</definedName>
    <definedName name="HFDHDFH" localSheetId="4">'[113]Aug,02'!#REF!</definedName>
    <definedName name="HFDHDFH" localSheetId="6">'[113]Aug,02'!#REF!</definedName>
    <definedName name="HFDHDFH" localSheetId="5">'[113]Aug,02'!#REF!</definedName>
    <definedName name="HFDHDFH" localSheetId="7">'[113]Aug,02'!#REF!</definedName>
    <definedName name="HFDHDFH">'[113]Aug,02'!#REF!</definedName>
    <definedName name="hfdhfdjhgfjghjvb" localSheetId="5">'[153]Aug,02'!#REF!</definedName>
    <definedName name="hfdhfdjhgfjghjvb">'[153]Aug,02'!#REF!</definedName>
    <definedName name="hfgcjhgkhjvghjxfghdfhf" localSheetId="5">'[113]Aug,02'!#REF!</definedName>
    <definedName name="hfgcjhgkhjvghjxfghdfhf">'[113]Aug,02'!#REF!</definedName>
    <definedName name="hfkg" localSheetId="2">#REF!</definedName>
    <definedName name="hfkg" localSheetId="0">#REF!</definedName>
    <definedName name="hfkg" localSheetId="1">#REF!</definedName>
    <definedName name="hfkg" localSheetId="4">#REF!</definedName>
    <definedName name="hfkg" localSheetId="6">#REF!</definedName>
    <definedName name="hfkg" localSheetId="5">#REF!</definedName>
    <definedName name="hfkg" localSheetId="7">#REF!</definedName>
    <definedName name="hfkg">#REF!</definedName>
    <definedName name="hggg">[168]Material!$D$17</definedName>
    <definedName name="hgkhgkjhljliyuh" localSheetId="2">#REF!</definedName>
    <definedName name="hgkhgkjhljliyuh" localSheetId="1">#REF!</definedName>
    <definedName name="hgkhgkjhljliyuh" localSheetId="4">#REF!</definedName>
    <definedName name="hgkhgkjhljliyuh" localSheetId="6">#REF!</definedName>
    <definedName name="hgkhgkjhljliyuh" localSheetId="5">#REF!</definedName>
    <definedName name="hgkhgkjhljliyuh" localSheetId="7">#REF!</definedName>
    <definedName name="hgkhgkjhljliyuh">#REF!</definedName>
    <definedName name="hgle" localSheetId="0">#REF!</definedName>
    <definedName name="hgle" localSheetId="5">#REF!</definedName>
    <definedName name="hgle" localSheetId="7">#REF!</definedName>
    <definedName name="hgle">#REF!</definedName>
    <definedName name="hgxjkyhxzdfgfdjzzgth" localSheetId="2">'[113]Aug,02'!#REF!</definedName>
    <definedName name="hgxjkyhxzdfgfdjzzgth" localSheetId="1">'[113]Aug,02'!#REF!</definedName>
    <definedName name="hgxjkyhxzdfgfdjzzgth" localSheetId="4">'[113]Aug,02'!#REF!</definedName>
    <definedName name="hgxjkyhxzdfgfdjzzgth" localSheetId="6">'[113]Aug,02'!#REF!</definedName>
    <definedName name="hgxjkyhxzdfgfdjzzgth" localSheetId="5">'[113]Aug,02'!#REF!</definedName>
    <definedName name="hgxjkyhxzdfgfdjzzgth">'[113]Aug,02'!#REF!</definedName>
    <definedName name="HHF" localSheetId="2">'[113]Aug,02'!#REF!</definedName>
    <definedName name="HHF" localSheetId="1">'[113]Aug,02'!#REF!</definedName>
    <definedName name="HHF" localSheetId="4">'[113]Aug,02'!#REF!</definedName>
    <definedName name="HHF" localSheetId="6">'[113]Aug,02'!#REF!</definedName>
    <definedName name="HHF" localSheetId="5">'[113]Aug,02'!#REF!</definedName>
    <definedName name="HHF">'[113]Aug,02'!#REF!</definedName>
    <definedName name="HiddenRows" localSheetId="2" hidden="1">#REF!</definedName>
    <definedName name="HiddenRows" localSheetId="1" hidden="1">#REF!</definedName>
    <definedName name="HiddenRows" localSheetId="4" hidden="1">#REF!</definedName>
    <definedName name="HiddenRows" localSheetId="6" hidden="1">#REF!</definedName>
    <definedName name="HiddenRows" localSheetId="5" hidden="1">#REF!</definedName>
    <definedName name="HiddenRows" localSheetId="7" hidden="1">#REF!</definedName>
    <definedName name="HiddenRows" hidden="1">#REF!</definedName>
    <definedName name="High_Yeild_Strengh_Deformed_Bars" localSheetId="5">#REF!</definedName>
    <definedName name="High_Yeild_Strengh_Deformed_Bars" localSheetId="7">#REF!</definedName>
    <definedName name="High_Yeild_Strengh_Deformed_Bars">#REF!</definedName>
    <definedName name="hiiii">[192]BTR!$D$4</definedName>
    <definedName name="HJ" localSheetId="2" hidden="1">{"'ridftotal'!$A$4:$S$27"}</definedName>
    <definedName name="HJ" localSheetId="1" hidden="1">{"'ridftotal'!$A$4:$S$27"}</definedName>
    <definedName name="HJ" localSheetId="4" hidden="1">{"'ridftotal'!$A$4:$S$27"}</definedName>
    <definedName name="HJ" localSheetId="6" hidden="1">{"'ridftotal'!$A$4:$S$27"}</definedName>
    <definedName name="HJ" localSheetId="5" hidden="1">{"'ridftotal'!$A$4:$S$27"}</definedName>
    <definedName name="HJ" localSheetId="7" hidden="1">{"'ridftotal'!$A$4:$S$27"}</definedName>
    <definedName name="HJ" hidden="1">{"'ridftotal'!$A$4:$S$27"}</definedName>
    <definedName name="hjkhgkfgjg" localSheetId="2">'[113]Aug,02'!#REF!</definedName>
    <definedName name="hjkhgkfgjg" localSheetId="1">'[113]Aug,02'!#REF!</definedName>
    <definedName name="hjkhgkfgjg" localSheetId="4">'[113]Aug,02'!#REF!</definedName>
    <definedName name="hjkhgkfgjg" localSheetId="6">'[113]Aug,02'!#REF!</definedName>
    <definedName name="hjkhgkfgjg" localSheetId="5">'[113]Aug,02'!#REF!</definedName>
    <definedName name="hjkhgkfgjg">'[113]Aug,02'!#REF!</definedName>
    <definedName name="HJKHSDD">#REF!</definedName>
    <definedName name="hjkvbmnnkmchgm" localSheetId="2">'[113]Aug,02'!#REF!</definedName>
    <definedName name="hjkvbmnnkmchgm" localSheetId="1">'[113]Aug,02'!#REF!</definedName>
    <definedName name="hjkvbmnnkmchgm" localSheetId="4">'[113]Aug,02'!#REF!</definedName>
    <definedName name="hjkvbmnnkmchgm" localSheetId="6">'[113]Aug,02'!#REF!</definedName>
    <definedName name="hjkvbmnnkmchgm" localSheetId="5">'[113]Aug,02'!#REF!</definedName>
    <definedName name="hjkvbmnnkmchgm">'[113]Aug,02'!#REF!</definedName>
    <definedName name="hjvgjf" localSheetId="5">'[113]Aug,02'!#REF!</definedName>
    <definedName name="hjvgjf">'[113]Aug,02'!#REF!</definedName>
    <definedName name="hjyyrt">#N/A</definedName>
    <definedName name="hkhgmhglghkgc" localSheetId="5">'[113]Aug,02'!#REF!</definedName>
    <definedName name="hkhgmhglghkgc">'[113]Aug,02'!#REF!</definedName>
    <definedName name="hkjhkvljklvjhk" localSheetId="5">'[112]Aug,02'!#REF!</definedName>
    <definedName name="hkjhkvljklvjhk">'[112]Aug,02'!#REF!</definedName>
    <definedName name="hkjvhkljlvbkcfhjv" localSheetId="5">'[113]Aug,02'!#REF!</definedName>
    <definedName name="hkjvhkljlvbkcfhjv">'[113]Aug,02'!#REF!</definedName>
    <definedName name="HM" localSheetId="2">#REF!</definedName>
    <definedName name="HM" localSheetId="1">#REF!</definedName>
    <definedName name="HM" localSheetId="4">#REF!</definedName>
    <definedName name="HM" localSheetId="6">#REF!</definedName>
    <definedName name="HM" localSheetId="5">#REF!</definedName>
    <definedName name="HM" localSheetId="7">#REF!</definedName>
    <definedName name="HM">#REF!</definedName>
    <definedName name="HMFH" localSheetId="2">'[113]Aug,02'!#REF!</definedName>
    <definedName name="HMFH" localSheetId="1">'[113]Aug,02'!#REF!</definedName>
    <definedName name="HMFH" localSheetId="4">'[113]Aug,02'!#REF!</definedName>
    <definedName name="HMFH" localSheetId="6">'[113]Aug,02'!#REF!</definedName>
    <definedName name="HMFH" localSheetId="5">'[113]Aug,02'!#REF!</definedName>
    <definedName name="HMFH" localSheetId="7">'[113]Aug,02'!#REF!</definedName>
    <definedName name="HMFH">'[113]Aug,02'!#REF!</definedName>
    <definedName name="HMN" localSheetId="5">'[193]Aug,02'!#REF!</definedName>
    <definedName name="HMN">'[193]Aug,02'!#REF!</definedName>
    <definedName name="Hot_Mix_Plant_30_45__TPH">[66]Usage!$C$6</definedName>
    <definedName name="Hot_Mix_Plant_30_45_TPH_6_10_TPH">[66]Usage!$C$8</definedName>
    <definedName name="hr" localSheetId="2">#REF!</definedName>
    <definedName name="hr" localSheetId="1">#REF!</definedName>
    <definedName name="hr" localSheetId="4">#REF!</definedName>
    <definedName name="hr" localSheetId="6">#REF!</definedName>
    <definedName name="hr" localSheetId="5">#REF!</definedName>
    <definedName name="hr" localSheetId="7">#REF!</definedName>
    <definedName name="hr">#REF!</definedName>
    <definedName name="hrhfdhxjhtdhserhreh" localSheetId="2">'[113]Aug,02'!#REF!</definedName>
    <definedName name="hrhfdhxjhtdhserhreh" localSheetId="1">'[113]Aug,02'!#REF!</definedName>
    <definedName name="hrhfdhxjhtdhserhreh" localSheetId="4">'[113]Aug,02'!#REF!</definedName>
    <definedName name="hrhfdhxjhtdhserhreh" localSheetId="6">'[113]Aug,02'!#REF!</definedName>
    <definedName name="hrhfdhxjhtdhserhreh" localSheetId="5">'[113]Aug,02'!#REF!</definedName>
    <definedName name="hrhfdhxjhtdhserhreh" localSheetId="7">'[113]Aug,02'!#REF!</definedName>
    <definedName name="hrhfdhxjhtdhserhreh">'[113]Aug,02'!#REF!</definedName>
    <definedName name="HtDrp" localSheetId="2">#REF!</definedName>
    <definedName name="HtDrp" localSheetId="1">#REF!</definedName>
    <definedName name="HtDrp" localSheetId="4">#REF!</definedName>
    <definedName name="HtDrp" localSheetId="6">#REF!</definedName>
    <definedName name="HtDrp" localSheetId="5">#REF!</definedName>
    <definedName name="HtDrp" localSheetId="7">#REF!</definedName>
    <definedName name="HtDrp">#REF!</definedName>
    <definedName name="HtLifWal" localSheetId="2">#REF!</definedName>
    <definedName name="HtLifWal" localSheetId="1">#REF!</definedName>
    <definedName name="HtLifWal" localSheetId="4">#REF!</definedName>
    <definedName name="HtLifWal" localSheetId="6">#REF!</definedName>
    <definedName name="HtLifWal" localSheetId="5">#REF!</definedName>
    <definedName name="HtLifWal" localSheetId="7">#REF!</definedName>
    <definedName name="HtLifWal">#REF!</definedName>
    <definedName name="HTML_CodePage" hidden="1">1252</definedName>
    <definedName name="HTML_Control" localSheetId="2" hidden="1">{"'ridftotal'!$A$4:$S$27"}</definedName>
    <definedName name="HTML_Control" localSheetId="1" hidden="1">{"'ridftotal'!$A$4:$S$27"}</definedName>
    <definedName name="HTML_Control" localSheetId="4" hidden="1">{"'ridftotal'!$A$4:$S$27"}</definedName>
    <definedName name="HTML_Control" localSheetId="6" hidden="1">{"'ridftotal'!$A$4:$S$27"}</definedName>
    <definedName name="HTML_Control" localSheetId="5" hidden="1">{"'ridftotal'!$A$4:$S$27"}</definedName>
    <definedName name="HTML_Control" localSheetId="7" hidden="1">{"'ridftotal'!$A$4:$S$27"}</definedName>
    <definedName name="HTML_Control" hidden="1">{"'ridftotal'!$A$4:$S$27"}</definedName>
    <definedName name="HTML_Description" hidden="1">""</definedName>
    <definedName name="HTML_Email" hidden="1">""</definedName>
    <definedName name="HTML_Header" hidden="1">"ridftotal"</definedName>
    <definedName name="HTML_LastUpdate" hidden="1">"3/31/00"</definedName>
    <definedName name="HTML_LineAfter" hidden="1">FALSE</definedName>
    <definedName name="HTML_LineBefore" hidden="1">FALSE</definedName>
    <definedName name="HTML_Name" hidden="1">"PVKUTUMBA RAO"</definedName>
    <definedName name="HTML_OBDlg2" hidden="1">TRUE</definedName>
    <definedName name="HTML_OBDlg4" hidden="1">TRUE</definedName>
    <definedName name="HTML_OS" hidden="1">0</definedName>
    <definedName name="HTML_PathFile" hidden="1">"C:\MNMGEN\ridf5\MyHTML.htm"</definedName>
    <definedName name="HTML_Title" hidden="1">"absjanfeb2k"</definedName>
    <definedName name="htsb" localSheetId="0">#REF!</definedName>
    <definedName name="htsb">#REF!</definedName>
    <definedName name="Htspb" localSheetId="0">#REF!</definedName>
    <definedName name="Htspb">#REF!</definedName>
    <definedName name="hwh" localSheetId="2">#REF!</definedName>
    <definedName name="hwh" localSheetId="1">#REF!</definedName>
    <definedName name="hwh" localSheetId="4">#REF!</definedName>
    <definedName name="hwh" localSheetId="6">#REF!</definedName>
    <definedName name="hwh" localSheetId="5">#REF!</definedName>
    <definedName name="hwh" localSheetId="7">#REF!</definedName>
    <definedName name="hwh">#REF!</definedName>
    <definedName name="hyd">#REF!</definedName>
    <definedName name="Hydmax">#REF!</definedName>
    <definedName name="Hydmin">#REF!</definedName>
    <definedName name="hyghygjhghyg" localSheetId="2">#REF!</definedName>
    <definedName name="hyghygjhghyg" localSheetId="1">#REF!</definedName>
    <definedName name="hyghygjhghyg" localSheetId="4">#REF!</definedName>
    <definedName name="hyghygjhghyg" localSheetId="6">#REF!</definedName>
    <definedName name="hyghygjhghyg" localSheetId="5">#REF!</definedName>
    <definedName name="hyghygjhghyg" localSheetId="7">#REF!</definedName>
    <definedName name="hyghygjhghyg">#REF!</definedName>
    <definedName name="HYSD" localSheetId="0">[52]MRATES!$P$49</definedName>
    <definedName name="HYSD" localSheetId="4">[43]MRATES!$T$16</definedName>
    <definedName name="HYSD">[53]MRATES!$P$49</definedName>
    <definedName name="HYT">'[171]Plant &amp;  Machinery'!$G$4</definedName>
    <definedName name="i" localSheetId="2">[194]Lead!#REF!</definedName>
    <definedName name="i" localSheetId="1">[194]Lead!#REF!</definedName>
    <definedName name="i" localSheetId="4">[194]Lead!#REF!</definedName>
    <definedName name="i" localSheetId="6">[194]Lead!#REF!</definedName>
    <definedName name="i" localSheetId="5">[194]Lead!#REF!</definedName>
    <definedName name="i" localSheetId="7">[194]Lead!#REF!</definedName>
    <definedName name="i">[194]Lead!#REF!</definedName>
    <definedName name="I_10" localSheetId="0">[72]RMR!$L$12</definedName>
    <definedName name="I_10">[73]RMR!$L$12</definedName>
    <definedName name="I_2" localSheetId="0">[72]RMR!$L$14</definedName>
    <definedName name="I_2">[73]RMR!$L$14</definedName>
    <definedName name="I_20" localSheetId="0">[72]RMR!$L$10</definedName>
    <definedName name="I_20">[73]RMR!$L$10</definedName>
    <definedName name="I_6" localSheetId="0">[72]RMR!$L$13</definedName>
    <definedName name="I_6">[73]RMR!$L$13</definedName>
    <definedName name="I_60" localSheetId="0">[72]RMR!$L$5</definedName>
    <definedName name="I_60">[73]RMR!$L$5</definedName>
    <definedName name="I_H40" localSheetId="0">[72]RMR!$L$7</definedName>
    <definedName name="I_H40">[73]RMR!$L$7</definedName>
    <definedName name="IAM" hidden="1">{"'Sheet1'!$A$4386:$N$4591"}</definedName>
    <definedName name="IC4D">#N/A</definedName>
    <definedName name="id" localSheetId="2">#REF!</definedName>
    <definedName name="id" localSheetId="0">#REF!</definedName>
    <definedName name="id" localSheetId="1">#REF!</definedName>
    <definedName name="id" localSheetId="4">#REF!</definedName>
    <definedName name="id" localSheetId="6">#REF!</definedName>
    <definedName name="id" localSheetId="5">#REF!</definedName>
    <definedName name="id" localSheetId="7">#REF!</definedName>
    <definedName name="id">#REF!</definedName>
    <definedName name="id10.0" localSheetId="0">#REF!</definedName>
    <definedName name="id10.0" localSheetId="5">#REF!</definedName>
    <definedName name="id10.0" localSheetId="7">#REF!</definedName>
    <definedName name="id10.0">#REF!</definedName>
    <definedName name="id2.5" localSheetId="0">#REF!</definedName>
    <definedName name="id2.5" localSheetId="5">#REF!</definedName>
    <definedName name="id2.5" localSheetId="7">#REF!</definedName>
    <definedName name="id2.5">#REF!</definedName>
    <definedName name="id4.0" localSheetId="5">#REF!</definedName>
    <definedName name="id4.0" localSheetId="7">#REF!</definedName>
    <definedName name="id4.0">#REF!</definedName>
    <definedName name="id6.0" localSheetId="5">#REF!</definedName>
    <definedName name="id6.0" localSheetId="7">#REF!</definedName>
    <definedName name="id6.0">#REF!</definedName>
    <definedName name="idcgh">#N/A</definedName>
    <definedName name="idcghjj">#N/A</definedName>
    <definedName name="IDCGK">#N/A</definedName>
    <definedName name="idch">#N/A</definedName>
    <definedName name="idcjc">#N/A</definedName>
    <definedName name="idctb">#N/A</definedName>
    <definedName name="idctb1">#N/A</definedName>
    <definedName name="IDGK">#N/A</definedName>
    <definedName name="IFTOYIPGHJOLHFTRSWREQAWFASDGFDSGZDSF" localSheetId="2">'[153]Aug,02'!#REF!</definedName>
    <definedName name="IFTOYIPGHJOLHFTRSWREQAWFASDGFDSGZDSF" localSheetId="1">'[153]Aug,02'!#REF!</definedName>
    <definedName name="IFTOYIPGHJOLHFTRSWREQAWFASDGFDSGZDSF" localSheetId="4">'[153]Aug,02'!#REF!</definedName>
    <definedName name="IFTOYIPGHJOLHFTRSWREQAWFASDGFDSGZDSF" localSheetId="6">'[153]Aug,02'!#REF!</definedName>
    <definedName name="IFTOYIPGHJOLHFTRSWREQAWFASDGFDSGZDSF" localSheetId="5">'[153]Aug,02'!#REF!</definedName>
    <definedName name="IFTOYIPGHJOLHFTRSWREQAWFASDGFDSGZDSF">'[153]Aug,02'!#REF!</definedName>
    <definedName name="iiii">[161]Labour!$D$5</definedName>
    <definedName name="iiinhuhgighihihy" localSheetId="2">#REF!</definedName>
    <definedName name="iiinhuhgighihihy" localSheetId="1">#REF!</definedName>
    <definedName name="iiinhuhgighihihy" localSheetId="4">#REF!</definedName>
    <definedName name="iiinhuhgighihihy" localSheetId="6">#REF!</definedName>
    <definedName name="iiinhuhgighihihy" localSheetId="5">#REF!</definedName>
    <definedName name="iiinhuhgighihihy" localSheetId="7">#REF!</definedName>
    <definedName name="iiinhuhgighihihy">#REF!</definedName>
    <definedName name="IK" localSheetId="2" hidden="1">{"'ridftotal'!$A$4:$S$27"}</definedName>
    <definedName name="IK" localSheetId="1" hidden="1">{"'ridftotal'!$A$4:$S$27"}</definedName>
    <definedName name="IK" localSheetId="4" hidden="1">{"'ridftotal'!$A$4:$S$27"}</definedName>
    <definedName name="IK" localSheetId="6" hidden="1">{"'ridftotal'!$A$4:$S$27"}</definedName>
    <definedName name="IK" localSheetId="5" hidden="1">{"'ridftotal'!$A$4:$S$27"}</definedName>
    <definedName name="IK" localSheetId="7" hidden="1">{"'ridftotal'!$A$4:$S$27"}</definedName>
    <definedName name="IK" hidden="1">{"'ridftotal'!$A$4:$S$27"}</definedName>
    <definedName name="IL" localSheetId="2">#REF!</definedName>
    <definedName name="IL" localSheetId="1">#REF!</definedName>
    <definedName name="IL" localSheetId="4">#REF!</definedName>
    <definedName name="IL" localSheetId="6">#REF!</definedName>
    <definedName name="IL" localSheetId="5">#REF!</definedName>
    <definedName name="IL" localSheetId="7">#REF!</definedName>
    <definedName name="IL">#REF!</definedName>
    <definedName name="imp" localSheetId="2">#REF!</definedName>
    <definedName name="imp" localSheetId="1">#REF!</definedName>
    <definedName name="imp" localSheetId="4">#REF!</definedName>
    <definedName name="imp" localSheetId="6">#REF!</definedName>
    <definedName name="imp" localSheetId="5">#REF!</definedName>
    <definedName name="imp" localSheetId="7">#REF!</definedName>
    <definedName name="imp">#REF!</definedName>
    <definedName name="Index" localSheetId="2" hidden="1">{"'ridftotal'!$A$4:$S$27"}</definedName>
    <definedName name="Index" localSheetId="1" hidden="1">{"'ridftotal'!$A$4:$S$27"}</definedName>
    <definedName name="Index" localSheetId="4" hidden="1">{"'ridftotal'!$A$4:$S$27"}</definedName>
    <definedName name="Index" localSheetId="6" hidden="1">{"'ridftotal'!$A$4:$S$27"}</definedName>
    <definedName name="Index" localSheetId="5" hidden="1">{"'ridftotal'!$A$4:$S$27"}</definedName>
    <definedName name="Index" localSheetId="7" hidden="1">{"'ridftotal'!$A$4:$S$27"}</definedName>
    <definedName name="Index" hidden="1">{"'ridftotal'!$A$4:$S$27"}</definedName>
    <definedName name="InfoDialog">"Dialogfeldrahmen 1"</definedName>
    <definedName name="Interest_Rate">#REF!</definedName>
    <definedName name="IOA_12_gauge" localSheetId="5">[67]Material!#REF!</definedName>
    <definedName name="IOA_12_gauge" localSheetId="7">[67]Material!#REF!</definedName>
    <definedName name="IOA_12_gauge">[67]Material!#REF!</definedName>
    <definedName name="IOA_14_gauge" localSheetId="5">[67]Material!#REF!</definedName>
    <definedName name="IOA_14_gauge" localSheetId="7">[67]Material!#REF!</definedName>
    <definedName name="IOA_14_gauge">[67]Material!#REF!</definedName>
    <definedName name="IOP">#REF!</definedName>
    <definedName name="iout" localSheetId="5">'[113]Aug,02'!#REF!</definedName>
    <definedName name="iout" localSheetId="7">'[113]Aug,02'!#REF!</definedName>
    <definedName name="iout">'[113]Aug,02'!#REF!</definedName>
    <definedName name="ip">#REF!</definedName>
    <definedName name="IRC2.36" localSheetId="0">[52]MRATES!$M$6</definedName>
    <definedName name="IRC2.36" localSheetId="4">[7]Sheet1!$F$6</definedName>
    <definedName name="IRC2.36">[53]MRATES!$M$6</definedName>
    <definedName name="item">[158]maya!$A$69:$A$107</definedName>
    <definedName name="Item_abst" localSheetId="2">#REF!</definedName>
    <definedName name="Item_abst" localSheetId="1">#REF!</definedName>
    <definedName name="Item_abst" localSheetId="4">#REF!</definedName>
    <definedName name="Item_abst" localSheetId="6">#REF!</definedName>
    <definedName name="Item_abst" localSheetId="5">#REF!</definedName>
    <definedName name="Item_abst" localSheetId="7">#REF!</definedName>
    <definedName name="Item_abst">#REF!</definedName>
    <definedName name="ITI" localSheetId="2">'[170]MRoad data'!#REF!</definedName>
    <definedName name="ITI" localSheetId="0">'[169]MRoad data'!#REF!</definedName>
    <definedName name="ITI" localSheetId="1">'[170]MRoad data'!#REF!</definedName>
    <definedName name="ITI" localSheetId="4">'[43]MRoad data'!#REF!</definedName>
    <definedName name="ITI" localSheetId="6">'[170]MRoad data'!#REF!</definedName>
    <definedName name="ITI" localSheetId="5">'[170]MRoad data'!#REF!</definedName>
    <definedName name="ITI" localSheetId="7">'[170]MRoad data'!#REF!</definedName>
    <definedName name="ITI">'[170]MRoad data'!#REF!</definedName>
    <definedName name="ITYJCFHhrdhjfgk" localSheetId="5">'[113]Aug,02'!#REF!</definedName>
    <definedName name="ITYJCFHhrdhjfgk" localSheetId="7">'[113]Aug,02'!#REF!</definedName>
    <definedName name="ITYJCFHhrdhjfgk">'[113]Aug,02'!#REF!</definedName>
    <definedName name="J">[188]Analy!#REF!</definedName>
    <definedName name="jaga" localSheetId="2">#REF!</definedName>
    <definedName name="jaga" localSheetId="1">#REF!</definedName>
    <definedName name="jaga" localSheetId="4">#REF!</definedName>
    <definedName name="jaga" localSheetId="6">#REF!</definedName>
    <definedName name="jaga" localSheetId="5">#REF!</definedName>
    <definedName name="jaga" localSheetId="7">#REF!</definedName>
    <definedName name="jaga">#REF!</definedName>
    <definedName name="jb" localSheetId="5">#REF!</definedName>
    <definedName name="jb" localSheetId="7">#REF!</definedName>
    <definedName name="jb">#REF!</definedName>
    <definedName name="JC" localSheetId="2">'[113]Aug,02'!#REF!</definedName>
    <definedName name="JC" localSheetId="1">'[113]Aug,02'!#REF!</definedName>
    <definedName name="JC" localSheetId="4">'[113]Aug,02'!#REF!</definedName>
    <definedName name="JC" localSheetId="6">'[113]Aug,02'!#REF!</definedName>
    <definedName name="JC" localSheetId="5">'[113]Aug,02'!#REF!</definedName>
    <definedName name="JC">'[113]Aug,02'!#REF!</definedName>
    <definedName name="JCB_Excavator" localSheetId="2">#REF!</definedName>
    <definedName name="JCB_Excavator" localSheetId="1">#REF!</definedName>
    <definedName name="JCB_Excavator" localSheetId="4">#REF!</definedName>
    <definedName name="JCB_Excavator" localSheetId="6">#REF!</definedName>
    <definedName name="JCB_Excavator" localSheetId="5">#REF!</definedName>
    <definedName name="JCB_Excavator" localSheetId="7">#REF!</definedName>
    <definedName name="JCB_Excavator">#REF!</definedName>
    <definedName name="Jeddy_Stone_above_450_mm_to_600_mm" localSheetId="5">#REF!</definedName>
    <definedName name="Jeddy_Stone_above_450_mm_to_600_mm" localSheetId="7">#REF!</definedName>
    <definedName name="Jeddy_Stone_above_450_mm_to_600_mm">#REF!</definedName>
    <definedName name="jeev" localSheetId="0">#REF!</definedName>
    <definedName name="jeev" localSheetId="7">#REF!</definedName>
    <definedName name="jeev">#REF!</definedName>
    <definedName name="jfghgch" localSheetId="2">'[113]Aug,02'!#REF!</definedName>
    <definedName name="jfghgch" localSheetId="1">'[113]Aug,02'!#REF!</definedName>
    <definedName name="jfghgch" localSheetId="4">'[113]Aug,02'!#REF!</definedName>
    <definedName name="jfghgch" localSheetId="6">'[113]Aug,02'!#REF!</definedName>
    <definedName name="jfghgch" localSheetId="5">'[113]Aug,02'!#REF!</definedName>
    <definedName name="jfghgch">'[113]Aug,02'!#REF!</definedName>
    <definedName name="jgfjghcgggggf" localSheetId="2">#REF!</definedName>
    <definedName name="jgfjghcgggggf" localSheetId="1">#REF!</definedName>
    <definedName name="jgfjghcgggggf" localSheetId="4">#REF!</definedName>
    <definedName name="jgfjghcgggggf" localSheetId="6">#REF!</definedName>
    <definedName name="jgfjghcgggggf" localSheetId="5">#REF!</definedName>
    <definedName name="jgfjghcgggggf" localSheetId="7">#REF!</definedName>
    <definedName name="jgfjghcgggggf">#REF!</definedName>
    <definedName name="jgfjhkjgfhjf" localSheetId="5">#REF!</definedName>
    <definedName name="jgfjhkjgfhjf" localSheetId="7">#REF!</definedName>
    <definedName name="jgfjhkjgfhjf">#REF!</definedName>
    <definedName name="jikhtghgd">[195]Material!$D$55</definedName>
    <definedName name="jiolhjiohuo" localSheetId="2">'[113]Aug,02'!#REF!</definedName>
    <definedName name="jiolhjiohuo" localSheetId="1">'[113]Aug,02'!#REF!</definedName>
    <definedName name="jiolhjiohuo" localSheetId="4">'[113]Aug,02'!#REF!</definedName>
    <definedName name="jiolhjiohuo" localSheetId="6">'[113]Aug,02'!#REF!</definedName>
    <definedName name="jiolhjiohuo" localSheetId="5">'[113]Aug,02'!#REF!</definedName>
    <definedName name="jiolhjiohuo">'[113]Aug,02'!#REF!</definedName>
    <definedName name="jj" localSheetId="2">#REF!</definedName>
    <definedName name="jj" localSheetId="1">#REF!</definedName>
    <definedName name="jj" localSheetId="4">#REF!</definedName>
    <definedName name="jj" localSheetId="6">#REF!</definedName>
    <definedName name="jj" localSheetId="5">#REF!</definedName>
    <definedName name="jj" localSheetId="7">#REF!</definedName>
    <definedName name="jj">#REF!</definedName>
    <definedName name="jk" localSheetId="2" hidden="1">{"'ridftotal'!$A$4:$S$27"}</definedName>
    <definedName name="jk" localSheetId="1" hidden="1">{"'ridftotal'!$A$4:$S$27"}</definedName>
    <definedName name="jk" localSheetId="4" hidden="1">{"'ridftotal'!$A$4:$S$27"}</definedName>
    <definedName name="jk" localSheetId="6" hidden="1">{"'ridftotal'!$A$4:$S$27"}</definedName>
    <definedName name="jk" localSheetId="5" hidden="1">{"'ridftotal'!$A$4:$S$27"}</definedName>
    <definedName name="jk" localSheetId="7" hidden="1">{"'ridftotal'!$A$4:$S$27"}</definedName>
    <definedName name="jk" hidden="1">{"'ridftotal'!$A$4:$S$27"}</definedName>
    <definedName name="jku">#N/A</definedName>
    <definedName name="JUNGLE" localSheetId="2">[128]Abs!#REF!</definedName>
    <definedName name="JUNGLE" localSheetId="1">[128]Abs!#REF!</definedName>
    <definedName name="JUNGLE" localSheetId="4">[128]Abs!#REF!</definedName>
    <definedName name="JUNGLE" localSheetId="6">[128]Abs!#REF!</definedName>
    <definedName name="JUNGLE" localSheetId="5">[128]Abs!#REF!</definedName>
    <definedName name="JUNGLE">[128]Abs!#REF!</definedName>
    <definedName name="JVSTONE">[156]Leads!$Q$9</definedName>
    <definedName name="k">[59]leads!$A$3:$E$108</definedName>
    <definedName name="kankar__hard_broken_kankar__40_to_75_mm___ring" localSheetId="2">#REF!</definedName>
    <definedName name="kankar__hard_broken_kankar__40_to_75_mm___ring" localSheetId="1">#REF!</definedName>
    <definedName name="kankar__hard_broken_kankar__40_to_75_mm___ring" localSheetId="4">#REF!</definedName>
    <definedName name="kankar__hard_broken_kankar__40_to_75_mm___ring" localSheetId="6">#REF!</definedName>
    <definedName name="kankar__hard_broken_kankar__40_to_75_mm___ring" localSheetId="5">#REF!</definedName>
    <definedName name="kankar__hard_broken_kankar__40_to_75_mm___ring" localSheetId="7">#REF!</definedName>
    <definedName name="kankar__hard_broken_kankar__40_to_75_mm___ring">#REF!</definedName>
    <definedName name="khjuvljlhjlbhjkhjk" localSheetId="2">'[113]Aug,02'!#REF!</definedName>
    <definedName name="khjuvljlhjlbhjkhjk" localSheetId="1">'[113]Aug,02'!#REF!</definedName>
    <definedName name="khjuvljlhjlbhjkhjk" localSheetId="4">'[113]Aug,02'!#REF!</definedName>
    <definedName name="khjuvljlhjlbhjkhjk" localSheetId="6">'[113]Aug,02'!#REF!</definedName>
    <definedName name="khjuvljlhjlbhjkhjk" localSheetId="5">'[113]Aug,02'!#REF!</definedName>
    <definedName name="khjuvljlhjlbhjkhjk" localSheetId="7">'[113]Aug,02'!#REF!</definedName>
    <definedName name="khjuvljlhjlbhjkhjk">'[113]Aug,02'!#REF!</definedName>
    <definedName name="KIOP">[171]Material!$D$47</definedName>
    <definedName name="KJ" localSheetId="2" hidden="1">{"'ridftotal'!$A$4:$S$27"}</definedName>
    <definedName name="KJ" localSheetId="1" hidden="1">{"'ridftotal'!$A$4:$S$27"}</definedName>
    <definedName name="KJ" localSheetId="4" hidden="1">{"'ridftotal'!$A$4:$S$27"}</definedName>
    <definedName name="KJ" localSheetId="6" hidden="1">{"'ridftotal'!$A$4:$S$27"}</definedName>
    <definedName name="KJ" localSheetId="5" hidden="1">{"'ridftotal'!$A$4:$S$27"}</definedName>
    <definedName name="KJ" localSheetId="7" hidden="1">{"'ridftotal'!$A$4:$S$27"}</definedName>
    <definedName name="KJ" hidden="1">{"'ridftotal'!$A$4:$S$27"}</definedName>
    <definedName name="kk" localSheetId="0">#REF!</definedName>
    <definedName name="kk" localSheetId="4">#REF!</definedName>
    <definedName name="kk" localSheetId="5">#REF!</definedName>
    <definedName name="kk" localSheetId="7">#REF!</definedName>
    <definedName name="kk">#REF!</definedName>
    <definedName name="kk_1">"$#REF!.$#REF!$#REF!"</definedName>
    <definedName name="kk_20">#REF!</definedName>
    <definedName name="kk_3">"$#REF!.$A$23"</definedName>
    <definedName name="kk_4">"$#REF!.$#REF!$#REF!"</definedName>
    <definedName name="kk_5" localSheetId="2">#REF!</definedName>
    <definedName name="kk_5" localSheetId="1">#REF!</definedName>
    <definedName name="kk_5" localSheetId="4">#REF!</definedName>
    <definedName name="kk_5" localSheetId="6">#REF!</definedName>
    <definedName name="kk_5" localSheetId="5">#REF!</definedName>
    <definedName name="kk_5" localSheetId="7">#REF!</definedName>
    <definedName name="kk_5">#REF!</definedName>
    <definedName name="KM">[115]DATA!$F$4</definedName>
    <definedName name="km10th" localSheetId="2">#REF!</definedName>
    <definedName name="km10th" localSheetId="1">#REF!</definedName>
    <definedName name="km10th" localSheetId="4">#REF!</definedName>
    <definedName name="km10th" localSheetId="6">#REF!</definedName>
    <definedName name="km10th" localSheetId="5">#REF!</definedName>
    <definedName name="km10th" localSheetId="7">#REF!</definedName>
    <definedName name="km10th">#REF!</definedName>
    <definedName name="km11th" localSheetId="5">#REF!</definedName>
    <definedName name="km11th" localSheetId="7">#REF!</definedName>
    <definedName name="km11th">#REF!</definedName>
    <definedName name="km12th" localSheetId="5">#REF!</definedName>
    <definedName name="km12th" localSheetId="7">#REF!</definedName>
    <definedName name="km12th">#REF!</definedName>
    <definedName name="km13th" localSheetId="5">#REF!</definedName>
    <definedName name="km13th" localSheetId="7">#REF!</definedName>
    <definedName name="km13th">#REF!</definedName>
    <definedName name="km14th" localSheetId="5">#REF!</definedName>
    <definedName name="km14th" localSheetId="7">#REF!</definedName>
    <definedName name="km14th">#REF!</definedName>
    <definedName name="km16th" localSheetId="5">#REF!</definedName>
    <definedName name="km16th" localSheetId="7">#REF!</definedName>
    <definedName name="km16th">#REF!</definedName>
    <definedName name="km17th" localSheetId="5">#REF!</definedName>
    <definedName name="km17th" localSheetId="7">#REF!</definedName>
    <definedName name="km17th">#REF!</definedName>
    <definedName name="km18th" localSheetId="5">#REF!</definedName>
    <definedName name="km18th" localSheetId="7">#REF!</definedName>
    <definedName name="km18th">#REF!</definedName>
    <definedName name="km19th" localSheetId="5">#REF!</definedName>
    <definedName name="km19th" localSheetId="7">#REF!</definedName>
    <definedName name="km19th">#REF!</definedName>
    <definedName name="km20th" localSheetId="5">#REF!</definedName>
    <definedName name="km20th" localSheetId="7">#REF!</definedName>
    <definedName name="km20th">#REF!</definedName>
    <definedName name="km2nd" localSheetId="5">#REF!</definedName>
    <definedName name="km2nd" localSheetId="7">#REF!</definedName>
    <definedName name="km2nd">#REF!</definedName>
    <definedName name="km3rd" localSheetId="5">#REF!</definedName>
    <definedName name="km3rd" localSheetId="7">#REF!</definedName>
    <definedName name="km3rd">#REF!</definedName>
    <definedName name="km4th" localSheetId="5">#REF!</definedName>
    <definedName name="km4th" localSheetId="7">#REF!</definedName>
    <definedName name="km4th">#REF!</definedName>
    <definedName name="km5th" localSheetId="5">#REF!</definedName>
    <definedName name="km5th" localSheetId="7">#REF!</definedName>
    <definedName name="km5th">#REF!</definedName>
    <definedName name="km6th" localSheetId="5">#REF!</definedName>
    <definedName name="km6th" localSheetId="7">#REF!</definedName>
    <definedName name="km6th">#REF!</definedName>
    <definedName name="km7th" localSheetId="5">#REF!</definedName>
    <definedName name="km7th" localSheetId="7">#REF!</definedName>
    <definedName name="km7th">#REF!</definedName>
    <definedName name="km8th" localSheetId="5">#REF!</definedName>
    <definedName name="km8th" localSheetId="7">#REF!</definedName>
    <definedName name="km8th">#REF!</definedName>
    <definedName name="km9th" localSheetId="5">#REF!</definedName>
    <definedName name="km9th" localSheetId="7">#REF!</definedName>
    <definedName name="km9th">#REF!</definedName>
    <definedName name="Knr" localSheetId="5">#REF!</definedName>
    <definedName name="Knr" localSheetId="7">#REF!</definedName>
    <definedName name="Knr">#REF!</definedName>
    <definedName name="KONTCASH">#REF!</definedName>
    <definedName name="L" localSheetId="5">#REF!</definedName>
    <definedName name="L" localSheetId="7">#REF!</definedName>
    <definedName name="L">#REF!</definedName>
    <definedName name="L_Bhisti" localSheetId="0">[196]Labour!$D$3</definedName>
    <definedName name="L_Bhisti">[197]Labour!$D$3</definedName>
    <definedName name="L_BitumenSprayer" localSheetId="0">[198]Labour!$D$4</definedName>
    <definedName name="L_BitumenSprayer">[197]Labour!$D$4</definedName>
    <definedName name="L_Blacksmith" localSheetId="0">[196]Labour!$D$5</definedName>
    <definedName name="L_Blacksmith">[197]Labour!$D$5</definedName>
    <definedName name="L_Blaster" localSheetId="0">[199]Labour!$D$6</definedName>
    <definedName name="L_Blaster">[197]Labour!$D$6</definedName>
    <definedName name="L_Carpenter_1stClass" localSheetId="0">[200]Labour!$D$7</definedName>
    <definedName name="L_Carpenter_1stClass">[197]Labour!$D$7</definedName>
    <definedName name="L_ChipsSpreader" localSheetId="0">[198]Labour!$D$8</definedName>
    <definedName name="L_ChipsSpreader">[197]Labour!$D$8</definedName>
    <definedName name="L_Chiseller" localSheetId="0">[200]Labour!$D$9</definedName>
    <definedName name="L_Chiseller">[197]Labour!$D$9</definedName>
    <definedName name="L_Dresser_Skilled" localSheetId="0">[200]Labour!$D$10</definedName>
    <definedName name="L_Dresser_Skilled">[197]Labour!$D$10</definedName>
    <definedName name="L_Driller" localSheetId="0">[199]Labour!$D$11</definedName>
    <definedName name="L_Driller">[197]Labour!$D$11</definedName>
    <definedName name="L_Fitter" localSheetId="0">[201]Labour!$D$13</definedName>
    <definedName name="L_Fitter">[202]Labour!$D$13</definedName>
    <definedName name="L_Mason_1stClass" localSheetId="0">[196]Labour!$D$14</definedName>
    <definedName name="L_Mason_1stClass">[197]Labour!$D$14</definedName>
    <definedName name="L_Mason_2ndClass" localSheetId="0">[196]Labour!$D$15</definedName>
    <definedName name="L_Mason_2ndClass">[197]Labour!$D$15</definedName>
    <definedName name="L_Mate" localSheetId="0">[203]Labour!$D$16</definedName>
    <definedName name="L_Mate">[197]Labour!$D$16</definedName>
    <definedName name="L_Mazdoor" localSheetId="0">[203]Labour!$D$17</definedName>
    <definedName name="L_Mazdoor">[197]Labour!$D$17</definedName>
    <definedName name="L_Mazdoor_Semi" localSheetId="0">[196]Labour!$D$18</definedName>
    <definedName name="L_Mazdoor_Semi">[197]Labour!$D$18</definedName>
    <definedName name="L_Mazdoor_Skilled" localSheetId="0">[203]Labour!$D$19</definedName>
    <definedName name="L_Mazdoor_Skilled">[197]Labour!$D$19</definedName>
    <definedName name="L_Painter_1stClass" localSheetId="0">[200]Labour!$D$20</definedName>
    <definedName name="L_Painter_1stClass">[197]Labour!$D$20</definedName>
    <definedName name="L_Plumber" localSheetId="0">[200]Labour!$D$21</definedName>
    <definedName name="L_Plumber">[197]Labour!$D$21</definedName>
    <definedName name="L_Surveyor" localSheetId="0">[196]Labour!$D$22</definedName>
    <definedName name="L_Surveyor">[197]Labour!$D$22</definedName>
    <definedName name="L_WhiteWasher" localSheetId="0">[200]Labour!$D$23</definedName>
    <definedName name="L_WhiteWasher">[197]Labour!$D$23</definedName>
    <definedName name="LA" localSheetId="0">[180]Data!#REF!</definedName>
    <definedName name="LA" localSheetId="4">[111]Data!#REF!</definedName>
    <definedName name="LA" localSheetId="3">[111]Data!#REF!</definedName>
    <definedName name="LA" localSheetId="5">[111]Data!#REF!</definedName>
    <definedName name="LA">[111]Data!#REF!</definedName>
    <definedName name="Labour_charges" localSheetId="0">[204]ppraodata!$AM$4+[204]splmidata!$AI$4:$AK$4</definedName>
    <definedName name="Labour_charges">[205]ppraodata!$AM$4+[205]splmidata!$AI$4:$AK$4</definedName>
    <definedName name="Labour_charges_12" localSheetId="0">[206]ppraodata!$AM$4+[206]splmidata!$AI$4:$AK$4</definedName>
    <definedName name="Labour_charges_12">[207]ppraodata!$AM$4+[207]splmidata!$AI$4:$AK$4</definedName>
    <definedName name="Labour_charges_14" localSheetId="0">[206]ppraodata!$AM$4+[206]splmidata!$AI$4:$AK$4</definedName>
    <definedName name="Labour_charges_14">[207]ppraodata!$AM$4+[207]splmidata!$AI$4:$AK$4</definedName>
    <definedName name="Labour_charges_15" localSheetId="0">[206]ppraodata!$AM$4+[206]splmidata!$AI$4:$AK$4</definedName>
    <definedName name="Labour_charges_15">[207]ppraodata!$AM$4+[207]splmidata!$AI$4:$AK$4</definedName>
    <definedName name="Labour_charges_16" localSheetId="0">[206]ppraodata!$AM$4+[206]splmidata!$AI$4:$AK$4</definedName>
    <definedName name="Labour_charges_16">[207]ppraodata!$AM$4+[207]splmidata!$AI$4:$AK$4</definedName>
    <definedName name="Labour_charges_19" localSheetId="0">[208]ppraodata!$AM$4+[208]splmidata!$AI$4:$AK$4</definedName>
    <definedName name="Labour_charges_19">[209]ppraodata!$AM$4+[209]splmidata!$AI$4:$AK$4</definedName>
    <definedName name="Labour_charges_2" localSheetId="0">[206]ppraodata!$AM$4+[206]splmidata!$AI$4:$AK$4</definedName>
    <definedName name="Labour_charges_2">[207]ppraodata!$AM$4+[207]splmidata!$AI$4:$AK$4</definedName>
    <definedName name="Labour_charges_20" localSheetId="0">[208]ppraodata!$AM$4+[208]splmidata!$AI$4:$AK$4</definedName>
    <definedName name="Labour_charges_20">[209]ppraodata!$AM$4+[209]splmidata!$AI$4:$AK$4</definedName>
    <definedName name="Labour_charges_21" localSheetId="0">[208]ppraodata!$AM$4+[208]splmidata!$AI$4:$AK$4</definedName>
    <definedName name="Labour_charges_21">[209]ppraodata!$AM$4+[209]splmidata!$AI$4:$AK$4</definedName>
    <definedName name="Labour_charges_8" localSheetId="0">[210]ppraodata!$AM$4+[210]splmidata!$AI$4:$AK$4</definedName>
    <definedName name="Labour_charges_8">[211]ppraodata!$AM$4+[211]splmidata!$AI$4:$AK$4</definedName>
    <definedName name="Labour_charges_for_laying_filter_with_sand." localSheetId="2">#REF!</definedName>
    <definedName name="Labour_charges_for_laying_filter_with_sand." localSheetId="1">#REF!</definedName>
    <definedName name="Labour_charges_for_laying_filter_with_sand." localSheetId="4">#REF!</definedName>
    <definedName name="Labour_charges_for_laying_filter_with_sand." localSheetId="6">#REF!</definedName>
    <definedName name="Labour_charges_for_laying_filter_with_sand." localSheetId="5">#REF!</definedName>
    <definedName name="Labour_charges_for_laying_filter_with_sand." localSheetId="7">#REF!</definedName>
    <definedName name="Labour_charges_for_laying_filter_with_sand.">#REF!</definedName>
    <definedName name="Labour_charges_for_laying_filters_with_coarse_aggregate." localSheetId="5">#REF!</definedName>
    <definedName name="Labour_charges_for_laying_filters_with_coarse_aggregate." localSheetId="7">#REF!</definedName>
    <definedName name="Labour_charges_for_laying_filters_with_coarse_aggregate.">#REF!</definedName>
    <definedName name="Labour_for_mixing_cement_mortar" localSheetId="5">#REF!</definedName>
    <definedName name="Labour_for_mixing_cement_mortar" localSheetId="7">#REF!</definedName>
    <definedName name="Labour_for_mixing_cement_mortar">#REF!</definedName>
    <definedName name="lakebodyevop" localSheetId="0">#REF!</definedName>
    <definedName name="lakebodyevop" localSheetId="5">#REF!</definedName>
    <definedName name="lakebodyevop" localSheetId="7">#REF!</definedName>
    <definedName name="lakebodyevop">#REF!</definedName>
    <definedName name="lane">#REF!</definedName>
    <definedName name="lapron">'[129]Ch_9_ 1.00mt Drop'!$H$42</definedName>
    <definedName name="lapron1">'[51]Ch13.00 1Mt Drop'!$H$42</definedName>
    <definedName name="lapron2">'[51]15_Design_1.0M_Drop'!$H$42</definedName>
    <definedName name="Last_Row">#N/A</definedName>
    <definedName name="Last_Row_35">#N/A</definedName>
    <definedName name="Lastcao">#REF!</definedName>
    <definedName name="Lastcap" localSheetId="2">'[212]12.Regime_Table'!#REF!</definedName>
    <definedName name="Lastcap" localSheetId="0">#REF!</definedName>
    <definedName name="Lastcap" localSheetId="1">'[212]12.Regime_Table'!#REF!</definedName>
    <definedName name="Lastcap" localSheetId="4">'[212]12.Regime_Table'!#REF!</definedName>
    <definedName name="Lastcap" localSheetId="6">'[212]12.Regime_Table'!#REF!</definedName>
    <definedName name="Lastcap" localSheetId="5">'[212]12.Regime_Table'!#REF!</definedName>
    <definedName name="Lastcap" localSheetId="7">'[212]12.Regime_Table'!#REF!</definedName>
    <definedName name="Lastcap">'[212]12.Regime_Table'!#REF!</definedName>
    <definedName name="Laterite_40_to_75_mm___ring" localSheetId="2">#REF!</definedName>
    <definedName name="Laterite_40_to_75_mm___ring" localSheetId="1">#REF!</definedName>
    <definedName name="Laterite_40_to_75_mm___ring" localSheetId="4">#REF!</definedName>
    <definedName name="Laterite_40_to_75_mm___ring" localSheetId="6">#REF!</definedName>
    <definedName name="Laterite_40_to_75_mm___ring" localSheetId="5">#REF!</definedName>
    <definedName name="Laterite_40_to_75_mm___ring" localSheetId="7">#REF!</definedName>
    <definedName name="Laterite_40_to_75_mm___ring">#REF!</definedName>
    <definedName name="Laterite_for_masonry" localSheetId="5">#REF!</definedName>
    <definedName name="Laterite_for_masonry" localSheetId="7">#REF!</definedName>
    <definedName name="Laterite_for_masonry">#REF!</definedName>
    <definedName name="Laterite_for_revetment__225_mm" localSheetId="5">#REF!</definedName>
    <definedName name="Laterite_for_revetment__225_mm" localSheetId="7">#REF!</definedName>
    <definedName name="Laterite_for_revetment__225_mm">#REF!</definedName>
    <definedName name="Laterite_for_revetment__300_mm" localSheetId="5">#REF!</definedName>
    <definedName name="Laterite_for_revetment__300_mm" localSheetId="7">#REF!</definedName>
    <definedName name="Laterite_for_revetment__300_mm">#REF!</definedName>
    <definedName name="LATEST" hidden="1">{"'Sheet1'!$A$4386:$N$4591"}</definedName>
    <definedName name="LBM" localSheetId="2">[128]Abs!#REF!</definedName>
    <definedName name="LBM" localSheetId="0">[128]Abs!#REF!</definedName>
    <definedName name="LBM" localSheetId="1">[128]Abs!#REF!</definedName>
    <definedName name="LBM" localSheetId="4">[128]Abs!#REF!</definedName>
    <definedName name="LBM" localSheetId="6">[128]Abs!#REF!</definedName>
    <definedName name="LBM" localSheetId="5">[128]Abs!#REF!</definedName>
    <definedName name="LBM">[128]Abs!#REF!</definedName>
    <definedName name="LBW" localSheetId="2">#REF!</definedName>
    <definedName name="LBW" localSheetId="1">#REF!</definedName>
    <definedName name="LBW" localSheetId="4">#REF!</definedName>
    <definedName name="LBW" localSheetId="6">#REF!</definedName>
    <definedName name="LBW" localSheetId="5">#REF!</definedName>
    <definedName name="LBW" localSheetId="7">#REF!</definedName>
    <definedName name="LBW">#REF!</definedName>
    <definedName name="LC">[188]Analy!#REF!</definedName>
    <definedName name="LCE" localSheetId="2">'[170]MRoad data'!#REF!</definedName>
    <definedName name="LCE" localSheetId="0">'[169]MRoad data'!#REF!</definedName>
    <definedName name="LCE" localSheetId="1">'[170]MRoad data'!#REF!</definedName>
    <definedName name="LCE" localSheetId="4">'[43]MRoad data'!#REF!</definedName>
    <definedName name="LCE" localSheetId="6">'[170]MRoad data'!#REF!</definedName>
    <definedName name="LCE" localSheetId="5">'[170]MRoad data'!#REF!</definedName>
    <definedName name="LCE">'[170]MRoad data'!#REF!</definedName>
    <definedName name="ldw">'[129]Ch_9_ 1.00mt Drop'!$F$25</definedName>
    <definedName name="lead" localSheetId="0">#REF!</definedName>
    <definedName name="lead">[213]splmidata!$G$6:$J$110</definedName>
    <definedName name="LEAD_1" localSheetId="2">#REF!</definedName>
    <definedName name="LEAD_1" localSheetId="1">#REF!</definedName>
    <definedName name="LEAD_1" localSheetId="4">#REF!</definedName>
    <definedName name="LEAD_1" localSheetId="6">#REF!</definedName>
    <definedName name="LEAD_1" localSheetId="5">#REF!</definedName>
    <definedName name="LEAD_1" localSheetId="7">#REF!</definedName>
    <definedName name="LEAD_1">#REF!</definedName>
    <definedName name="LEAD_2" localSheetId="2">#REF!</definedName>
    <definedName name="LEAD_2" localSheetId="1">#REF!</definedName>
    <definedName name="LEAD_2" localSheetId="4">#REF!</definedName>
    <definedName name="LEAD_2" localSheetId="6">#REF!</definedName>
    <definedName name="LEAD_2" localSheetId="5">#REF!</definedName>
    <definedName name="LEAD_2" localSheetId="7">#REF!</definedName>
    <definedName name="LEAD_2">#REF!</definedName>
    <definedName name="LEAD_3" localSheetId="2">#REF!</definedName>
    <definedName name="LEAD_3" localSheetId="1">#REF!</definedName>
    <definedName name="LEAD_3" localSheetId="4">#REF!</definedName>
    <definedName name="LEAD_3" localSheetId="6">#REF!</definedName>
    <definedName name="LEAD_3" localSheetId="5">#REF!</definedName>
    <definedName name="LEAD_3" localSheetId="7">#REF!</definedName>
    <definedName name="LEAD_3">#REF!</definedName>
    <definedName name="lead_8">[213]splmidata!$G$6:$J$110</definedName>
    <definedName name="lead_9">[213]splmidata!$G$6:$J$110</definedName>
    <definedName name="Lead_gravel">[102]Lead!$E$6</definedName>
    <definedName name="lead_list" localSheetId="2">#REF!</definedName>
    <definedName name="lead_list" localSheetId="1">#REF!</definedName>
    <definedName name="lead_list" localSheetId="4">#REF!</definedName>
    <definedName name="lead_list" localSheetId="6">#REF!</definedName>
    <definedName name="lead_list" localSheetId="5">#REF!</definedName>
    <definedName name="lead_list" localSheetId="7">#REF!</definedName>
    <definedName name="lead_list">#REF!</definedName>
    <definedName name="Lead_metal_mc">[102]Lead!$E$14</definedName>
    <definedName name="Lead_Metal_ss">[102]Lead!$E$22</definedName>
    <definedName name="lead_MIDDLE" localSheetId="2">#REF!</definedName>
    <definedName name="lead_MIDDLE" localSheetId="0">#REF!</definedName>
    <definedName name="lead_MIDDLE" localSheetId="1">#REF!</definedName>
    <definedName name="lead_MIDDLE" localSheetId="4">#REF!</definedName>
    <definedName name="lead_MIDDLE" localSheetId="6">#REF!</definedName>
    <definedName name="lead_MIDDLE" localSheetId="5">#REF!</definedName>
    <definedName name="lead_MIDDLE" localSheetId="7">#REF!</definedName>
    <definedName name="lead_MIDDLE">#REF!</definedName>
    <definedName name="lead_prin" localSheetId="2">#REF!</definedName>
    <definedName name="lead_prin" localSheetId="1">#REF!</definedName>
    <definedName name="lead_prin" localSheetId="4">#REF!</definedName>
    <definedName name="lead_prin" localSheetId="6">#REF!</definedName>
    <definedName name="lead_prin" localSheetId="5">#REF!</definedName>
    <definedName name="lead_prin" localSheetId="7">#REF!</definedName>
    <definedName name="lead_prin">#REF!</definedName>
    <definedName name="Lead_sand_filling">[102]Lead!$E$8</definedName>
    <definedName name="Lead_sand_mortor">[102]Lead!$E$21</definedName>
    <definedName name="Lead_stone">[102]Lead!$E$9</definedName>
    <definedName name="LEAD_Y1" localSheetId="2">#REF!</definedName>
    <definedName name="LEAD_Y1" localSheetId="0">#REF!</definedName>
    <definedName name="LEAD_Y1" localSheetId="1">#REF!</definedName>
    <definedName name="LEAD_Y1" localSheetId="4">#REF!</definedName>
    <definedName name="LEAD_Y1" localSheetId="6">#REF!</definedName>
    <definedName name="LEAD_Y1" localSheetId="5">#REF!</definedName>
    <definedName name="LEAD_Y1" localSheetId="7">#REF!</definedName>
    <definedName name="LEAD_Y1">#REF!</definedName>
    <definedName name="LEAD_Y2" localSheetId="2">#REF!</definedName>
    <definedName name="LEAD_Y2" localSheetId="0">#REF!</definedName>
    <definedName name="LEAD_Y2" localSheetId="1">#REF!</definedName>
    <definedName name="LEAD_Y2" localSheetId="4">#REF!</definedName>
    <definedName name="LEAD_Y2" localSheetId="6">#REF!</definedName>
    <definedName name="LEAD_Y2" localSheetId="5">#REF!</definedName>
    <definedName name="LEAD_Y2" localSheetId="7">#REF!</definedName>
    <definedName name="LEAD_Y2">#REF!</definedName>
    <definedName name="lead2" localSheetId="2">[214]Bund!#REF!</definedName>
    <definedName name="lead2" localSheetId="1">[214]Bund!#REF!</definedName>
    <definedName name="lead2" localSheetId="4">[214]Bund!#REF!</definedName>
    <definedName name="lead2" localSheetId="6">[214]Bund!#REF!</definedName>
    <definedName name="lead2" localSheetId="5">[214]Bund!#REF!</definedName>
    <definedName name="lead2" localSheetId="7">[214]Bund!#REF!</definedName>
    <definedName name="lead2">[214]Bund!#REF!</definedName>
    <definedName name="lead3" localSheetId="2">#REF!</definedName>
    <definedName name="lead3" localSheetId="1">#REF!</definedName>
    <definedName name="lead3" localSheetId="4">#REF!</definedName>
    <definedName name="lead3" localSheetId="6">#REF!</definedName>
    <definedName name="lead3" localSheetId="5">#REF!</definedName>
    <definedName name="lead3" localSheetId="7">#REF!</definedName>
    <definedName name="lead3">#REF!</definedName>
    <definedName name="leaddd" localSheetId="2">'[113]Aug,02'!#REF!</definedName>
    <definedName name="leaddd" localSheetId="1">'[113]Aug,02'!#REF!</definedName>
    <definedName name="leaddd" localSheetId="4">'[113]Aug,02'!#REF!</definedName>
    <definedName name="leaddd" localSheetId="6">'[113]Aug,02'!#REF!</definedName>
    <definedName name="leaddd" localSheetId="5">'[113]Aug,02'!#REF!</definedName>
    <definedName name="leaddd" localSheetId="7">'[113]Aug,02'!#REF!</definedName>
    <definedName name="leaddd">'[113]Aug,02'!#REF!</definedName>
    <definedName name="leadppr" localSheetId="0">[126]ssr200809!$G$7:$J$111</definedName>
    <definedName name="leadppr">'[215]SSR07-08'!$G$7:$J$111</definedName>
    <definedName name="leadprin" localSheetId="2">#REF!</definedName>
    <definedName name="leadprin" localSheetId="0">#REF!</definedName>
    <definedName name="leadprin" localSheetId="1">#REF!</definedName>
    <definedName name="leadprin" localSheetId="4">#REF!</definedName>
    <definedName name="leadprin" localSheetId="6">#REF!</definedName>
    <definedName name="leadprin" localSheetId="5">#REF!</definedName>
    <definedName name="leadprin" localSheetId="7">#REF!</definedName>
    <definedName name="leadprin">#REF!</definedName>
    <definedName name="Leads" localSheetId="2">#REF!</definedName>
    <definedName name="Leads" localSheetId="4">#REF!</definedName>
    <definedName name="Leads" localSheetId="3">#REF!</definedName>
    <definedName name="Leads" localSheetId="6">#REF!</definedName>
    <definedName name="Leads" localSheetId="5">#REF!</definedName>
    <definedName name="Leads" localSheetId="7">#REF!</definedName>
    <definedName name="Leads">#REF!</definedName>
    <definedName name="leads1" localSheetId="0">[216]leads!$A$3:$F$53</definedName>
    <definedName name="leads1">[217]leads!$A$3:$F$53</definedName>
    <definedName name="leads11" localSheetId="0">[22]leads!$A$3:$E$107</definedName>
    <definedName name="leads11">[16]leads!$A$3:$E$107</definedName>
    <definedName name="led">#REF!</definedName>
    <definedName name="li">[218]Data!$G$7</definedName>
    <definedName name="LI_LI" localSheetId="2">[66]General!#REF!</definedName>
    <definedName name="LI_LI" localSheetId="1">[66]General!#REF!</definedName>
    <definedName name="LI_LI" localSheetId="4">[66]General!#REF!</definedName>
    <definedName name="LI_LI" localSheetId="6">[66]General!#REF!</definedName>
    <definedName name="LI_LI" localSheetId="5">[66]General!#REF!</definedName>
    <definedName name="LI_LI" localSheetId="7">[66]General!#REF!</definedName>
    <definedName name="LI_LI">[66]General!#REF!</definedName>
    <definedName name="lift_charges">'[123]data existing_do not delete'!$E$20:$E$22</definedName>
    <definedName name="lift_range">'[123]data existing_do not delete'!$A$57:$A$70</definedName>
    <definedName name="lifting_heights">'[123]data existing_do not delete'!$A$43:$A$54</definedName>
    <definedName name="lila" localSheetId="2">#REF!</definedName>
    <definedName name="lila" localSheetId="1">#REF!</definedName>
    <definedName name="lila" localSheetId="4">#REF!</definedName>
    <definedName name="lila" localSheetId="6">#REF!</definedName>
    <definedName name="lila" localSheetId="5">#REF!</definedName>
    <definedName name="lila" localSheetId="7">#REF!</definedName>
    <definedName name="lila">#REF!</definedName>
    <definedName name="liladis" localSheetId="2">#REF!</definedName>
    <definedName name="liladis" localSheetId="1">#REF!</definedName>
    <definedName name="liladis" localSheetId="4">#REF!</definedName>
    <definedName name="liladis" localSheetId="6">#REF!</definedName>
    <definedName name="liladis" localSheetId="5">#REF!</definedName>
    <definedName name="liladis" localSheetId="7">#REF!</definedName>
    <definedName name="liladis">#REF!</definedName>
    <definedName name="limcount" hidden="1">1</definedName>
    <definedName name="lkjhgfdsa" localSheetId="2">'[219]Aug,02'!#REF!</definedName>
    <definedName name="lkjhgfdsa" localSheetId="1">'[219]Aug,02'!#REF!</definedName>
    <definedName name="lkjhgfdsa" localSheetId="4">'[219]Aug,02'!#REF!</definedName>
    <definedName name="lkjhgfdsa" localSheetId="6">'[219]Aug,02'!#REF!</definedName>
    <definedName name="lkjhgfdsa" localSheetId="5">'[219]Aug,02'!#REF!</definedName>
    <definedName name="lkjhgfdsa" localSheetId="7">'[219]Aug,02'!#REF!</definedName>
    <definedName name="lkjhgfdsa">'[219]Aug,02'!#REF!</definedName>
    <definedName name="LL" localSheetId="2">[133]GEN_abstrct!#REF!</definedName>
    <definedName name="LL" localSheetId="1">[133]GEN_abstrct!#REF!</definedName>
    <definedName name="LL" localSheetId="4">[133]GEN_abstrct!#REF!</definedName>
    <definedName name="LL" localSheetId="6">[133]GEN_abstrct!#REF!</definedName>
    <definedName name="LL" localSheetId="5">[133]GEN_abstrct!#REF!</definedName>
    <definedName name="LL" localSheetId="7">[133]GEN_abstrct!#REF!</definedName>
    <definedName name="LL">[133]GEN_abstrct!#REF!</definedName>
    <definedName name="LLC" hidden="1">{"PLANNING",#N/A,FALSE,"A"}</definedName>
    <definedName name="Loader_of_1_Cu.M." localSheetId="2">#REF!</definedName>
    <definedName name="Loader_of_1_Cu.M." localSheetId="1">#REF!</definedName>
    <definedName name="Loader_of_1_Cu.M." localSheetId="4">#REF!</definedName>
    <definedName name="Loader_of_1_Cu.M." localSheetId="6">#REF!</definedName>
    <definedName name="Loader_of_1_Cu.M." localSheetId="5">#REF!</definedName>
    <definedName name="Loader_of_1_Cu.M." localSheetId="7">#REF!</definedName>
    <definedName name="Loader_of_1_Cu.M.">#REF!</definedName>
    <definedName name="loadmetal" localSheetId="0">[126]ssr200809!$J$113</definedName>
    <definedName name="loadmetal">[127]ssr200809!$J$113</definedName>
    <definedName name="loadsand" localSheetId="0">[126]ssr200809!$I$113</definedName>
    <definedName name="loadsand">[127]ssr200809!$I$113</definedName>
    <definedName name="Loamy_and_Clayey_soils_like_black_cotton_soils__red_earth_and_ordinary_gravel_SS_20_A." localSheetId="2">#REF!</definedName>
    <definedName name="Loamy_and_Clayey_soils_like_black_cotton_soils__red_earth_and_ordinary_gravel_SS_20_A." localSheetId="1">#REF!</definedName>
    <definedName name="Loamy_and_Clayey_soils_like_black_cotton_soils__red_earth_and_ordinary_gravel_SS_20_A." localSheetId="4">#REF!</definedName>
    <definedName name="Loamy_and_Clayey_soils_like_black_cotton_soils__red_earth_and_ordinary_gravel_SS_20_A." localSheetId="6">#REF!</definedName>
    <definedName name="Loamy_and_Clayey_soils_like_black_cotton_soils__red_earth_and_ordinary_gravel_SS_20_A." localSheetId="5">#REF!</definedName>
    <definedName name="Loamy_and_Clayey_soils_like_black_cotton_soils__red_earth_and_ordinary_gravel_SS_20_A." localSheetId="7">#REF!</definedName>
    <definedName name="Loamy_and_Clayey_soils_like_black_cotton_soils__red_earth_and_ordinary_gravel_SS_20_A.">#REF!</definedName>
    <definedName name="Loan_Amount">#REF!</definedName>
    <definedName name="Loan_Start">#REF!</definedName>
    <definedName name="Loan_Years">#REF!</definedName>
    <definedName name="Location">#N/A</definedName>
    <definedName name="locationb">#N/A</definedName>
    <definedName name="ls" localSheetId="5">#REF!</definedName>
    <definedName name="ls" localSheetId="7">#REF!</definedName>
    <definedName name="ls">#REF!</definedName>
    <definedName name="LS_ROAD" localSheetId="2">'[220]abs road'!#REF!</definedName>
    <definedName name="LS_ROAD" localSheetId="0">'[221]abs road'!#REF!</definedName>
    <definedName name="LS_ROAD" localSheetId="1">'[220]abs road'!#REF!</definedName>
    <definedName name="LS_ROAD" localSheetId="4">'[220]abs road'!#REF!</definedName>
    <definedName name="LS_ROAD" localSheetId="6">'[220]abs road'!#REF!</definedName>
    <definedName name="LS_ROAD" localSheetId="5">'[220]abs road'!#REF!</definedName>
    <definedName name="LS_ROAD" localSheetId="7">'[220]abs road'!#REF!</definedName>
    <definedName name="LS_ROAD">'[220]abs road'!#REF!</definedName>
    <definedName name="LSNO1">[222]Lead!$N$7</definedName>
    <definedName name="LSNO10">[223]Lead!$P$14</definedName>
    <definedName name="LSNO24">[222]Lead!$N$26</definedName>
    <definedName name="LSNO26">[222]Lead!$N$28</definedName>
    <definedName name="LSNO3">[222]Lead!$N$9</definedName>
    <definedName name="LSNO4">[223]Lead!$P$8</definedName>
    <definedName name="LSOFEEDER" localSheetId="2">'[224]Aug,02'!#REF!</definedName>
    <definedName name="LSOFEEDER" localSheetId="1">'[224]Aug,02'!#REF!</definedName>
    <definedName name="LSOFEEDER" localSheetId="4">'[224]Aug,02'!#REF!</definedName>
    <definedName name="LSOFEEDER" localSheetId="6">'[224]Aug,02'!#REF!</definedName>
    <definedName name="LSOFEEDER" localSheetId="5">'[224]Aug,02'!#REF!</definedName>
    <definedName name="LSOFEEDER" localSheetId="7">'[224]Aug,02'!#REF!</definedName>
    <definedName name="LSOFEEDER">'[224]Aug,02'!#REF!</definedName>
    <definedName name="lxg" localSheetId="2">#REF!</definedName>
    <definedName name="lxg" localSheetId="1">#REF!</definedName>
    <definedName name="lxg" localSheetId="4">#REF!</definedName>
    <definedName name="lxg" localSheetId="6">#REF!</definedName>
    <definedName name="lxg" localSheetId="5">#REF!</definedName>
    <definedName name="lxg" localSheetId="7">#REF!</definedName>
    <definedName name="lxg">#REF!</definedName>
    <definedName name="m">#REF!</definedName>
    <definedName name="M_ACPipe_100" localSheetId="0">[199]Material!$D$3</definedName>
    <definedName name="M_ACPipe_100">[197]Material!$D$3</definedName>
    <definedName name="M_Aggregate_10" localSheetId="0">[196]Material!$D$17</definedName>
    <definedName name="M_Aggregate_10">[197]Material!$D$17</definedName>
    <definedName name="M_Aggregate_20" localSheetId="0">[196]Material!$D$18</definedName>
    <definedName name="M_Aggregate_20">[197]Material!$D$18</definedName>
    <definedName name="M_Aggregate_224_236m_WMM" localSheetId="0">[200]Material!$D$26</definedName>
    <definedName name="M_Aggregate_224_236m_WMM">[197]Material!$D$26</definedName>
    <definedName name="M_Aggregate_375mmMaximum_224_56mm" localSheetId="0">[196]Material!$D$4</definedName>
    <definedName name="M_Aggregate_375mmMaximum_224_56mm">[197]Material!$D$4</definedName>
    <definedName name="M_Aggregate_375mmMaximum_45_225mm" localSheetId="0">[200]Material!$D$5</definedName>
    <definedName name="M_Aggregate_375mmMaximum_45_225mm">[197]Material!$D$5</definedName>
    <definedName name="M_Aggregate_375mmMaximum_Below_56mm" localSheetId="0">[200]Material!$D$6</definedName>
    <definedName name="M_Aggregate_375mmMaximum_Below_56mm">[197]Material!$D$6</definedName>
    <definedName name="M_Aggregate_40" localSheetId="0">[196]Material!$D$19</definedName>
    <definedName name="M_Aggregate_40">[197]Material!$D$19</definedName>
    <definedName name="M_Aggregate_45_224m_WMM" localSheetId="0">[200]Material!$D$27</definedName>
    <definedName name="M_Aggregate_45_224m_WMM">[197]Material!$D$27</definedName>
    <definedName name="M_Aggregate_53mmMaximum_225_56mm" localSheetId="0">[200]Material!$D$7</definedName>
    <definedName name="M_Aggregate_53mmMaximum_225_56mm">[197]Material!$D$7</definedName>
    <definedName name="M_Aggregate_53mmMaximum_63_45mm" localSheetId="0">[200]Material!$D$8</definedName>
    <definedName name="M_Aggregate_53mmMaximum_63_45mm">[197]Material!$D$8</definedName>
    <definedName name="M_Aggregate_53mmMaximum_below_56mm" localSheetId="0">[200]Material!$D$9</definedName>
    <definedName name="M_Aggregate_53mmMaximum_below_56mm">[197]Material!$D$9</definedName>
    <definedName name="M_Aggregate_Crushable_GradeI" localSheetId="0">[200]Material!$D$20</definedName>
    <definedName name="M_Aggregate_Crushable_GradeI">[197]Material!$D$20</definedName>
    <definedName name="M_Aggregate_Crushable_GradeII" localSheetId="0">[200]Material!$D$21</definedName>
    <definedName name="M_Aggregate_Crushable_GradeII">[197]Material!$D$21</definedName>
    <definedName name="M_Aggregate_Crushable_GradeIII" localSheetId="0">[200]Material!$D$22</definedName>
    <definedName name="M_Aggregate_Crushable_GradeIII">[197]Material!$D$22</definedName>
    <definedName name="M_Aggregate_GradeI_40mmNominal_10_5mm" localSheetId="0">[200]Material!$D$10</definedName>
    <definedName name="M_Aggregate_GradeI_40mmNominal_10_5mm">[197]Material!$D$10</definedName>
    <definedName name="M_Aggregate_GradeI_40mmNominal_25_10mm" localSheetId="0">[200]Material!$D$11</definedName>
    <definedName name="M_Aggregate_GradeI_40mmNominal_25_10mm">[197]Material!$D$11</definedName>
    <definedName name="M_Aggregate_GradeI_40mmNominal_3725_25mm" localSheetId="0">[200]Material!$D$12</definedName>
    <definedName name="M_Aggregate_GradeI_40mmNominal_3725_25mm">[197]Material!$D$12</definedName>
    <definedName name="M_Aggregate_GradeI_40mmNominal_5mm" localSheetId="0">[200]Material!$D$13</definedName>
    <definedName name="M_Aggregate_GradeI_40mmNominal_5mm">[197]Material!$D$13</definedName>
    <definedName name="M_Aggregate_GradeI_90_45mm" localSheetId="0">[200]Material!$D$23</definedName>
    <definedName name="M_Aggregate_GradeI_90_45mm">[197]Material!$D$23</definedName>
    <definedName name="M_Aggregate_GradeII_19mmNominal_10_5mm" localSheetId="0">[225]Material!$D$14</definedName>
    <definedName name="M_Aggregate_GradeII_19mmNominal_10_5mm">[197]Material!$D$14</definedName>
    <definedName name="M_Aggregate_GradeII_19mmNominal_25_10mm" localSheetId="0">[225]Material!$D$15</definedName>
    <definedName name="M_Aggregate_GradeII_19mmNominal_25_10mm">[197]Material!$D$15</definedName>
    <definedName name="M_Aggregate_GradeII_19mmNominal_5mm_below" localSheetId="0">[225]Material!$D$16</definedName>
    <definedName name="M_Aggregate_GradeII_19mmNominal_5mm_below">[197]Material!$D$16</definedName>
    <definedName name="M_Aggregate_GradeII_63_45mm" localSheetId="0">[200]Material!$D$24</definedName>
    <definedName name="M_Aggregate_GradeII_63_45mm">[197]Material!$D$24</definedName>
    <definedName name="M_Aggregate_GradeIII_53_224mm" localSheetId="0">[200]Material!$D$25</definedName>
    <definedName name="M_Aggregate_GradeIII_53_224mm">[197]Material!$D$25</definedName>
    <definedName name="M_Aggregates_53_22.4mm_at_Site">[226]Material!$E$37</definedName>
    <definedName name="M_Aggregates_63_45mm_at_Site">[226]Material!$E$40</definedName>
    <definedName name="M_Aggregates_90_45mm_at_Site">[226]Material!$E$41</definedName>
    <definedName name="M_AluminiumSheeting_15mm" localSheetId="0">[200]Material!$D$28</definedName>
    <definedName name="M_AluminiumSheeting_15mm">[197]Material!$D$28</definedName>
    <definedName name="M_AluminiumStuds_100_100_Lense" localSheetId="0">[200]Material!$D$29</definedName>
    <definedName name="M_AluminiumStuds_100_100_Lense">[197]Material!$D$29</definedName>
    <definedName name="M_Bamboo_1stClass_85_100mm_25m_long" localSheetId="0">[200]Material!$D$31</definedName>
    <definedName name="M_Bamboo_1stClass_85_100mm_25m_long">[197]Material!$D$31</definedName>
    <definedName name="M_Bamboo_1stClass_85_100mm_2m_long" localSheetId="0">[200]Material!$D$30</definedName>
    <definedName name="M_Bamboo_1stClass_85_100mm_2m_long">[197]Material!$D$30</definedName>
    <definedName name="M_Bamboo_1stClass_85_100mm_3m_long" localSheetId="0">[200]Material!$D$32</definedName>
    <definedName name="M_Bamboo_1stClass_85_100mm_3m_long">[197]Material!$D$32</definedName>
    <definedName name="M_Bamboo_1stClass_85_100mm_45_55m_long" localSheetId="0">[200]Material!$D$33</definedName>
    <definedName name="M_Bamboo_1stClass_85_100mm_45_55m_long">[197]Material!$D$33</definedName>
    <definedName name="M_Bamboo_2ndClass_75mm_18_25m_long" localSheetId="0">[200]Material!$D$34</definedName>
    <definedName name="M_Bamboo_2ndClass_75mm_18_25m_long">[197]Material!$D$34</definedName>
    <definedName name="M_Bamboo_2ndClass_75mm_21_30m_long" localSheetId="0">[200]Material!$D$35</definedName>
    <definedName name="M_Bamboo_2ndClass_75mm_21_30m_long">[197]Material!$D$35</definedName>
    <definedName name="M_BarbedWire" localSheetId="0">[200]Material!$D$36</definedName>
    <definedName name="M_BarbedWire">[197]Material!$D$36</definedName>
    <definedName name="M_BindingMaterial" localSheetId="0">[200]Material!$D$37</definedName>
    <definedName name="M_BindingMaterial">[197]Material!$D$37</definedName>
    <definedName name="M_BindingWire" localSheetId="0">[199]Material!$D$38</definedName>
    <definedName name="M_BindingWire">[197]Material!$D$38</definedName>
    <definedName name="M_Bitumen_CRM" localSheetId="0">[225]Material!$D$39</definedName>
    <definedName name="M_Bitumen_CRM">[197]Material!$D$39</definedName>
    <definedName name="M_Bitumen_NRM" localSheetId="0">[225]Material!$D$40</definedName>
    <definedName name="M_Bitumen_NRM">[197]Material!$D$40</definedName>
    <definedName name="M_Bitumen_PM" localSheetId="0">[225]Material!$D$41</definedName>
    <definedName name="M_Bitumen_PM">[197]Material!$D$41</definedName>
    <definedName name="M_Bitumen_S65" localSheetId="0">[198]Material!$D$42</definedName>
    <definedName name="M_Bitumen_S65">[197]Material!$D$42</definedName>
    <definedName name="M_Bitumen_S90" localSheetId="0">[198]Material!$D$43</definedName>
    <definedName name="M_Bitumen_S90">[197]Material!$D$43</definedName>
    <definedName name="M_BitumenEmulsion_RS1" localSheetId="0">[225]Material!$D$44</definedName>
    <definedName name="M_BitumenEmulsion_RS1">[197]Material!$D$44</definedName>
    <definedName name="M_BitumenEmulsion_SS1" localSheetId="0">[196]Material!$D$45</definedName>
    <definedName name="M_BitumenEmulsion_SS1">[197]Material!$D$45</definedName>
    <definedName name="M_BitumenSealant" localSheetId="0">[196]Material!$D$46</definedName>
    <definedName name="M_BitumenSealant">[197]Material!$D$46</definedName>
    <definedName name="M_Blasted_Rubble" localSheetId="0">[199]Material!$D$47</definedName>
    <definedName name="M_Blasted_Rubble">[197]Material!$D$47</definedName>
    <definedName name="M_BlastingMaterial" localSheetId="0">[199]Material!$D$48</definedName>
    <definedName name="M_BlastingMaterial">[197]Material!$D$48</definedName>
    <definedName name="M_BondStone_400_150_150mm" localSheetId="0">[199]Material!$D$49</definedName>
    <definedName name="M_BondStone_400_150_150mm">[197]Material!$D$49</definedName>
    <definedName name="M_Brick_1stClass" localSheetId="0">[199]Material!$D$50</definedName>
    <definedName name="M_Brick_1stClass">[197]Material!$D$50</definedName>
    <definedName name="M_Cement" localSheetId="0">[196]Material!$D$51</definedName>
    <definedName name="M_Cement">[197]Material!$D$51</definedName>
    <definedName name="M_CementPrimer" localSheetId="0">[200]Material!$D$52</definedName>
    <definedName name="M_CementPrimer">[197]Material!$D$52</definedName>
    <definedName name="M_ChlorpreneElastomer_OR_ClosedCellFoamSealingElement" localSheetId="0">[201]Material!$D$53</definedName>
    <definedName name="M_ChlorpreneElastomer_OR_ClosedCellFoamSealingElement">[202]Material!$D$53</definedName>
    <definedName name="M_CompensationForEarthTakenFromPrivateLand" localSheetId="0">[198]Material!$D$54</definedName>
    <definedName name="M_CompensationForEarthTakenFromPrivateLand">[197]Material!$D$54</definedName>
    <definedName name="M_CompressibleFibreBoard" localSheetId="0">[201]Material!$D$55</definedName>
    <definedName name="M_CompressibleFibreBoard">[202]Material!$D$55</definedName>
    <definedName name="M_CopperPlate" localSheetId="0">[201]Material!$D$56</definedName>
    <definedName name="M_CopperPlate">[202]Material!$D$56</definedName>
    <definedName name="M_CorrosionResistantStructuralSteelGrating" localSheetId="0">[201]Material!$D$58</definedName>
    <definedName name="M_CorrosionResistantStructuralSteelGrating">[202]Material!$D$58</definedName>
    <definedName name="M_CreditForExcavatedRock" localSheetId="0">[200]Material!$D$59</definedName>
    <definedName name="M_CreditForExcavatedRock">[197]Material!$D$59</definedName>
    <definedName name="M_CrushedSand_OR_Grit" localSheetId="0">[225]Material!$D$61</definedName>
    <definedName name="M_CrushedSand_OR_Grit">[197]Material!$D$61</definedName>
    <definedName name="M_CrushedSlag" localSheetId="0">[200]Material!$D$62</definedName>
    <definedName name="M_CrushedSlag">[197]Material!$D$62</definedName>
    <definedName name="M_CrushedStoneAggregate_265_75" localSheetId="0">[200]Material!$D$63</definedName>
    <definedName name="M_CrushedStoneAggregate_265_75">[197]Material!$D$63</definedName>
    <definedName name="M_CrushedStoneChipping_132" localSheetId="0">[225]Material!$D$64</definedName>
    <definedName name="M_CrushedStoneChipping_132">[197]Material!$D$64</definedName>
    <definedName name="M_CrushedStoneChipping_67mm_100Passing_112mm" localSheetId="0">[225]Material!$D$65</definedName>
    <definedName name="M_CrushedStoneChipping_67mm_100Passing_112mm">[197]Material!$D$65</definedName>
    <definedName name="M_CrushedStoneChipping_67mm_100Passing_95mm" localSheetId="0">[225]Material!$D$66</definedName>
    <definedName name="M_CrushedStoneChipping_67mm_100Passing_95mm">[197]Material!$D$66</definedName>
    <definedName name="M_CrushedStoneChipping_95" localSheetId="0">[225]Material!$D$67</definedName>
    <definedName name="M_CrushedStoneChipping_95">[197]Material!$D$67</definedName>
    <definedName name="M_CrushedStoneCoarseAggregatePassing_53mm" localSheetId="0">[198]Material!$D$68</definedName>
    <definedName name="M_CrushedStoneCoarseAggregatePassing_53mm">[197]Material!$D$68</definedName>
    <definedName name="M_CuringCompound" localSheetId="0">[196]Material!$D$69</definedName>
    <definedName name="M_CuringCompound">[197]Material!$D$69</definedName>
    <definedName name="M_DebondingStrips" localSheetId="0">[196]Material!$D$70</definedName>
    <definedName name="M_DebondingStrips">[197]Material!$D$70</definedName>
    <definedName name="M_EdgeStone_450_350_200mm" localSheetId="0">[200]Material!$D$72</definedName>
    <definedName name="M_EdgeStone_450_350_200mm">[197]Material!$D$72</definedName>
    <definedName name="M_ElastomericBearingAssembly" localSheetId="0">[199]Material!$D$73</definedName>
    <definedName name="M_ElastomericBearingAssembly">[197]Material!$D$73</definedName>
    <definedName name="M_ElectricDetonator" localSheetId="0">[199]Material!$D$74</definedName>
    <definedName name="M_ElectricDetonator">[197]Material!$D$74</definedName>
    <definedName name="M_EpoxyPaint" localSheetId="0">[200]Material!$D$75</definedName>
    <definedName name="M_EpoxyPaint">[197]Material!$D$75</definedName>
    <definedName name="M_FarmyardManure" localSheetId="0">[200]Material!$D$77</definedName>
    <definedName name="M_FarmyardManure">[197]Material!$D$77</definedName>
    <definedName name="M_FevicolAdhesive" localSheetId="0">[200]Material!$D$78</definedName>
    <definedName name="M_FevicolAdhesive">[197]Material!$D$78</definedName>
    <definedName name="M_FilterMedia" localSheetId="0">[199]Material!$D$79</definedName>
    <definedName name="M_FilterMedia">[197]Material!$D$79</definedName>
    <definedName name="M_filterMediam">[162]Material!$D$79</definedName>
    <definedName name="M_FineAggregate_CrushedSand" localSheetId="0">[200]Material!$D$80</definedName>
    <definedName name="M_FineAggregate_CrushedSand">[197]Material!$D$80</definedName>
    <definedName name="M_GalvanisedAngle" localSheetId="0">[201]Material!$D$81</definedName>
    <definedName name="M_GalvanisedAngle">[202]Material!$D$81</definedName>
    <definedName name="M_Gelatine_80" localSheetId="0">[200]Material!$D$83</definedName>
    <definedName name="M_Gelatine_80">[197]Material!$D$83</definedName>
    <definedName name="M_GIPipe_100mm" localSheetId="0">[201]Material!$D$84</definedName>
    <definedName name="M_GIPipe_100mm">[202]Material!$D$84</definedName>
    <definedName name="M_GIPipe_50mm" localSheetId="0">[200]Material!$D$85</definedName>
    <definedName name="M_GIPipe_50mm">[197]Material!$D$85</definedName>
    <definedName name="M_GIWires" localSheetId="0">[200]Material!$D$86</definedName>
    <definedName name="M_GIWires">[197]Material!$D$86</definedName>
    <definedName name="M_GradedStoneAggregate" localSheetId="0">[200]Material!$D$87</definedName>
    <definedName name="M_GradedStoneAggregate">[197]Material!$D$87</definedName>
    <definedName name="M_GranularMaterial" localSheetId="0">[199]Material!$D$88</definedName>
    <definedName name="M_GranularMaterial">[197]Material!$D$88</definedName>
    <definedName name="M_HandBrokenMetal_40mm" localSheetId="0">[225]Material!$D$89</definedName>
    <definedName name="M_HandBrokenMetal_40mm">[197]Material!$D$89</definedName>
    <definedName name="M_Indigo" localSheetId="0">[200]Material!$D$90</definedName>
    <definedName name="M_Indigo">[197]Material!$D$90</definedName>
    <definedName name="M_InterlockingBlocks_60mm" localSheetId="0">[225]Material!$D$91</definedName>
    <definedName name="M_InterlockingBlocks_60mm">[197]Material!$D$91</definedName>
    <definedName name="M_InterlockingBlocks_80mm" localSheetId="0">[225]Material!$D$92</definedName>
    <definedName name="M_InterlockingBlocks_80mm">[197]Material!$D$92</definedName>
    <definedName name="M_JointFillerBoard" localSheetId="0">[196]Material!$D$93</definedName>
    <definedName name="M_JointFillerBoard">[197]Material!$D$93</definedName>
    <definedName name="M_JuteNetting_OpenWeave_25mm" localSheetId="0">[200]Material!$D$94</definedName>
    <definedName name="M_JuteNetting_OpenWeave_25mm">[197]Material!$D$94</definedName>
    <definedName name="M_JuteRope_12mm" localSheetId="0">[196]Material!$D$95</definedName>
    <definedName name="M_JuteRope_12mm">[197]Material!$D$95</definedName>
    <definedName name="M_KeyAggregatesPassing_224mm" localSheetId="0">[198]Material!$D$96</definedName>
    <definedName name="M_KeyAggregatesPassing_224mm">[197]Material!$D$96</definedName>
    <definedName name="M_L">[227]Rates!$D$3</definedName>
    <definedName name="M_Lime" localSheetId="0">[199]Material!$D$97</definedName>
    <definedName name="M_Lime">[197]Material!$D$97</definedName>
    <definedName name="M_LocalWoodPiles_1stClass" localSheetId="0">[200]Material!$D$99</definedName>
    <definedName name="M_LocalWoodPiles_1stClass">[197]Material!$D$99</definedName>
    <definedName name="M_LocalWoodPiles_1stClass_100_75mm" localSheetId="0">[200]Material!$D$100</definedName>
    <definedName name="M_LocalWoodPiles_1stClass_100_75mm">[197]Material!$D$100</definedName>
    <definedName name="M_MS_Sheet_15mm" localSheetId="0">[200]Material!$D$105</definedName>
    <definedName name="M_MS_Sheet_15mm">[197]Material!$D$105</definedName>
    <definedName name="M_MS_Sheet_2mm" localSheetId="0">[200]Material!$D$106</definedName>
    <definedName name="M_MS_Sheet_2mm">[197]Material!$D$106</definedName>
    <definedName name="M_MSClamps" localSheetId="0">[199]Material!$D$102</definedName>
    <definedName name="M_MSClamps">[197]Material!$D$102</definedName>
    <definedName name="M_MSFlat_StructuralSteel" localSheetId="0">[200]Material!$D$103</definedName>
    <definedName name="M_MSFlat_StructuralSteel">[197]Material!$D$103</definedName>
    <definedName name="M_MSSheetTube_47_47mm_12_SWG" localSheetId="0">[200]Material!$D$104</definedName>
    <definedName name="M_MSSheetTube_47_47mm_12_SWG">[197]Material!$D$104</definedName>
    <definedName name="M_Nuts_Bolts_Rivets" localSheetId="0">[200]Material!$D$107</definedName>
    <definedName name="M_Nuts_Bolts_Rivets">[197]Material!$D$107</definedName>
    <definedName name="M_Paint_SyntheticEnamel" localSheetId="0">[200]Material!$D$108</definedName>
    <definedName name="M_Paint_SyntheticEnamel">[197]Material!$D$108</definedName>
    <definedName name="M_Plasticizer" localSheetId="0">[196]Material!$D$109</definedName>
    <definedName name="M_Plasticizer">[197]Material!$D$109</definedName>
    <definedName name="M_PolytheneSheet_125" localSheetId="0">[196]Material!$D$110</definedName>
    <definedName name="M_PolytheneSheet_125">[197]Material!$D$110</definedName>
    <definedName name="M_PolytheneSheething" localSheetId="0">[196]Material!$D$111</definedName>
    <definedName name="M_PolytheneSheething">[197]Material!$D$111</definedName>
    <definedName name="M_RCCPipeNP3_1000mm" localSheetId="0">[196]Material!$D$114</definedName>
    <definedName name="M_RCCPipeNP3_1000mm">[197]Material!$D$114</definedName>
    <definedName name="M_RCCPipeNP3_1200mm" localSheetId="0">[196]Material!$D$113</definedName>
    <definedName name="M_RCCPipeNP3_1200mm">[197]Material!$D$113</definedName>
    <definedName name="M_RCCPipeNP3_500mm" localSheetId="0">[196]Material!$D$117</definedName>
    <definedName name="M_RCCPipeNP3_500mm">[197]Material!$D$117</definedName>
    <definedName name="M_RCCPipeNP3_750mm" localSheetId="0">[196]Material!$D$115</definedName>
    <definedName name="M_RCCPipeNP3_750mm">[197]Material!$D$115</definedName>
    <definedName name="M_RCCPipeNP4_1000mm" localSheetId="0">[196]Material!$D$119</definedName>
    <definedName name="M_RCCPipeNP4_1000mm">[197]Material!$D$119</definedName>
    <definedName name="M_RCCPipeNP4_1200mm" localSheetId="0">[196]Material!$D$118</definedName>
    <definedName name="M_RCCPipeNP4_1200mm">[197]Material!$D$118</definedName>
    <definedName name="M_RCCPipeNP4_500mm" localSheetId="0">[196]Material!$D$122</definedName>
    <definedName name="M_RCCPipeNP4_500mm">[197]Material!$D$122</definedName>
    <definedName name="M_RCCPipeNP4_750mm" localSheetId="0">[196]Material!$D$120</definedName>
    <definedName name="M_RCCPipeNP4_750mm">[197]Material!$D$120</definedName>
    <definedName name="M_RedOxidePrimer" localSheetId="0">[200]Material!$D$123</definedName>
    <definedName name="M_RedOxidePrimer">[197]Material!$D$123</definedName>
    <definedName name="M_RoadMarkingPaint" localSheetId="0">[200]Material!$D$124</definedName>
    <definedName name="M_RoadMarkingPaint">[197]Material!$D$124</definedName>
    <definedName name="M_Sand_Coarse" localSheetId="0">[196]Material!$D$125</definedName>
    <definedName name="M_Sand_Coarse">[197]Material!$D$125</definedName>
    <definedName name="M_Sand_Fine" localSheetId="0">[196]Material!$D$126</definedName>
    <definedName name="M_Sand_Fine">[197]Material!$D$126</definedName>
    <definedName name="M_Seeds" localSheetId="0">[200]Material!$D$127</definedName>
    <definedName name="M_Seeds">[197]Material!$D$127</definedName>
    <definedName name="M_SteelPipe_500mm" localSheetId="0">[201]Material!$D$128</definedName>
    <definedName name="M_SteelPipe_500mm">[202]Material!$D$128</definedName>
    <definedName name="M_SteelReinforcement_HYSDBars" localSheetId="0">[199]Material!$D$129</definedName>
    <definedName name="M_SteelReinforcement_HYSDBars">[197]Material!$D$129</definedName>
    <definedName name="M_SteelReinforcement_MSRoundBars" localSheetId="0">[196]Material!$D$130</definedName>
    <definedName name="M_SteelReinforcement_MSRoundBars">[197]Material!$D$130</definedName>
    <definedName name="M_SteelReinforcement_TMTBars" localSheetId="0">[199]Material!$D$131</definedName>
    <definedName name="M_SteelReinforcement_TMTBars">[197]Material!$D$131</definedName>
    <definedName name="M_StoneBoulder_150mm_below" localSheetId="0">[198]Material!$D$132</definedName>
    <definedName name="M_StoneBoulder_150mm_below">[197]Material!$D$132</definedName>
    <definedName name="M_StoneChips_12mm" localSheetId="0">[225]Material!$D$133</definedName>
    <definedName name="M_StoneChips_12mm">[197]Material!$D$133</definedName>
    <definedName name="M_StoneCrushedAggregate_112_009mm" localSheetId="0">[225]Material!$D$135</definedName>
    <definedName name="M_StoneCrushedAggregate_112_009mm">[197]Material!$D$135</definedName>
    <definedName name="M_StoneForCoarseRubbleMasonry_1stSort" localSheetId="0">[199]Material!$D$136</definedName>
    <definedName name="M_StoneForCoarseRubbleMasonry_1stSort">[197]Material!$D$136</definedName>
    <definedName name="M_StoneForCoarseRubbleMasonry_2ndSort" localSheetId="0">[199]Material!$D$137</definedName>
    <definedName name="M_StoneForCoarseRubbleMasonry_2ndSort">[197]Material!$D$137</definedName>
    <definedName name="M_StoneForRandomRubbleMasonry" localSheetId="0">[199]Material!$D$138</definedName>
    <definedName name="M_StoneForRandomRubbleMasonry">[197]Material!$D$138</definedName>
    <definedName name="M_StoneForStoneSetPavement" localSheetId="0">[200]Material!$D$139</definedName>
    <definedName name="M_StoneForStoneSetPavement">[197]Material!$D$139</definedName>
    <definedName name="M_StoneScreening_TypeA_132mm_Grade1" localSheetId="0">[200]Material!$D$140</definedName>
    <definedName name="M_StoneScreening_TypeA_132mm_Grade1">[197]Material!$D$140</definedName>
    <definedName name="M_StoneScreening_TypeB_112mm_Grade2" localSheetId="0">[200]Material!$D$142</definedName>
    <definedName name="M_StoneScreening_TypeB_112mm_Grade2">[197]Material!$D$142</definedName>
    <definedName name="M_StoneScreening_TypeB_112mm_Grade3" localSheetId="0">[200]Material!$D$143</definedName>
    <definedName name="M_StoneScreening_TypeB_112mm_Grade3">[197]Material!$D$143</definedName>
    <definedName name="M_StoneSpalls" localSheetId="0">[198]Material!$D$144</definedName>
    <definedName name="M_StoneSpalls">[197]Material!$D$144</definedName>
    <definedName name="M_TrafficCones" localSheetId="0">[200]Material!$D$145</definedName>
    <definedName name="M_TrafficCones">[197]Material!$D$145</definedName>
    <definedName name="M_UL">[227]Rates!$D$4</definedName>
    <definedName name="M_W_Mazdoor" localSheetId="2">#REF!</definedName>
    <definedName name="M_W_Mazdoor" localSheetId="1">#REF!</definedName>
    <definedName name="M_W_Mazdoor" localSheetId="4">#REF!</definedName>
    <definedName name="M_W_Mazdoor" localSheetId="6">#REF!</definedName>
    <definedName name="M_W_Mazdoor" localSheetId="5">#REF!</definedName>
    <definedName name="M_W_Mazdoor" localSheetId="7">#REF!</definedName>
    <definedName name="M_W_Mazdoor">#REF!</definedName>
    <definedName name="M_Water" localSheetId="0">[203]Material!$D$146</definedName>
    <definedName name="M_Water">[197]Material!$D$146</definedName>
    <definedName name="M_WellGradedGranularBaseMaterial_GradeA_236mm" localSheetId="0">[203]Material!$D$147</definedName>
    <definedName name="M_WellGradedGranularBaseMaterial_GradeA_236mm">[197]Material!$D$147</definedName>
    <definedName name="M_WellGradedGranularBaseMaterial_GradeA_265_475mm" localSheetId="0">[203]Material!$D$148</definedName>
    <definedName name="M_WellGradedGranularBaseMaterial_GradeA_265_475mm">[197]Material!$D$148</definedName>
    <definedName name="M_WellGradedGranularBaseMaterial_GradeA_53_265mm" localSheetId="0">[203]Material!$D$149</definedName>
    <definedName name="M_WellGradedGranularBaseMaterial_GradeA_53_265mm">[197]Material!$D$149</definedName>
    <definedName name="M_WellGradedGranularBaseMaterial_GradeB_236mm_below" localSheetId="0">[200]Material!$D$150</definedName>
    <definedName name="M_WellGradedGranularBaseMaterial_GradeB_236mm_below">[197]Material!$D$150</definedName>
    <definedName name="M_WellGradedGranularBaseMaterial_GradeB_265_475mm" localSheetId="0">[200]Material!$D$151</definedName>
    <definedName name="M_WellGradedGranularBaseMaterial_GradeB_265_475mm">[197]Material!$D$151</definedName>
    <definedName name="M_WellGradedGranularBaseMaterial_GradeC_236mm_below" localSheetId="0">[200]Material!$D$152</definedName>
    <definedName name="M_WellGradedGranularBaseMaterial_GradeC_236mm_below">[197]Material!$D$152</definedName>
    <definedName name="M_WellGradedGranularBaseMaterial_GradeC_95_475mm" localSheetId="0">[200]Material!$D$153</definedName>
    <definedName name="M_WellGradedGranularBaseMaterial_GradeC_95_475mm">[197]Material!$D$153</definedName>
    <definedName name="M_WellGradedMateralForSubbase_GradeI_236mm_below" localSheetId="0">[200]Material!$D$154</definedName>
    <definedName name="M_WellGradedMateralForSubbase_GradeI_236mm_below">[197]Material!$D$154</definedName>
    <definedName name="M_WellGradedMateralForSubbase_GradeI_53_95mm" localSheetId="0">[200]Material!$D$155</definedName>
    <definedName name="M_WellGradedMateralForSubbase_GradeI_53_95mm">[197]Material!$D$155</definedName>
    <definedName name="M_WellGradedMateralForSubbase_GradeI_95_236mm" localSheetId="0">[200]Material!$D$156</definedName>
    <definedName name="M_WellGradedMateralForSubbase_GradeI_95_236mm">[197]Material!$D$156</definedName>
    <definedName name="M_WellGradedMateralForSubbase_GradeII_236mm_below" localSheetId="0">[200]Material!$D$157</definedName>
    <definedName name="M_WellGradedMateralForSubbase_GradeII_236mm_below">[197]Material!$D$157</definedName>
    <definedName name="M_WellGradedMateralForSubbase_GradeII_265_95mm" localSheetId="0">[200]Material!$D$158</definedName>
    <definedName name="M_WellGradedMateralForSubbase_GradeII_265_95mm">[197]Material!$D$158</definedName>
    <definedName name="M_WellGradedMateralForSubbase_GradeII_95_236mm" localSheetId="0">[200]Material!$D$159</definedName>
    <definedName name="M_WellGradedMateralForSubbase_GradeII_95_236mm">[197]Material!$D$159</definedName>
    <definedName name="M_WellGradedMateralForSubbase_GradeIII_236mm_below" localSheetId="0">[200]Material!$D$160</definedName>
    <definedName name="M_WellGradedMateralForSubbase_GradeIII_236mm_below">[197]Material!$D$160</definedName>
    <definedName name="M_WellGradedMateralForSubbase_GradeIII_475_236mm" localSheetId="0">[200]Material!$D$161</definedName>
    <definedName name="M_WellGradedMateralForSubbase_GradeIII_475_236mm">[197]Material!$D$161</definedName>
    <definedName name="M_WellGradedMateralForSubbase_GradeIII_95_475mm" localSheetId="0">[200]Material!$D$162</definedName>
    <definedName name="M_WellGradedMateralForSubbase_GradeIII_95_475mm">[197]Material!$D$162</definedName>
    <definedName name="mab" localSheetId="2">#REF!</definedName>
    <definedName name="mab" localSheetId="1">#REF!</definedName>
    <definedName name="mab" localSheetId="4">#REF!</definedName>
    <definedName name="mab" localSheetId="6">#REF!</definedName>
    <definedName name="mab" localSheetId="5">#REF!</definedName>
    <definedName name="mab" localSheetId="7">#REF!</definedName>
    <definedName name="mab">#REF!</definedName>
    <definedName name="machine_mixing_of_concrete." localSheetId="2">#REF!</definedName>
    <definedName name="machine_mixing_of_concrete." localSheetId="1">#REF!</definedName>
    <definedName name="machine_mixing_of_concrete." localSheetId="4">#REF!</definedName>
    <definedName name="machine_mixing_of_concrete." localSheetId="6">#REF!</definedName>
    <definedName name="machine_mixing_of_concrete." localSheetId="5">#REF!</definedName>
    <definedName name="machine_mixing_of_concrete." localSheetId="7">#REF!</definedName>
    <definedName name="machine_mixing_of_concrete.">#REF!</definedName>
    <definedName name="Main" localSheetId="2">'[108]Aug,02'!#REF!</definedName>
    <definedName name="Main" localSheetId="1">'[108]Aug,02'!#REF!</definedName>
    <definedName name="Main" localSheetId="4">'[108]Aug,02'!#REF!</definedName>
    <definedName name="Main" localSheetId="6">'[108]Aug,02'!#REF!</definedName>
    <definedName name="Main" localSheetId="5">'[108]Aug,02'!#REF!</definedName>
    <definedName name="Main" localSheetId="7">'[108]Aug,02'!#REF!</definedName>
    <definedName name="Main">'[108]Aug,02'!#REF!</definedName>
    <definedName name="MAN" localSheetId="0">[166]m!$B$149</definedName>
    <definedName name="MAN">[167]m!$B$149</definedName>
    <definedName name="Mani" localSheetId="0">#REF!</definedName>
    <definedName name="Mani" localSheetId="7">#REF!</definedName>
    <definedName name="Mani">#REF!</definedName>
    <definedName name="MANOJ">#REF!</definedName>
    <definedName name="MASON" localSheetId="2">'[170]MRoad data'!#REF!</definedName>
    <definedName name="MASON" localSheetId="0">'[169]MRoad data'!#REF!</definedName>
    <definedName name="MASON" localSheetId="1">'[170]MRoad data'!#REF!</definedName>
    <definedName name="MASON" localSheetId="4">'[43]MRoad data'!#REF!</definedName>
    <definedName name="MASON" localSheetId="6">'[170]MRoad data'!#REF!</definedName>
    <definedName name="MASON" localSheetId="5">'[170]MRoad data'!#REF!</definedName>
    <definedName name="MASON">'[170]MRoad data'!#REF!</definedName>
    <definedName name="Mason_1st_class" localSheetId="2">#REF!</definedName>
    <definedName name="Mason_1st_class" localSheetId="1">#REF!</definedName>
    <definedName name="Mason_1st_class" localSheetId="4">#REF!</definedName>
    <definedName name="Mason_1st_class" localSheetId="6">#REF!</definedName>
    <definedName name="Mason_1st_class" localSheetId="5">#REF!</definedName>
    <definedName name="Mason_1st_class" localSheetId="7">#REF!</definedName>
    <definedName name="Mason_1st_class">#REF!</definedName>
    <definedName name="Mason_2nd_class" localSheetId="5">#REF!</definedName>
    <definedName name="Mason_2nd_class" localSheetId="7">#REF!</definedName>
    <definedName name="Mason_2nd_class">#REF!</definedName>
    <definedName name="Mastic_Cooker" localSheetId="5">#REF!</definedName>
    <definedName name="Mastic_Cooker" localSheetId="7">#REF!</definedName>
    <definedName name="Mastic_Cooker">#REF!</definedName>
    <definedName name="MASTICPAD" localSheetId="0">[228]MRATES!$I$23</definedName>
    <definedName name="MASTICPAD" localSheetId="4">[229]MRATES!$I$23</definedName>
    <definedName name="MASTICPAD">[230]MRATES!$I$23</definedName>
    <definedName name="Mate" localSheetId="2">'[84]MRoad data'!#REF!</definedName>
    <definedName name="Mate" localSheetId="1">'[84]MRoad data'!#REF!</definedName>
    <definedName name="Mate" localSheetId="4">'[84]MRoad data'!#REF!</definedName>
    <definedName name="Mate" localSheetId="6">'[84]MRoad data'!#REF!</definedName>
    <definedName name="Mate" localSheetId="5">'[84]MRoad data'!#REF!</definedName>
    <definedName name="Mate" localSheetId="7">'[84]MRoad data'!#REF!</definedName>
    <definedName name="Mate">'[84]MRoad data'!#REF!</definedName>
    <definedName name="material1" localSheetId="2">[231]ssr200809!#REF!</definedName>
    <definedName name="material1" localSheetId="0">[232]ssr200809!#REF!</definedName>
    <definedName name="material1" localSheetId="1">[231]ssr200809!#REF!</definedName>
    <definedName name="material1" localSheetId="4">[231]ssr200809!#REF!</definedName>
    <definedName name="material1" localSheetId="6">[231]ssr200809!#REF!</definedName>
    <definedName name="material1" localSheetId="5">[231]ssr200809!#REF!</definedName>
    <definedName name="material1" localSheetId="7">[231]ssr200809!#REF!</definedName>
    <definedName name="material1">[231]ssr200809!#REF!</definedName>
    <definedName name="material2" localSheetId="0">[232]ssr200809!#REF!</definedName>
    <definedName name="material2" localSheetId="5">[231]ssr200809!#REF!</definedName>
    <definedName name="material2">[231]ssr200809!#REF!</definedName>
    <definedName name="Materials">#N/A</definedName>
    <definedName name="MAZDOOR" localSheetId="0">'[169]MRoad data'!#REF!</definedName>
    <definedName name="MAZDOOR" localSheetId="4">'[43]MRoad data'!#REF!</definedName>
    <definedName name="MAZDOOR" localSheetId="5">'[170]MRoad data'!#REF!</definedName>
    <definedName name="MAZDOOR">'[170]MRoad data'!#REF!</definedName>
    <definedName name="mba" localSheetId="2">#REF!</definedName>
    <definedName name="mba" localSheetId="1">#REF!</definedName>
    <definedName name="mba" localSheetId="4">#REF!</definedName>
    <definedName name="mba" localSheetId="6">#REF!</definedName>
    <definedName name="mba" localSheetId="5">#REF!</definedName>
    <definedName name="mba" localSheetId="7">#REF!</definedName>
    <definedName name="mba">#REF!</definedName>
    <definedName name="MEL">[115]DATA!$F$87</definedName>
    <definedName name="Metal" localSheetId="2">#REF!</definedName>
    <definedName name="Metal" localSheetId="1">#REF!</definedName>
    <definedName name="Metal" localSheetId="4">#REF!</definedName>
    <definedName name="Metal" localSheetId="6">#REF!</definedName>
    <definedName name="Metal" localSheetId="5">#REF!</definedName>
    <definedName name="Metal" localSheetId="7">#REF!</definedName>
    <definedName name="Metal">#REF!</definedName>
    <definedName name="Metal__stone" localSheetId="5">#REF!</definedName>
    <definedName name="Metal__stone" localSheetId="7">#REF!</definedName>
    <definedName name="Metal__stone">#REF!</definedName>
    <definedName name="METAL_D" localSheetId="0">[52]MRATES!$K$30</definedName>
    <definedName name="METAL_D" localSheetId="4">[233]MRATES!$K$30</definedName>
    <definedName name="METAL_D">[53]MRATES!$K$30</definedName>
    <definedName name="metal_size">'[123]data existing_do not delete'!$B$73:$B$75</definedName>
    <definedName name="metal1" localSheetId="2">#REF!</definedName>
    <definedName name="metal1" localSheetId="1">#REF!</definedName>
    <definedName name="metal1" localSheetId="4">#REF!</definedName>
    <definedName name="metal1" localSheetId="6">#REF!</definedName>
    <definedName name="metal1" localSheetId="5">#REF!</definedName>
    <definedName name="metal1" localSheetId="7">#REF!</definedName>
    <definedName name="metal1">#REF!</definedName>
    <definedName name="metal11" localSheetId="5">#REF!</definedName>
    <definedName name="metal11" localSheetId="7">#REF!</definedName>
    <definedName name="metal11">#REF!</definedName>
    <definedName name="metal3" localSheetId="0">#REF!</definedName>
    <definedName name="metal3" localSheetId="5">#REF!</definedName>
    <definedName name="metal3" localSheetId="7">#REF!</definedName>
    <definedName name="metal3">#REF!</definedName>
    <definedName name="mew">#REF!</definedName>
    <definedName name="MFD" localSheetId="0">[234]Note!$E$63</definedName>
    <definedName name="MFD" localSheetId="4">#REF!</definedName>
    <definedName name="MFD">[235]Note!$E$63</definedName>
    <definedName name="Mfifteen">#REF!</definedName>
    <definedName name="MFL" localSheetId="2">#REF!</definedName>
    <definedName name="MFL" localSheetId="1">#REF!</definedName>
    <definedName name="MFL" localSheetId="4">#REF!</definedName>
    <definedName name="MFL" localSheetId="6">#REF!</definedName>
    <definedName name="MFL" localSheetId="5">#REF!</definedName>
    <definedName name="MFL" localSheetId="7">#REF!</definedName>
    <definedName name="MFL">#REF!</definedName>
    <definedName name="mfl0.00">#REF!</definedName>
    <definedName name="MFLDrp" localSheetId="2">#REF!</definedName>
    <definedName name="MFLDrp" localSheetId="1">#REF!</definedName>
    <definedName name="MFLDrp" localSheetId="4">#REF!</definedName>
    <definedName name="MFLDrp" localSheetId="6">#REF!</definedName>
    <definedName name="MFLDrp" localSheetId="5">#REF!</definedName>
    <definedName name="MFLDrp" localSheetId="7">#REF!</definedName>
    <definedName name="MFLDrp">#REF!</definedName>
    <definedName name="MFLPEn" localSheetId="2">#REF!</definedName>
    <definedName name="MFLPEn" localSheetId="1">#REF!</definedName>
    <definedName name="MFLPEn" localSheetId="4">#REF!</definedName>
    <definedName name="MFLPEn" localSheetId="6">#REF!</definedName>
    <definedName name="MFLPEn" localSheetId="5">#REF!</definedName>
    <definedName name="MFLPEn" localSheetId="7">#REF!</definedName>
    <definedName name="MFLPEn">#REF!</definedName>
    <definedName name="mflus100">#REF!</definedName>
    <definedName name="MFNMM" localSheetId="5">#REF!</definedName>
    <definedName name="MFNMM" localSheetId="7">#REF!</definedName>
    <definedName name="MFNMM">#REF!</definedName>
    <definedName name="Mforty">#REF!</definedName>
    <definedName name="MHFH" localSheetId="5">#REF!</definedName>
    <definedName name="MHFH" localSheetId="7">#REF!</definedName>
    <definedName name="MHFH">#REF!</definedName>
    <definedName name="MI_06" localSheetId="0">[236]RMR!$K$16</definedName>
    <definedName name="MI_06">[237]RMR!$K$16</definedName>
    <definedName name="MI_10" localSheetId="0">[236]RMR!$K$15</definedName>
    <definedName name="MI_10">[237]RMR!$K$15</definedName>
    <definedName name="MI_12" localSheetId="0">[236]RMR!$K$14</definedName>
    <definedName name="MI_12">[237]RMR!$K$14</definedName>
    <definedName name="MI_20" localSheetId="0">[236]RMR!$K$13</definedName>
    <definedName name="MI_20">[237]RMR!$K$13</definedName>
    <definedName name="MI_236" localSheetId="0">[236]RMR!$K$17</definedName>
    <definedName name="MI_236">[237]RMR!$K$17</definedName>
    <definedName name="MI_25" localSheetId="0">[236]RMR!$K$12</definedName>
    <definedName name="MI_25">[237]RMR!$K$12</definedName>
    <definedName name="Mild_Steel__Structural_Steel__I.e.__Angles__Channels_and_I_sections." localSheetId="2">#REF!</definedName>
    <definedName name="Mild_Steel__Structural_Steel__I.e.__Angles__Channels_and_I_sections." localSheetId="1">#REF!</definedName>
    <definedName name="Mild_Steel__Structural_Steel__I.e.__Angles__Channels_and_I_sections." localSheetId="4">#REF!</definedName>
    <definedName name="Mild_Steel__Structural_Steel__I.e.__Angles__Channels_and_I_sections." localSheetId="6">#REF!</definedName>
    <definedName name="Mild_Steel__Structural_Steel__I.e.__Angles__Channels_and_I_sections." localSheetId="5">#REF!</definedName>
    <definedName name="Mild_Steel__Structural_Steel__I.e.__Angles__Channels_and_I_sections." localSheetId="7">#REF!</definedName>
    <definedName name="Mild_Steel__Structural_Steel__I.e.__Angles__Channels_and_I_sections.">#REF!</definedName>
    <definedName name="Mild_steel_flats" localSheetId="2">#REF!</definedName>
    <definedName name="Mild_steel_flats" localSheetId="1">#REF!</definedName>
    <definedName name="Mild_steel_flats" localSheetId="4">#REF!</definedName>
    <definedName name="Mild_steel_flats" localSheetId="6">#REF!</definedName>
    <definedName name="Mild_steel_flats" localSheetId="5">#REF!</definedName>
    <definedName name="Mild_steel_flats" localSheetId="7">#REF!</definedName>
    <definedName name="Mild_steel_flats">#REF!</definedName>
    <definedName name="Mild_steel_rods_6mm_dia." localSheetId="5">#REF!</definedName>
    <definedName name="Mild_steel_rods_6mm_dia." localSheetId="7">#REF!</definedName>
    <definedName name="Mild_steel_rods_6mm_dia.">#REF!</definedName>
    <definedName name="mini_spec">[238]Sheet3!$B$3:$B$108</definedName>
    <definedName name="mintw" localSheetId="0">#REF!</definedName>
    <definedName name="mintw">#REF!</definedName>
    <definedName name="MIX_SEAL_WBM" localSheetId="2">[128]Abs!#REF!</definedName>
    <definedName name="MIX_SEAL_WBM" localSheetId="0">[128]Abs!#REF!</definedName>
    <definedName name="MIX_SEAL_WBM" localSheetId="1">[128]Abs!#REF!</definedName>
    <definedName name="MIX_SEAL_WBM" localSheetId="4">[128]Abs!#REF!</definedName>
    <definedName name="MIX_SEAL_WBM" localSheetId="6">[128]Abs!#REF!</definedName>
    <definedName name="MIX_SEAL_WBM" localSheetId="5">[128]Abs!#REF!</definedName>
    <definedName name="MIX_SEAL_WBM" localSheetId="7">[128]Abs!#REF!</definedName>
    <definedName name="MIX_SEAL_WBM">[128]Abs!#REF!</definedName>
    <definedName name="Mixing_of_cement_mortar_by_machine" localSheetId="2">#REF!</definedName>
    <definedName name="Mixing_of_cement_mortar_by_machine" localSheetId="1">#REF!</definedName>
    <definedName name="Mixing_of_cement_mortar_by_machine" localSheetId="4">#REF!</definedName>
    <definedName name="Mixing_of_cement_mortar_by_machine" localSheetId="6">#REF!</definedName>
    <definedName name="Mixing_of_cement_mortar_by_machine" localSheetId="5">#REF!</definedName>
    <definedName name="Mixing_of_cement_mortar_by_machine" localSheetId="7">#REF!</definedName>
    <definedName name="Mixing_of_cement_mortar_by_machine">#REF!</definedName>
    <definedName name="Mixture_of_gravel_and_soft_disintegrated_rock_like_shales_ordinary_gravel__stoney_earth_and_earth_mixed_with_fair_sized_boulders________________SS_20_A" localSheetId="5">#REF!</definedName>
    <definedName name="Mixture_of_gravel_and_soft_disintegrated_rock_like_shales_ordinary_gravel__stoney_earth_and_earth_mixed_with_fair_sized_boulders________________SS_20_A" localSheetId="7">#REF!</definedName>
    <definedName name="Mixture_of_gravel_and_soft_disintegrated_rock_like_shales_ordinary_gravel__stoney_earth_and_earth_mixed_with_fair_sized_boulders________________SS_20_A">#REF!</definedName>
    <definedName name="MJKIUO">[171]Material!$D$70</definedName>
    <definedName name="MK" localSheetId="4" hidden="1">{"'ridftotal'!$A$4:$S$27"}</definedName>
    <definedName name="Mk" localSheetId="5">#REF!</definedName>
    <definedName name="Mk">#REF!</definedName>
    <definedName name="MLOAD" localSheetId="0">[52]MRATES!$X$11</definedName>
    <definedName name="MLOAD" localSheetId="4">[43]MRATES!$X$6</definedName>
    <definedName name="MLOAD">[53]MRATES!$X$11</definedName>
    <definedName name="mm" localSheetId="0">[125]r!$F$4</definedName>
    <definedName name="mm">[146]r!$F$4</definedName>
    <definedName name="mnmsector">[239]sectorwise!$A$1:$R$23</definedName>
    <definedName name="MNSNRF50PER" localSheetId="2">#REF!</definedName>
    <definedName name="MNSNRF50PER" localSheetId="0">#REF!</definedName>
    <definedName name="MNSNRF50PER" localSheetId="1">#REF!</definedName>
    <definedName name="MNSNRF50PER" localSheetId="4">#REF!</definedName>
    <definedName name="MNSNRF50PER" localSheetId="6">#REF!</definedName>
    <definedName name="MNSNRF50PER" localSheetId="5">#REF!</definedName>
    <definedName name="MNSNRF50PER" localSheetId="7">#REF!</definedName>
    <definedName name="MNSNRF50PER">#REF!</definedName>
    <definedName name="MNSNRF50PER_19" localSheetId="2">#REF!</definedName>
    <definedName name="MNSNRF50PER_19" localSheetId="1">#REF!</definedName>
    <definedName name="MNSNRF50PER_19" localSheetId="4">#REF!</definedName>
    <definedName name="MNSNRF50PER_19" localSheetId="6">#REF!</definedName>
    <definedName name="MNSNRF50PER_19" localSheetId="5">#REF!</definedName>
    <definedName name="MNSNRF50PER_19" localSheetId="7">#REF!</definedName>
    <definedName name="MNSNRF50PER_19">#REF!</definedName>
    <definedName name="MNSNRF50PER_20" localSheetId="5">#REF!</definedName>
    <definedName name="MNSNRF50PER_20" localSheetId="7">#REF!</definedName>
    <definedName name="MNSNRF50PER_20">#REF!</definedName>
    <definedName name="MNSNRF50PER_21" localSheetId="5">#REF!</definedName>
    <definedName name="MNSNRF50PER_21" localSheetId="7">#REF!</definedName>
    <definedName name="MNSNRF50PER_21">#REF!</definedName>
    <definedName name="MNSNRF75PER" localSheetId="5">#REF!</definedName>
    <definedName name="MNSNRF75PER" localSheetId="7">#REF!</definedName>
    <definedName name="MNSNRF75PER">#REF!</definedName>
    <definedName name="MNSNRF75PER_19" localSheetId="5">#REF!</definedName>
    <definedName name="MNSNRF75PER_19" localSheetId="7">#REF!</definedName>
    <definedName name="MNSNRF75PER_19">#REF!</definedName>
    <definedName name="MNSNRF75PER_20" localSheetId="5">#REF!</definedName>
    <definedName name="MNSNRF75PER_20" localSheetId="7">#REF!</definedName>
    <definedName name="MNSNRF75PER_20">#REF!</definedName>
    <definedName name="MNSNRF75PER_21" localSheetId="5">#REF!</definedName>
    <definedName name="MNSNRF75PER_21" localSheetId="7">#REF!</definedName>
    <definedName name="MNSNRF75PER_21">#REF!</definedName>
    <definedName name="MNSNTTLRF" localSheetId="5">#REF!</definedName>
    <definedName name="MNSNTTLRF" localSheetId="7">#REF!</definedName>
    <definedName name="MNSNTTLRF">#REF!</definedName>
    <definedName name="MNSNTTLRF_15" localSheetId="0">[90]rainfall!$I$48</definedName>
    <definedName name="MNSNTTLRF_15">[91]rainfall!$I$48</definedName>
    <definedName name="mone" localSheetId="0">[125]r!$F$2</definedName>
    <definedName name="mone">[146]r!$F$2</definedName>
    <definedName name="mone1">[8]r!$F$2</definedName>
    <definedName name="mortar_by_machine" localSheetId="2">#REF!</definedName>
    <definedName name="mortar_by_machine" localSheetId="1">#REF!</definedName>
    <definedName name="mortar_by_machine" localSheetId="4">#REF!</definedName>
    <definedName name="mortar_by_machine" localSheetId="6">#REF!</definedName>
    <definedName name="mortar_by_machine" localSheetId="5">#REF!</definedName>
    <definedName name="mortar_by_machine" localSheetId="7">#REF!</definedName>
    <definedName name="mortar_by_machine">#REF!</definedName>
    <definedName name="Mortar_Grader_BEML" localSheetId="5">#REF!</definedName>
    <definedName name="Mortar_Grader_BEML" localSheetId="7">#REF!</definedName>
    <definedName name="Mortar_Grader_BEML">#REF!</definedName>
    <definedName name="most">#REF!</definedName>
    <definedName name="MPLOT_PGR_CHP" localSheetId="5">#REF!</definedName>
    <definedName name="MPLOT_PGR_CHP" localSheetId="7">#REF!</definedName>
    <definedName name="MPLOT_PGR_CHP">#REF!</definedName>
    <definedName name="MS" localSheetId="0">[52]MRATES!$P$51</definedName>
    <definedName name="MS" localSheetId="4">[43]MRATES!$T$18</definedName>
    <definedName name="MS">[53]MRATES!$P$51</definedName>
    <definedName name="MS_tubes" localSheetId="2">#REF!</definedName>
    <definedName name="MS_tubes" localSheetId="1">#REF!</definedName>
    <definedName name="MS_tubes" localSheetId="4">#REF!</definedName>
    <definedName name="MS_tubes" localSheetId="6">#REF!</definedName>
    <definedName name="MS_tubes" localSheetId="5">#REF!</definedName>
    <definedName name="MS_tubes" localSheetId="7">#REF!</definedName>
    <definedName name="MS_tubes">#REF!</definedName>
    <definedName name="MSAND" localSheetId="0">[52]MRATES!$G$7</definedName>
    <definedName name="MSAND" localSheetId="4">[7]Sheet1!$I$7</definedName>
    <definedName name="MSAND">[53]MRATES!$G$7</definedName>
    <definedName name="MSTACK" localSheetId="0">[52]MRATES!$X$13</definedName>
    <definedName name="MSTACK" localSheetId="4">[43]MRATES!$X$8</definedName>
    <definedName name="MSTACK">[53]MRATES!$X$13</definedName>
    <definedName name="MTentyfive">#REF!</definedName>
    <definedName name="Mthirty">#REF!</definedName>
    <definedName name="MThirtyfive">#REF!</definedName>
    <definedName name="Mtwenty">#REF!</definedName>
    <definedName name="Mtwentyfive">#REF!</definedName>
    <definedName name="mtwo" localSheetId="0">[125]r!$F$3</definedName>
    <definedName name="mtwo">[146]r!$F$3</definedName>
    <definedName name="mtwo1">[8]r!$F$3</definedName>
    <definedName name="MUNLOAD" localSheetId="0">[52]MRATES!$X$12</definedName>
    <definedName name="MUNLOAD" localSheetId="4">[43]MRATES!$X$7</definedName>
    <definedName name="MUNLOAD">[53]MRATES!$X$12</definedName>
    <definedName name="Murali">#REF!</definedName>
    <definedName name="murty" localSheetId="2">#REF!</definedName>
    <definedName name="murty" localSheetId="1">#REF!</definedName>
    <definedName name="murty" localSheetId="4">#REF!</definedName>
    <definedName name="murty" localSheetId="6">#REF!</definedName>
    <definedName name="murty" localSheetId="5">#REF!</definedName>
    <definedName name="murty" localSheetId="7">#REF!</definedName>
    <definedName name="murty">#REF!</definedName>
    <definedName name="MWL" localSheetId="5">#REF!</definedName>
    <definedName name="MWL" localSheetId="7">#REF!</definedName>
    <definedName name="MWL">#REF!</definedName>
    <definedName name="mymax" localSheetId="0">[240]Levels!$P$5</definedName>
    <definedName name="mymax">[241]Levels!$P$5</definedName>
    <definedName name="mymin" localSheetId="0">[240]Levels!$O$5</definedName>
    <definedName name="mymin">[241]Levels!$O$5</definedName>
    <definedName name="n" localSheetId="2">#REF!</definedName>
    <definedName name="n" localSheetId="1">#REF!</definedName>
    <definedName name="n" localSheetId="4">#REF!</definedName>
    <definedName name="n" localSheetId="6">#REF!</definedName>
    <definedName name="n" localSheetId="5">#REF!</definedName>
    <definedName name="n" localSheetId="7">#REF!</definedName>
    <definedName name="n">#REF!</definedName>
    <definedName name="naga">[168]Labour!$D$22</definedName>
    <definedName name="nagara">[242]m!$M$3</definedName>
    <definedName name="nagaraj">[242]m!$M$3</definedName>
    <definedName name="name" localSheetId="0">[76]BTR!$D$4</definedName>
    <definedName name="name" localSheetId="4">[77]BTR!$D$4</definedName>
    <definedName name="name">[237]BTR!$D$4</definedName>
    <definedName name="Needle_Vibrator" localSheetId="2">#REF!</definedName>
    <definedName name="Needle_Vibrator" localSheetId="1">#REF!</definedName>
    <definedName name="Needle_Vibrator" localSheetId="4">#REF!</definedName>
    <definedName name="Needle_Vibrator" localSheetId="6">#REF!</definedName>
    <definedName name="Needle_Vibrator" localSheetId="5">#REF!</definedName>
    <definedName name="Needle_Vibrator" localSheetId="7">#REF!</definedName>
    <definedName name="Needle_Vibrator">#REF!</definedName>
    <definedName name="NEW" hidden="1">{"'Sheet1'!$A$4386:$N$4591"}</definedName>
    <definedName name="newdata" localSheetId="5">#REF!</definedName>
    <definedName name="newdata" localSheetId="7">#REF!</definedName>
    <definedName name="newdata">#REF!</definedName>
    <definedName name="NM" localSheetId="2" hidden="1">{"'ridftotal'!$A$4:$S$27"}</definedName>
    <definedName name="NM" localSheetId="1" hidden="1">{"'ridftotal'!$A$4:$S$27"}</definedName>
    <definedName name="NM" localSheetId="4" hidden="1">{"'ridftotal'!$A$4:$S$27"}</definedName>
    <definedName name="NM" localSheetId="6" hidden="1">{"'ridftotal'!$A$4:$S$27"}</definedName>
    <definedName name="NM" localSheetId="5" hidden="1">{"'ridftotal'!$A$4:$S$27"}</definedName>
    <definedName name="NM" localSheetId="7" hidden="1">{"'ridftotal'!$A$4:$S$27"}</definedName>
    <definedName name="NM" hidden="1">{"'ridftotal'!$A$4:$S$27"}</definedName>
    <definedName name="nmmm">#N/A</definedName>
    <definedName name="nn" localSheetId="2" hidden="1">{"'ridftotal'!$A$4:$S$27"}</definedName>
    <definedName name="nn" localSheetId="1" hidden="1">{"'ridftotal'!$A$4:$S$27"}</definedName>
    <definedName name="nn" localSheetId="4" hidden="1">{"'ridftotal'!$A$4:$S$27"}</definedName>
    <definedName name="nn" localSheetId="6" hidden="1">{"'ridftotal'!$A$4:$S$27"}</definedName>
    <definedName name="nn" localSheetId="5" hidden="1">{"'ridftotal'!$A$4:$S$27"}</definedName>
    <definedName name="nn" localSheetId="7" hidden="1">{"'ridftotal'!$A$4:$S$27"}</definedName>
    <definedName name="nn" hidden="1">{"'ridftotal'!$A$4:$S$27"}</definedName>
    <definedName name="nnn" localSheetId="2">#REF!</definedName>
    <definedName name="nnn" localSheetId="1">#REF!</definedName>
    <definedName name="nnn" localSheetId="4">#REF!</definedName>
    <definedName name="nnn" localSheetId="6">#REF!</definedName>
    <definedName name="nnn" localSheetId="5">#REF!</definedName>
    <definedName name="nnn" localSheetId="7">#REF!</definedName>
    <definedName name="nnn">#REF!</definedName>
    <definedName name="no" localSheetId="5">#REF!</definedName>
    <definedName name="no" localSheetId="7">#REF!</definedName>
    <definedName name="no">#REF!</definedName>
    <definedName name="No." localSheetId="5">#REF!</definedName>
    <definedName name="No." localSheetId="7">#REF!</definedName>
    <definedName name="No.">#REF!</definedName>
    <definedName name="NO_1000" localSheetId="0">[72]Abs_CD_2!$C$8</definedName>
    <definedName name="NO_1000">[73]Abs_CD_2!$C$8</definedName>
    <definedName name="NO_800" localSheetId="0">[72]Abs_CD_2!$C$7</definedName>
    <definedName name="NO_800">[73]Abs_CD_2!$C$7</definedName>
    <definedName name="NOTUSED">'[101]R99 etc'!$A$1:$L$142</definedName>
    <definedName name="NSSR111">[243]NonSSR!$C$120</definedName>
    <definedName name="Numbers">'[244]Aug,02'!$A$1:$B$100</definedName>
    <definedName name="nval" localSheetId="0">#REF!</definedName>
    <definedName name="nval">#REF!</definedName>
    <definedName name="NVN">[171]Material!$D$126</definedName>
    <definedName name="NvsASD">"V1999-07-15"</definedName>
    <definedName name="NvsAutoDrillOk">"VN"</definedName>
    <definedName name="NvsElapsedTime">0.000326736109855119</definedName>
    <definedName name="NvsEndTime">35992.179075463</definedName>
    <definedName name="NvsInstSpec">"%,FDEPTID,V1608"</definedName>
    <definedName name="NvsLayoutType">"M3"</definedName>
    <definedName name="NvsNplSpec">"%,X,RZF.ACCOUNT.,CZF.."</definedName>
    <definedName name="NvsPanelEffdt">"V1998-01-16"</definedName>
    <definedName name="NvsPanelSetid">"VBISG"</definedName>
    <definedName name="NvsReqBU">"VWILCO"</definedName>
    <definedName name="NvsReqBUOnly">"VY"</definedName>
    <definedName name="NvsTransLed">"VN"</definedName>
    <definedName name="NvsTreeASD">"V1999-07-15"</definedName>
    <definedName name="NvsValTbl.ACCOUNT">"GL_ACCOUNT_TBL"</definedName>
    <definedName name="NvsValTbl.CURRENCY_CD">"CURRENCY_CD_TBL"</definedName>
    <definedName name="nw" localSheetId="0">[245]m!$A$2</definedName>
    <definedName name="nw" localSheetId="4">[246]m!$A$2</definedName>
    <definedName name="nw">[247]Sheet1!$C$2</definedName>
    <definedName name="o7t6ti" localSheetId="2">'[113]Aug,02'!#REF!</definedName>
    <definedName name="o7t6ti" localSheetId="1">'[113]Aug,02'!#REF!</definedName>
    <definedName name="o7t6ti" localSheetId="4">'[113]Aug,02'!#REF!</definedName>
    <definedName name="o7t6ti" localSheetId="6">'[113]Aug,02'!#REF!</definedName>
    <definedName name="o7t6ti" localSheetId="5">'[113]Aug,02'!#REF!</definedName>
    <definedName name="o7t6ti" localSheetId="7">'[113]Aug,02'!#REF!</definedName>
    <definedName name="o7t6ti">'[113]Aug,02'!#REF!</definedName>
    <definedName name="od" localSheetId="2">#REF!</definedName>
    <definedName name="od" localSheetId="0">#REF!</definedName>
    <definedName name="od" localSheetId="1">#REF!</definedName>
    <definedName name="od" localSheetId="4">#REF!</definedName>
    <definedName name="od" localSheetId="6">#REF!</definedName>
    <definedName name="od" localSheetId="5">#REF!</definedName>
    <definedName name="od" localSheetId="7">#REF!</definedName>
    <definedName name="od">#REF!</definedName>
    <definedName name="Office" localSheetId="2">'[88]Aug,02'!#REF!</definedName>
    <definedName name="Office" localSheetId="1">'[88]Aug,02'!#REF!</definedName>
    <definedName name="Office" localSheetId="4">'[88]Aug,02'!#REF!</definedName>
    <definedName name="Office" localSheetId="6">'[88]Aug,02'!#REF!</definedName>
    <definedName name="Office" localSheetId="5">'[88]Aug,02'!#REF!</definedName>
    <definedName name="Office" localSheetId="7">'[88]Aug,02'!#REF!</definedName>
    <definedName name="Office">'[88]Aug,02'!#REF!</definedName>
    <definedName name="OG_metal" localSheetId="2">#REF!</definedName>
    <definedName name="OG_metal" localSheetId="1">#REF!</definedName>
    <definedName name="OG_metal" localSheetId="4">#REF!</definedName>
    <definedName name="OG_metal" localSheetId="6">#REF!</definedName>
    <definedName name="OG_metal" localSheetId="5">#REF!</definedName>
    <definedName name="OG_metal" localSheetId="7">#REF!</definedName>
    <definedName name="OG_metal">#REF!</definedName>
    <definedName name="OH" localSheetId="2">[53]MRATES!$C$34</definedName>
    <definedName name="OH" localSheetId="0">[52]MRATES!$C$34</definedName>
    <definedName name="OH" localSheetId="1">[53]MRATES!$C$34</definedName>
    <definedName name="OH" localSheetId="4">[143]Sheet1!$H$52</definedName>
    <definedName name="OH" localSheetId="6">[53]MRATES!$C$34</definedName>
    <definedName name="OH" localSheetId="5">[53]MRATES!$C$34</definedName>
    <definedName name="OH" localSheetId="7">[53]MRATES!$C$34</definedName>
    <definedName name="OH">[143]Sheet1!$H$52</definedName>
    <definedName name="OHBRBRACEONETOSIX" localSheetId="2">#REF!</definedName>
    <definedName name="OHBRBRACEONETOSIX" localSheetId="1">#REF!</definedName>
    <definedName name="OHBRBRACEONETOSIX" localSheetId="4">#REF!</definedName>
    <definedName name="OHBRBRACEONETOSIX" localSheetId="6">#REF!</definedName>
    <definedName name="OHBRBRACEONETOSIX" localSheetId="5">#REF!</definedName>
    <definedName name="OHBRBRACEONETOSIX" localSheetId="7">#REF!</definedName>
    <definedName name="OHBRBRACEONETOSIX">#REF!</definedName>
    <definedName name="OHBRBRACESEVENTOTHIRTEEN" localSheetId="5">#REF!</definedName>
    <definedName name="OHBRBRACESEVENTOTHIRTEEN" localSheetId="7">#REF!</definedName>
    <definedName name="OHBRBRACESEVENTOTHIRTEEN">#REF!</definedName>
    <definedName name="OHBRCOLUMNONETOSIX" localSheetId="5">#REF!</definedName>
    <definedName name="OHBRCOLUMNONETOSIX" localSheetId="7">#REF!</definedName>
    <definedName name="OHBRCOLUMNONETOSIX">#REF!</definedName>
    <definedName name="OHBRCOLUMNSEVENTOTHIRTEEN" localSheetId="5">#REF!</definedName>
    <definedName name="OHBRCOLUMNSEVENTOTHIRTEEN" localSheetId="7">#REF!</definedName>
    <definedName name="OHBRCOLUMNSEVENTOTHIRTEEN">#REF!</definedName>
    <definedName name="OHCP" localSheetId="0">[103]LEAD!$K$47</definedName>
    <definedName name="OHCP">[104]LEAD!$K$47</definedName>
    <definedName name="ojjlkj">[161]Material!$D$130</definedName>
    <definedName name="OLE_LINK1">"$boq.$"</definedName>
    <definedName name="OLE_LINK2">"$boq.$"</definedName>
    <definedName name="ONETOSEVEN" localSheetId="2">#REF!</definedName>
    <definedName name="ONETOSEVEN" localSheetId="1">#REF!</definedName>
    <definedName name="ONETOSEVEN" localSheetId="4">#REF!</definedName>
    <definedName name="ONETOSEVEN" localSheetId="6">#REF!</definedName>
    <definedName name="ONETOSEVEN" localSheetId="5">#REF!</definedName>
    <definedName name="ONETOSEVEN" localSheetId="7">#REF!</definedName>
    <definedName name="ONETOSEVEN">#REF!</definedName>
    <definedName name="OrderTable" localSheetId="5" hidden="1">#REF!</definedName>
    <definedName name="OrderTable" localSheetId="7" hidden="1">#REF!</definedName>
    <definedName name="OrderTable" hidden="1">#REF!</definedName>
    <definedName name="overheads">#REF!</definedName>
    <definedName name="p" localSheetId="0">#REF!</definedName>
    <definedName name="p" localSheetId="5">#REF!</definedName>
    <definedName name="p" localSheetId="7">#REF!</definedName>
    <definedName name="p">#REF!</definedName>
    <definedName name="Packed">[66]General!$K$4</definedName>
    <definedName name="pal">#REF!</definedName>
    <definedName name="Paver_finisher_Hydraulic_with_sensor" localSheetId="2">#REF!</definedName>
    <definedName name="Paver_finisher_Hydraulic_with_sensor" localSheetId="1">#REF!</definedName>
    <definedName name="Paver_finisher_Hydraulic_with_sensor" localSheetId="4">#REF!</definedName>
    <definedName name="Paver_finisher_Hydraulic_with_sensor" localSheetId="6">#REF!</definedName>
    <definedName name="Paver_finisher_Hydraulic_with_sensor" localSheetId="5">#REF!</definedName>
    <definedName name="Paver_finisher_Hydraulic_with_sensor" localSheetId="7">#REF!</definedName>
    <definedName name="Paver_finisher_Hydraulic_with_sensor">#REF!</definedName>
    <definedName name="Paver_finisher_mechanical_sold" localSheetId="5">#REF!</definedName>
    <definedName name="Paver_finisher_mechanical_sold" localSheetId="7">#REF!</definedName>
    <definedName name="Paver_finisher_mechanical_sold">#REF!</definedName>
    <definedName name="Payment_Date_35">NA()</definedName>
    <definedName name="pc" localSheetId="5">#REF!</definedName>
    <definedName name="pc" localSheetId="7">#REF!</definedName>
    <definedName name="pc">#REF!</definedName>
    <definedName name="PDia" localSheetId="5">#REF!</definedName>
    <definedName name="PDia" localSheetId="7">#REF!</definedName>
    <definedName name="PDia">#REF!</definedName>
    <definedName name="Pedastals__columns" localSheetId="2">[67]Works!#REF!</definedName>
    <definedName name="Pedastals__columns" localSheetId="1">[67]Works!#REF!</definedName>
    <definedName name="Pedastals__columns" localSheetId="4">[67]Works!#REF!</definedName>
    <definedName name="Pedastals__columns" localSheetId="6">[67]Works!#REF!</definedName>
    <definedName name="Pedastals__columns" localSheetId="5">[67]Works!#REF!</definedName>
    <definedName name="Pedastals__columns" localSheetId="7">[67]Works!#REF!</definedName>
    <definedName name="Pedastals__columns">[67]Works!#REF!</definedName>
    <definedName name="permissible_bending" localSheetId="2">#REF!</definedName>
    <definedName name="permissible_bending" localSheetId="1">#REF!</definedName>
    <definedName name="permissible_bending" localSheetId="4">#REF!</definedName>
    <definedName name="permissible_bending" localSheetId="6">#REF!</definedName>
    <definedName name="permissible_bending" localSheetId="5">#REF!</definedName>
    <definedName name="permissible_bending" localSheetId="7">#REF!</definedName>
    <definedName name="permissible_bending">#REF!</definedName>
    <definedName name="permissible_comp" localSheetId="2">#REF!</definedName>
    <definedName name="permissible_comp" localSheetId="1">#REF!</definedName>
    <definedName name="permissible_comp" localSheetId="4">#REF!</definedName>
    <definedName name="permissible_comp" localSheetId="6">#REF!</definedName>
    <definedName name="permissible_comp" localSheetId="5">#REF!</definedName>
    <definedName name="permissible_comp" localSheetId="7">#REF!</definedName>
    <definedName name="permissible_comp">#REF!</definedName>
    <definedName name="permissible_shear" localSheetId="2">#REF!</definedName>
    <definedName name="permissible_shear" localSheetId="1">#REF!</definedName>
    <definedName name="permissible_shear" localSheetId="4">#REF!</definedName>
    <definedName name="permissible_shear" localSheetId="6">#REF!</definedName>
    <definedName name="permissible_shear" localSheetId="5">#REF!</definedName>
    <definedName name="permissible_shear" localSheetId="7">#REF!</definedName>
    <definedName name="permissible_shear">#REF!</definedName>
    <definedName name="PERT" localSheetId="5">#REF!</definedName>
    <definedName name="PERT" localSheetId="7">#REF!</definedName>
    <definedName name="PERT">#REF!</definedName>
    <definedName name="PHANI">[242]m!$B$149</definedName>
    <definedName name="Phone" localSheetId="2">#REF!</definedName>
    <definedName name="Phone" localSheetId="1">#REF!</definedName>
    <definedName name="Phone" localSheetId="4">#REF!</definedName>
    <definedName name="Phone" localSheetId="6">#REF!</definedName>
    <definedName name="Phone" localSheetId="5">#REF!</definedName>
    <definedName name="Phone" localSheetId="7">#REF!</definedName>
    <definedName name="Phone">#REF!</definedName>
    <definedName name="pi" localSheetId="0">#REF!</definedName>
    <definedName name="pi">3.1415</definedName>
    <definedName name="Picking___spreading_metal_for_WBM_for_75_mm" localSheetId="5">#REF!</definedName>
    <definedName name="Picking___spreading_metal_for_WBM_for_75_mm" localSheetId="7">#REF!</definedName>
    <definedName name="Picking___spreading_metal_for_WBM_for_75_mm">#REF!</definedName>
    <definedName name="Picking_5_to_100_mm_old_metalled_surface_and_sectioning">'[66]Common '!$D$280</definedName>
    <definedName name="Picking_metal___sectiong" localSheetId="2">#REF!</definedName>
    <definedName name="Picking_metal___sectiong" localSheetId="1">#REF!</definedName>
    <definedName name="Picking_metal___sectiong" localSheetId="4">#REF!</definedName>
    <definedName name="Picking_metal___sectiong" localSheetId="6">#REF!</definedName>
    <definedName name="Picking_metal___sectiong" localSheetId="5">#REF!</definedName>
    <definedName name="Picking_metal___sectiong" localSheetId="7">#REF!</definedName>
    <definedName name="Picking_metal___sectiong">#REF!</definedName>
    <definedName name="PipeDia" localSheetId="0">'[248]Hydraulic Design (Pipe)'!$B$29</definedName>
    <definedName name="pipedia" localSheetId="4">#REF!</definedName>
    <definedName name="PipeDia">'[249]Hydraulic Design (Pipe)'!$B$29</definedName>
    <definedName name="pipeq" localSheetId="2">#REF!</definedName>
    <definedName name="pipeq" localSheetId="1">#REF!</definedName>
    <definedName name="pipeq" localSheetId="4">#REF!</definedName>
    <definedName name="pipeq" localSheetId="6">#REF!</definedName>
    <definedName name="pipeq" localSheetId="5">#REF!</definedName>
    <definedName name="pipeq" localSheetId="7">#REF!</definedName>
    <definedName name="pipeq">#REF!</definedName>
    <definedName name="piperows" localSheetId="2">#REF!</definedName>
    <definedName name="piperows" localSheetId="1">#REF!</definedName>
    <definedName name="piperows" localSheetId="4">#REF!</definedName>
    <definedName name="piperows" localSheetId="6">#REF!</definedName>
    <definedName name="piperows" localSheetId="5">#REF!</definedName>
    <definedName name="piperows" localSheetId="7">#REF!</definedName>
    <definedName name="piperows">#REF!</definedName>
    <definedName name="pipev" localSheetId="5">#REF!</definedName>
    <definedName name="pipev" localSheetId="7">#REF!</definedName>
    <definedName name="pipev">#REF!</definedName>
    <definedName name="pk" localSheetId="4">[111]Data!#REF!</definedName>
    <definedName name="pk" localSheetId="3">[111]Data!#REF!</definedName>
    <definedName name="pk" localSheetId="5">[111]Data!#REF!</definedName>
    <definedName name="pk">[111]Data!#REF!</definedName>
    <definedName name="pl" hidden="1">{"PLANT BREAKUP",#N/A,FALSE,"E"}</definedName>
    <definedName name="plaster_stage">'[123]data existing_do not delete'!$A$88:$A$91</definedName>
    <definedName name="plaster_thick">'[123]data existing_do not delete'!$D$14:$D$16</definedName>
    <definedName name="PLASTERING">[61]maya!$A$23:$A$27</definedName>
    <definedName name="Plinth_beams__lintels" localSheetId="2">[67]Works!#REF!</definedName>
    <definedName name="Plinth_beams__lintels" localSheetId="1">[67]Works!#REF!</definedName>
    <definedName name="Plinth_beams__lintels" localSheetId="4">[67]Works!#REF!</definedName>
    <definedName name="Plinth_beams__lintels" localSheetId="6">[67]Works!#REF!</definedName>
    <definedName name="Plinth_beams__lintels" localSheetId="5">[67]Works!#REF!</definedName>
    <definedName name="Plinth_beams__lintels" localSheetId="7">[67]Works!#REF!</definedName>
    <definedName name="Plinth_beams__lintels">[67]Works!#REF!</definedName>
    <definedName name="PM_AirCompressor_210cfm" localSheetId="0">'[196]Plant &amp;  Machinery'!$G$4</definedName>
    <definedName name="PM_AirCompressor_210cfm">'[197]Plant &amp;  Machinery'!$G$4</definedName>
    <definedName name="PM_BatchMixHMP_46_60THP" localSheetId="0">'[225]Plant &amp;  Machinery'!$G$5</definedName>
    <definedName name="PM_BatchMixHMP_46_60THP">'[197]Plant &amp;  Machinery'!$G$5</definedName>
    <definedName name="PM_BatchTypeHMP_30_40" localSheetId="0">'[198]Plant &amp;  Machinery'!$G$6</definedName>
    <definedName name="PM_BatchTypeHMP_30_40">'[197]Plant &amp;  Machinery'!$G$6</definedName>
    <definedName name="PM_BitumenBoilerOilFired_1000" localSheetId="0">'[198]Plant &amp;  Machinery'!$G$9</definedName>
    <definedName name="PM_BitumenBoilerOilFired_1000">'[197]Plant &amp;  Machinery'!$G$9</definedName>
    <definedName name="PM_BitumenBoilerOilFired_200" localSheetId="0">'[225]Plant &amp;  Machinery'!$G$8</definedName>
    <definedName name="PM_BitumenBoilerOilFired_200">'[197]Plant &amp;  Machinery'!$G$8</definedName>
    <definedName name="PM_BitumenEmulsionPressureDistributor" localSheetId="0">'[225]Plant &amp;  Machinery'!$G$10</definedName>
    <definedName name="PM_BitumenEmulsionPressureDistributor">'[197]Plant &amp;  Machinery'!$G$10</definedName>
    <definedName name="PM_ConcreteMixer" localSheetId="0">'[196]Plant &amp;  Machinery'!$G$11</definedName>
    <definedName name="PM_ConcreteMixer">'[197]Plant &amp;  Machinery'!$G$11</definedName>
    <definedName name="PM_Dozer_D50" localSheetId="0">'[196]Plant &amp;  Machinery'!$G$13</definedName>
    <definedName name="PM_Dozer_D50">'[197]Plant &amp;  Machinery'!$G$13</definedName>
    <definedName name="PM_ElectricGeneratorSet_125" localSheetId="0">'[198]Plant &amp;  Machinery'!$G$15</definedName>
    <definedName name="PM_ElectricGeneratorSet_125">'[197]Plant &amp;  Machinery'!$G$15</definedName>
    <definedName name="PM_FrontEndLoader_1cum" localSheetId="0">'[198]Plant &amp;  Machinery'!$G$17</definedName>
    <definedName name="PM_FrontEndLoader_1cum">'[197]Plant &amp;  Machinery'!$G$17</definedName>
    <definedName name="PM_HydraulicBroom" localSheetId="0">'[225]Plant &amp;  Machinery'!$G$19</definedName>
    <definedName name="PM_HydraulicBroom">'[197]Plant &amp;  Machinery'!$G$19</definedName>
    <definedName name="PM_HydraulicExcavator_09cum" localSheetId="0">'[198]Plant &amp;  Machinery'!$G$20</definedName>
    <definedName name="PM_HydraulicExcavator_09cum">'[197]Plant &amp;  Machinery'!$G$20</definedName>
    <definedName name="PM_HydraulicSelfPropelledChipSpreader" localSheetId="0">'[225]Plant &amp;  Machinery'!$G$21</definedName>
    <definedName name="PM_HydraulicSelfPropelledChipSpreader">'[197]Plant &amp;  Machinery'!$G$21</definedName>
    <definedName name="PM_JackHammer" localSheetId="0">'[200]Plant &amp;  Machinery'!$G$22</definedName>
    <definedName name="PM_JackHammer">'[197]Plant &amp;  Machinery'!$G$22</definedName>
    <definedName name="PM_JointCuttingMachine" localSheetId="0">'[196]Plant &amp;  Machinery'!$G$23</definedName>
    <definedName name="PM_JointCuttingMachine">'[197]Plant &amp;  Machinery'!$G$23</definedName>
    <definedName name="PM_Mixall_6_10t" localSheetId="0">'[225]Plant &amp;  Machinery'!$G$24</definedName>
    <definedName name="PM_Mixall_6_10t">'[197]Plant &amp;  Machinery'!$G$24</definedName>
    <definedName name="PM_MotorGrader" localSheetId="0">'[203]Plant &amp;  Machinery'!$G$25</definedName>
    <definedName name="PM_MotorGrader">'[197]Plant &amp;  Machinery'!$G$25</definedName>
    <definedName name="PM_NeedleVibrator" localSheetId="0">'[196]Plant &amp;  Machinery'!$G$27</definedName>
    <definedName name="PM_NeedleVibrator">'[197]Plant &amp;  Machinery'!$G$27</definedName>
    <definedName name="PM_PaverFinisher" localSheetId="0">'[198]Plant &amp;  Machinery'!$G$28</definedName>
    <definedName name="PM_PaverFinisher">'[197]Plant &amp;  Machinery'!$G$28</definedName>
    <definedName name="PM_PlateCompactor" localSheetId="0">'[200]Plant &amp;  Machinery'!$G$29</definedName>
    <definedName name="PM_PlateCompactor">'[197]Plant &amp;  Machinery'!$G$29</definedName>
    <definedName name="PM_PlateVibrator" localSheetId="0">'[196]Plant &amp;  Machinery'!$G$30</definedName>
    <definedName name="PM_PlateVibrator">'[197]Plant &amp;  Machinery'!$G$30</definedName>
    <definedName name="PM_ScreedVibrator" localSheetId="0">'[196]Plant &amp;  Machinery'!$G$31</definedName>
    <definedName name="PM_ScreedVibrator">'[197]Plant &amp;  Machinery'!$G$31</definedName>
    <definedName name="PM_ThreeWheeled_80_100kN_StaticRoller" localSheetId="0">'[203]Plant &amp;  Machinery'!$G$34</definedName>
    <definedName name="PM_ThreeWheeled_80_100kN_StaticRoller">'[197]Plant &amp;  Machinery'!$G$34</definedName>
    <definedName name="PM_Tipper_55" localSheetId="0">'[198]Plant &amp;  Machinery'!$G$45</definedName>
    <definedName name="PM_Tipper_55">'[197]Plant &amp;  Machinery'!$G$45</definedName>
    <definedName name="PM_Tractor_DiscHarrows" localSheetId="0">'[200]Plant &amp;  Machinery'!$G$46</definedName>
    <definedName name="PM_Tractor_DiscHarrows">'[197]Plant &amp;  Machinery'!$G$46</definedName>
    <definedName name="PM_Tractor_Ripper" localSheetId="0">'[200]Plant &amp;  Machinery'!$G$47</definedName>
    <definedName name="PM_Tractor_Ripper">'[197]Plant &amp;  Machinery'!$G$47</definedName>
    <definedName name="PM_Tractor_Rotavator" localSheetId="0">'[203]Plant &amp;  Machinery'!$G$49</definedName>
    <definedName name="PM_Tractor_Rotavator">'[197]Plant &amp;  Machinery'!$G$49</definedName>
    <definedName name="PM_Tractor_Trolley" localSheetId="0">'[196]Plant &amp;  Machinery'!$G$48</definedName>
    <definedName name="PM_Tractor_Trolley">'[197]Plant &amp;  Machinery'!$G$48</definedName>
    <definedName name="PM_Truck" localSheetId="0">'[201]Plant &amp;  Machinery'!$G$50</definedName>
    <definedName name="PM_Truck">'[202]Plant &amp;  Machinery'!$G$50</definedName>
    <definedName name="PM_VibratoryRoller_80_100kN" localSheetId="0">'[225]Plant &amp;  Machinery'!$G$51</definedName>
    <definedName name="PM_VibratoryRoller_80_100kN">'[197]Plant &amp;  Machinery'!$G$51</definedName>
    <definedName name="pm_WaterLorry">'[226]Plant &amp;  Machinery'!$H$69</definedName>
    <definedName name="PM_WaterTanker_6kl" localSheetId="0">'[203]Plant &amp;  Machinery'!$G$53</definedName>
    <definedName name="PM_WaterTanker_6kl">'[197]Plant &amp;  Machinery'!$G$53</definedName>
    <definedName name="PM_WetMixPlant_or_PugMill" localSheetId="0">'[200]Plant &amp;  Machinery'!$G$54</definedName>
    <definedName name="PM_WetMixPlant_or_PugMill">'[197]Plant &amp;  Machinery'!$G$54</definedName>
    <definedName name="pmw_1_1" comment="Jungle clearance">#REF!</definedName>
    <definedName name="Pneumatic_tyre_Roller" localSheetId="2">#REF!</definedName>
    <definedName name="Pneumatic_tyre_Roller" localSheetId="1">#REF!</definedName>
    <definedName name="Pneumatic_tyre_Roller" localSheetId="4">#REF!</definedName>
    <definedName name="Pneumatic_tyre_Roller" localSheetId="6">#REF!</definedName>
    <definedName name="Pneumatic_tyre_Roller" localSheetId="5">#REF!</definedName>
    <definedName name="Pneumatic_tyre_Roller" localSheetId="7">#REF!</definedName>
    <definedName name="Pneumatic_tyre_Roller">#REF!</definedName>
    <definedName name="POL">#N/A</definedName>
    <definedName name="Polished_black_Cuddapah_slabs_25.4mm" localSheetId="2">[67]Material!#REF!</definedName>
    <definedName name="Polished_black_Cuddapah_slabs_25.4mm" localSheetId="1">[67]Material!#REF!</definedName>
    <definedName name="Polished_black_Cuddapah_slabs_25.4mm" localSheetId="4">[67]Material!#REF!</definedName>
    <definedName name="Polished_black_Cuddapah_slabs_25.4mm" localSheetId="6">[67]Material!#REF!</definedName>
    <definedName name="Polished_black_Cuddapah_slabs_25.4mm" localSheetId="5">[67]Material!#REF!</definedName>
    <definedName name="Polished_black_Cuddapah_slabs_25.4mm" localSheetId="7">[67]Material!#REF!</definedName>
    <definedName name="Polished_black_Cuddapah_slabs_25.4mm">[67]Material!#REF!</definedName>
    <definedName name="Polished_Shahabad_slabs_of_Tandur_25.4mm_blue" localSheetId="2">[67]Material!#REF!</definedName>
    <definedName name="Polished_Shahabad_slabs_of_Tandur_25.4mm_blue" localSheetId="1">[67]Material!#REF!</definedName>
    <definedName name="Polished_Shahabad_slabs_of_Tandur_25.4mm_blue" localSheetId="4">[67]Material!#REF!</definedName>
    <definedName name="Polished_Shahabad_slabs_of_Tandur_25.4mm_blue" localSheetId="6">[67]Material!#REF!</definedName>
    <definedName name="Polished_Shahabad_slabs_of_Tandur_25.4mm_blue" localSheetId="5">[67]Material!#REF!</definedName>
    <definedName name="Polished_Shahabad_slabs_of_Tandur_25.4mm_blue" localSheetId="7">[67]Material!#REF!</definedName>
    <definedName name="Polished_Shahabad_slabs_of_Tandur_25.4mm_blue">[67]Material!#REF!</definedName>
    <definedName name="Polished_Shahabad_slabs_of_Tandur_25.4mm_white" localSheetId="2">[67]Material!#REF!</definedName>
    <definedName name="Polished_Shahabad_slabs_of_Tandur_25.4mm_white" localSheetId="1">[67]Material!#REF!</definedName>
    <definedName name="Polished_Shahabad_slabs_of_Tandur_25.4mm_white" localSheetId="4">[67]Material!#REF!</definedName>
    <definedName name="Polished_Shahabad_slabs_of_Tandur_25.4mm_white" localSheetId="6">[67]Material!#REF!</definedName>
    <definedName name="Polished_Shahabad_slabs_of_Tandur_25.4mm_white" localSheetId="5">[67]Material!#REF!</definedName>
    <definedName name="Polished_Shahabad_slabs_of_Tandur_25.4mm_white" localSheetId="7">[67]Material!#REF!</definedName>
    <definedName name="Polished_Shahabad_slabs_of_Tandur_25.4mm_white">[67]Material!#REF!</definedName>
    <definedName name="portico__bottom__steps" localSheetId="2">'[250]ws-abs'!#REF!,'[250]ws-abs'!#REF!,'[250]ws-abs'!#REF!,'[250]ws-abs'!#REF!,'[250]ws-abs'!#REF!,'[250]ws-abs'!#REF!,'[250]ws-abs'!#REF!,'[250]ws-abs'!#REF!,'[250]ws-abs'!#REF!,'[250]ws-abs'!#REF!,'[250]ws-abs'!#REF!,'[250]ws-abs'!#REF!,'[250]ws-abs'!#REF!,'[250]ws-abs'!#REF!,'[250]ws-abs'!#REF!,'[250]ws-abs'!#REF!,'[250]ws-abs'!#REF!,'[250]ws-abs'!#REF!,'[250]ws-abs'!#REF!,'[250]ws-abs'!#REF!,'[250]ws-abs'!#REF!</definedName>
    <definedName name="portico__bottom__steps" localSheetId="0">'[251]ws-abs'!#REF!,'[251]ws-abs'!#REF!,'[251]ws-abs'!#REF!,'[251]ws-abs'!#REF!,'[251]ws-abs'!#REF!,'[251]ws-abs'!#REF!,'[251]ws-abs'!#REF!,'[251]ws-abs'!#REF!,'[251]ws-abs'!#REF!,'[251]ws-abs'!#REF!,'[251]ws-abs'!#REF!,'[251]ws-abs'!#REF!,'[251]ws-abs'!#REF!,'[251]ws-abs'!#REF!,'[251]ws-abs'!#REF!,'[251]ws-abs'!#REF!,'[251]ws-abs'!#REF!,'[251]ws-abs'!#REF!,'[251]ws-abs'!#REF!,'[251]ws-abs'!#REF!,'[251]ws-abs'!#REF!</definedName>
    <definedName name="portico__bottom__steps" localSheetId="1">'[250]ws-abs'!#REF!,'[250]ws-abs'!#REF!,'[250]ws-abs'!#REF!,'[250]ws-abs'!#REF!,'[250]ws-abs'!#REF!,'[250]ws-abs'!#REF!,'[250]ws-abs'!#REF!,'[250]ws-abs'!#REF!,'[250]ws-abs'!#REF!,'[250]ws-abs'!#REF!,'[250]ws-abs'!#REF!,'[250]ws-abs'!#REF!,'[250]ws-abs'!#REF!,'[250]ws-abs'!#REF!,'[250]ws-abs'!#REF!,'[250]ws-abs'!#REF!,'[250]ws-abs'!#REF!,'[250]ws-abs'!#REF!,'[250]ws-abs'!#REF!,'[250]ws-abs'!#REF!,'[250]ws-abs'!#REF!</definedName>
    <definedName name="portico__bottom__steps" localSheetId="4">'[250]ws-abs'!#REF!,'[250]ws-abs'!#REF!,'[250]ws-abs'!#REF!,'[250]ws-abs'!#REF!,'[250]ws-abs'!#REF!,'[250]ws-abs'!#REF!,'[250]ws-abs'!#REF!,'[250]ws-abs'!#REF!,'[250]ws-abs'!#REF!,'[250]ws-abs'!#REF!,'[250]ws-abs'!#REF!,'[250]ws-abs'!#REF!,'[250]ws-abs'!#REF!,'[250]ws-abs'!#REF!,'[250]ws-abs'!#REF!,'[250]ws-abs'!#REF!,'[250]ws-abs'!#REF!,'[250]ws-abs'!#REF!,'[250]ws-abs'!#REF!,'[250]ws-abs'!#REF!,'[250]ws-abs'!#REF!</definedName>
    <definedName name="portico__bottom__steps" localSheetId="6">'[250]ws-abs'!#REF!,'[250]ws-abs'!#REF!,'[250]ws-abs'!#REF!,'[250]ws-abs'!#REF!,'[250]ws-abs'!#REF!,'[250]ws-abs'!#REF!,'[250]ws-abs'!#REF!,'[250]ws-abs'!#REF!,'[250]ws-abs'!#REF!,'[250]ws-abs'!#REF!,'[250]ws-abs'!#REF!,'[250]ws-abs'!#REF!,'[250]ws-abs'!#REF!,'[250]ws-abs'!#REF!,'[250]ws-abs'!#REF!,'[250]ws-abs'!#REF!,'[250]ws-abs'!#REF!,'[250]ws-abs'!#REF!,'[250]ws-abs'!#REF!,'[250]ws-abs'!#REF!,'[250]ws-abs'!#REF!</definedName>
    <definedName name="portico__bottom__steps" localSheetId="5">'[250]ws-abs'!#REF!,'[250]ws-abs'!#REF!,'[250]ws-abs'!#REF!,'[250]ws-abs'!#REF!,'[250]ws-abs'!#REF!,'[250]ws-abs'!#REF!,'[250]ws-abs'!#REF!,'[250]ws-abs'!#REF!,'[250]ws-abs'!#REF!,'[250]ws-abs'!#REF!,'[250]ws-abs'!#REF!,'[250]ws-abs'!#REF!,'[250]ws-abs'!#REF!,'[250]ws-abs'!#REF!,'[250]ws-abs'!#REF!,'[250]ws-abs'!#REF!,'[250]ws-abs'!#REF!,'[250]ws-abs'!#REF!,'[250]ws-abs'!#REF!,'[250]ws-abs'!#REF!,'[250]ws-abs'!#REF!</definedName>
    <definedName name="portico__bottom__steps" localSheetId="7">'[250]ws-abs'!#REF!,'[250]ws-abs'!#REF!,'[250]ws-abs'!#REF!,'[250]ws-abs'!#REF!,'[250]ws-abs'!#REF!,'[250]ws-abs'!#REF!,'[250]ws-abs'!#REF!,'[250]ws-abs'!#REF!,'[250]ws-abs'!#REF!,'[250]ws-abs'!#REF!,'[250]ws-abs'!#REF!,'[250]ws-abs'!#REF!,'[250]ws-abs'!#REF!,'[250]ws-abs'!#REF!,'[250]ws-abs'!#REF!,'[250]ws-abs'!#REF!,'[250]ws-abs'!#REF!,'[250]ws-abs'!#REF!,'[250]ws-abs'!#REF!,'[250]ws-abs'!#REF!,'[250]ws-abs'!#REF!</definedName>
    <definedName name="portico__bottom__steps">'[250]ws-abs'!#REF!,'[250]ws-abs'!#REF!,'[250]ws-abs'!#REF!,'[250]ws-abs'!#REF!,'[250]ws-abs'!#REF!,'[250]ws-abs'!#REF!,'[250]ws-abs'!#REF!,'[250]ws-abs'!#REF!,'[250]ws-abs'!#REF!,'[250]ws-abs'!#REF!,'[250]ws-abs'!#REF!,'[250]ws-abs'!#REF!,'[250]ws-abs'!#REF!,'[250]ws-abs'!#REF!,'[250]ws-abs'!#REF!,'[250]ws-abs'!#REF!,'[250]ws-abs'!#REF!,'[250]ws-abs'!#REF!,'[250]ws-abs'!#REF!,'[250]ws-abs'!#REF!,'[250]ws-abs'!#REF!</definedName>
    <definedName name="pp" localSheetId="2">#REF!</definedName>
    <definedName name="pp" localSheetId="1">#REF!</definedName>
    <definedName name="pp" localSheetId="4">#REF!</definedName>
    <definedName name="pp" localSheetId="6">#REF!</definedName>
    <definedName name="pp" localSheetId="5">#REF!</definedName>
    <definedName name="pp" localSheetId="7">#REF!</definedName>
    <definedName name="pp">#REF!</definedName>
    <definedName name="pprdata" localSheetId="2">[127]ssr200809!#REF!</definedName>
    <definedName name="pprdata" localSheetId="0">[126]ssr200809!#REF!</definedName>
    <definedName name="pprdata" localSheetId="1">[127]ssr200809!#REF!</definedName>
    <definedName name="pprdata" localSheetId="4">[127]ssr200809!#REF!</definedName>
    <definedName name="pprdata" localSheetId="6">[127]ssr200809!#REF!</definedName>
    <definedName name="pprdata" localSheetId="5">[127]ssr200809!#REF!</definedName>
    <definedName name="pprdata" localSheetId="7">[127]ssr200809!#REF!</definedName>
    <definedName name="pprdata">[127]ssr200809!#REF!</definedName>
    <definedName name="PR" localSheetId="2">#REF!</definedName>
    <definedName name="PR" localSheetId="0">#REF!</definedName>
    <definedName name="PR" localSheetId="1">#REF!</definedName>
    <definedName name="PR" localSheetId="4">#REF!</definedName>
    <definedName name="PR" localSheetId="6">#REF!</definedName>
    <definedName name="PR" localSheetId="5">#REF!</definedName>
    <definedName name="PR" localSheetId="7">#REF!</definedName>
    <definedName name="PR">#REF!</definedName>
    <definedName name="pra" localSheetId="7">#REF!</definedName>
    <definedName name="pra">#REF!</definedName>
    <definedName name="prakar" localSheetId="7">#REF!</definedName>
    <definedName name="prakar">#REF!</definedName>
    <definedName name="_xlnm.Print_Area" localSheetId="2">'Abstract '!$A$1:$G$30</definedName>
    <definedName name="_xlnm.Print_Area" localSheetId="4">'Datas - 2026-27'!$A$1:$H$279</definedName>
    <definedName name="_xlnm.Print_Area" localSheetId="5">'Quarry Map (2)'!$A$1:$O$29</definedName>
    <definedName name="_xlnm.Print_Area" localSheetId="7">'Seignorage (2)'!$A$1:$G$24</definedName>
    <definedName name="Print_Area_MI" localSheetId="2">#REF!</definedName>
    <definedName name="Print_Area_MI" localSheetId="1">#REF!</definedName>
    <definedName name="Print_Area_MI" localSheetId="4">#REF!</definedName>
    <definedName name="Print_Area_MI" localSheetId="6">#REF!</definedName>
    <definedName name="Print_Area_MI" localSheetId="5">#REF!</definedName>
    <definedName name="Print_Area_MI" localSheetId="7">#REF!</definedName>
    <definedName name="Print_Area_MI">#REF!</definedName>
    <definedName name="Print_Area_MI_10" localSheetId="5">#REF!</definedName>
    <definedName name="Print_Area_MI_10" localSheetId="7">#REF!</definedName>
    <definedName name="Print_Area_MI_10">#REF!</definedName>
    <definedName name="Print_Area_MI_12" localSheetId="5">#REF!</definedName>
    <definedName name="Print_Area_MI_12" localSheetId="7">#REF!</definedName>
    <definedName name="Print_Area_MI_12">#REF!</definedName>
    <definedName name="Print_Area_MI_3" localSheetId="5">#REF!</definedName>
    <definedName name="Print_Area_MI_3" localSheetId="7">#REF!</definedName>
    <definedName name="Print_Area_MI_3">#REF!</definedName>
    <definedName name="Print_Area_MI_6" localSheetId="5">#REF!</definedName>
    <definedName name="Print_Area_MI_6" localSheetId="7">#REF!</definedName>
    <definedName name="Print_Area_MI_6">#REF!</definedName>
    <definedName name="Print_Area_MI_7" localSheetId="5">#REF!</definedName>
    <definedName name="Print_Area_MI_7" localSheetId="7">#REF!</definedName>
    <definedName name="Print_Area_MI_7">#REF!</definedName>
    <definedName name="Print_Area_MI_9" localSheetId="5">#REF!</definedName>
    <definedName name="Print_Area_MI_9" localSheetId="7">#REF!</definedName>
    <definedName name="Print_Area_MI_9">#REF!</definedName>
    <definedName name="_xlnm.Print_Titles" localSheetId="2">'Abstract '!$3:$3</definedName>
    <definedName name="_xlnm.Print_Titles">#N/A</definedName>
    <definedName name="ProdForm" localSheetId="2" hidden="1">#REF!</definedName>
    <definedName name="ProdForm" localSheetId="1" hidden="1">#REF!</definedName>
    <definedName name="ProdForm" localSheetId="4" hidden="1">#REF!</definedName>
    <definedName name="ProdForm" localSheetId="6" hidden="1">#REF!</definedName>
    <definedName name="ProdForm" localSheetId="5" hidden="1">#REF!</definedName>
    <definedName name="ProdForm" localSheetId="7" hidden="1">#REF!</definedName>
    <definedName name="ProdForm" hidden="1">#REF!</definedName>
    <definedName name="product" localSheetId="5">#REF!</definedName>
    <definedName name="product" localSheetId="7">#REF!</definedName>
    <definedName name="product">#REF!</definedName>
    <definedName name="PT" localSheetId="2">'[108]Aug,02'!#REF!</definedName>
    <definedName name="PT" localSheetId="1">'[108]Aug,02'!#REF!</definedName>
    <definedName name="PT" localSheetId="4">'[108]Aug,02'!#REF!</definedName>
    <definedName name="PT" localSheetId="6">'[108]Aug,02'!#REF!</definedName>
    <definedName name="PT" localSheetId="5">'[108]Aug,02'!#REF!</definedName>
    <definedName name="PT">'[108]Aug,02'!#REF!</definedName>
    <definedName name="PTh" localSheetId="5">#REF!</definedName>
    <definedName name="PTh" localSheetId="7">#REF!</definedName>
    <definedName name="PTh">#REF!</definedName>
    <definedName name="Pump___23_KW" localSheetId="2">#REF!</definedName>
    <definedName name="Pump___23_KW" localSheetId="1">#REF!</definedName>
    <definedName name="Pump___23_KW" localSheetId="4">#REF!</definedName>
    <definedName name="Pump___23_KW" localSheetId="6">#REF!</definedName>
    <definedName name="Pump___23_KW" localSheetId="5">#REF!</definedName>
    <definedName name="Pump___23_KW" localSheetId="7">#REF!</definedName>
    <definedName name="Pump___23_KW">#REF!</definedName>
    <definedName name="pvc_specials" localSheetId="5">#REF!</definedName>
    <definedName name="pvc_specials" localSheetId="7">#REF!</definedName>
    <definedName name="pvc_specials">#REF!</definedName>
    <definedName name="pvcsaddle">[130]Sheet1!$B$98:$B$102</definedName>
    <definedName name="Q" localSheetId="4">#REF!</definedName>
    <definedName name="Q" localSheetId="5">#REF!</definedName>
    <definedName name="Q">#REF!</definedName>
    <definedName name="Q_CD_EW" localSheetId="2">#REF!</definedName>
    <definedName name="Q_CD_EW" localSheetId="1">#REF!</definedName>
    <definedName name="Q_CD_EW" localSheetId="4">#REF!</definedName>
    <definedName name="Q_CD_EW" localSheetId="6">#REF!</definedName>
    <definedName name="Q_CD_EW" localSheetId="5">#REF!</definedName>
    <definedName name="Q_CD_EW" localSheetId="7">#REF!</definedName>
    <definedName name="Q_CD_EW">#REF!</definedName>
    <definedName name="Q_CD_M10_BODY" localSheetId="5">#REF!</definedName>
    <definedName name="Q_CD_M10_BODY" localSheetId="7">#REF!</definedName>
    <definedName name="Q_CD_M10_BODY">#REF!</definedName>
    <definedName name="Q_CD_M10_FOUN" localSheetId="5">#REF!</definedName>
    <definedName name="Q_CD_M10_FOUN" localSheetId="7">#REF!</definedName>
    <definedName name="Q_CD_M10_FOUN">#REF!</definedName>
    <definedName name="Q_EW_F" localSheetId="0">'[72]road est'!$H$11</definedName>
    <definedName name="Q_EW_F">'[73]road est'!$H$11</definedName>
    <definedName name="Q_EW_FOUND" localSheetId="0">[236]Line!$E$36</definedName>
    <definedName name="Q_EW_FOUND">[237]Line!$E$36</definedName>
    <definedName name="Q_EW_S" localSheetId="0">'[72]road est'!$H$7</definedName>
    <definedName name="Q_EW_S">'[73]road est'!$H$7</definedName>
    <definedName name="Q_GRAVEL_SHOLDERS" localSheetId="2">'[83]road est'!#REF!</definedName>
    <definedName name="Q_GRAVEL_SHOLDERS" localSheetId="0">'[72]road est'!#REF!</definedName>
    <definedName name="Q_GRAVEL_SHOLDERS" localSheetId="1">'[83]road est'!#REF!</definedName>
    <definedName name="Q_GRAVEL_SHOLDERS" localSheetId="4">'[83]road est'!#REF!</definedName>
    <definedName name="Q_GRAVEL_SHOLDERS" localSheetId="6">'[83]road est'!#REF!</definedName>
    <definedName name="Q_GRAVEL_SHOLDERS" localSheetId="5">'[83]road est'!#REF!</definedName>
    <definedName name="Q_GRAVEL_SHOLDERS" localSheetId="7">'[83]road est'!#REF!</definedName>
    <definedName name="Q_GRAVEL_SHOLDERS">'[83]road est'!#REF!</definedName>
    <definedName name="Q_GSB" localSheetId="0">'[72]road est'!$H$15</definedName>
    <definedName name="Q_GSB">'[73]road est'!$H$15</definedName>
    <definedName name="q_pick" localSheetId="2">'[83]road est'!#REF!</definedName>
    <definedName name="q_pick" localSheetId="0">'[72]road est'!#REF!</definedName>
    <definedName name="q_pick" localSheetId="1">'[83]road est'!#REF!</definedName>
    <definedName name="q_pick" localSheetId="4">'[83]road est'!#REF!</definedName>
    <definedName name="q_pick" localSheetId="6">'[83]road est'!#REF!</definedName>
    <definedName name="q_pick" localSheetId="5">'[83]road est'!#REF!</definedName>
    <definedName name="q_pick" localSheetId="7">'[83]road est'!#REF!</definedName>
    <definedName name="q_pick">'[83]road est'!#REF!</definedName>
    <definedName name="Q_SCSD" localSheetId="0">'[72]road est'!$H$28</definedName>
    <definedName name="Q_SCSD">'[73]road est'!$H$28</definedName>
    <definedName name="Q_SDBC" localSheetId="0">'[72]road est'!$H$36</definedName>
    <definedName name="Q_SDBC">'[73]road est'!$H$36</definedName>
    <definedName name="Q_TACK" localSheetId="0">'[72]road est'!$H$32</definedName>
    <definedName name="Q_TACK">'[73]road est'!$H$32</definedName>
    <definedName name="Q_WBM2" localSheetId="0">'[72]road est'!$H$20</definedName>
    <definedName name="Q_WBM2">'[73]road est'!$H$20</definedName>
    <definedName name="Q_WBM3" localSheetId="0">'[72]road est'!$H$24</definedName>
    <definedName name="Q_WBM3">'[73]road est'!$H$24</definedName>
    <definedName name="Qd" localSheetId="2">#REF!</definedName>
    <definedName name="Qd" localSheetId="1">#REF!</definedName>
    <definedName name="Qd" localSheetId="4">#REF!</definedName>
    <definedName name="Qd" localSheetId="6">#REF!</definedName>
    <definedName name="Qd" localSheetId="5">#REF!</definedName>
    <definedName name="Qd" localSheetId="7">#REF!</definedName>
    <definedName name="Qd">#REF!</definedName>
    <definedName name="QNTYTAB" localSheetId="2">#REF!</definedName>
    <definedName name="QNTYTAB" localSheetId="1">#REF!</definedName>
    <definedName name="QNTYTAB" localSheetId="4">#REF!</definedName>
    <definedName name="QNTYTAB" localSheetId="6">#REF!</definedName>
    <definedName name="QNTYTAB" localSheetId="5">#REF!</definedName>
    <definedName name="QNTYTAB" localSheetId="7">#REF!</definedName>
    <definedName name="QNTYTAB">#REF!</definedName>
    <definedName name="qq" localSheetId="5">#REF!</definedName>
    <definedName name="qq" localSheetId="7">#REF!</definedName>
    <definedName name="qq">#REF!</definedName>
    <definedName name="qq_35">#N/A</definedName>
    <definedName name="QRD" localSheetId="0">#REF!</definedName>
    <definedName name="QRD">#REF!</definedName>
    <definedName name="qrwqrqerwrw" localSheetId="5">#REF!</definedName>
    <definedName name="qrwqrqerwrw" localSheetId="7">#REF!</definedName>
    <definedName name="qrwqrqerwrw">#REF!</definedName>
    <definedName name="QTY" localSheetId="4">#REF!</definedName>
    <definedName name="QTY" localSheetId="5">#REF!</definedName>
    <definedName name="QTY" localSheetId="7">#REF!</definedName>
    <definedName name="QTY">#REF!</definedName>
    <definedName name="Qu" localSheetId="5">#REF!</definedName>
    <definedName name="Qu" localSheetId="7">#REF!</definedName>
    <definedName name="Qu">#REF!</definedName>
    <definedName name="Quarry_rubbish" localSheetId="2">[67]Material!#REF!</definedName>
    <definedName name="Quarry_rubbish" localSheetId="1">[67]Material!#REF!</definedName>
    <definedName name="Quarry_rubbish" localSheetId="4">[67]Material!#REF!</definedName>
    <definedName name="Quarry_rubbish" localSheetId="6">[67]Material!#REF!</definedName>
    <definedName name="Quarry_rubbish" localSheetId="5">[67]Material!#REF!</definedName>
    <definedName name="Quarry_rubbish">[67]Material!#REF!</definedName>
    <definedName name="Quarry1">#REF!</definedName>
    <definedName name="Query2" localSheetId="2">#REF!</definedName>
    <definedName name="Query2" localSheetId="1">#REF!</definedName>
    <definedName name="Query2" localSheetId="4">#REF!</definedName>
    <definedName name="Query2" localSheetId="6">#REF!</definedName>
    <definedName name="Query2" localSheetId="5">#REF!</definedName>
    <definedName name="Query2" localSheetId="7">#REF!</definedName>
    <definedName name="Query2">#REF!</definedName>
    <definedName name="qw">#REF!</definedName>
    <definedName name="qwdq" localSheetId="2">#REF!</definedName>
    <definedName name="qwdq" localSheetId="1">#REF!</definedName>
    <definedName name="qwdq" localSheetId="4">#REF!</definedName>
    <definedName name="qwdq" localSheetId="6">#REF!</definedName>
    <definedName name="qwdq" localSheetId="5">#REF!</definedName>
    <definedName name="qwdq" localSheetId="7">#REF!</definedName>
    <definedName name="qwdq">#REF!</definedName>
    <definedName name="qwdqsfs" localSheetId="2">'[153]Aug,02'!#REF!</definedName>
    <definedName name="qwdqsfs" localSheetId="1">'[153]Aug,02'!#REF!</definedName>
    <definedName name="qwdqsfs" localSheetId="4">'[153]Aug,02'!#REF!</definedName>
    <definedName name="qwdqsfs" localSheetId="6">'[153]Aug,02'!#REF!</definedName>
    <definedName name="qwdqsfs" localSheetId="5">'[153]Aug,02'!#REF!</definedName>
    <definedName name="qwdqsfs">'[153]Aug,02'!#REF!</definedName>
    <definedName name="qwfewr" localSheetId="2">#REF!</definedName>
    <definedName name="qwfewr" localSheetId="1">#REF!</definedName>
    <definedName name="qwfewr" localSheetId="4">#REF!</definedName>
    <definedName name="qwfewr" localSheetId="6">#REF!</definedName>
    <definedName name="qwfewr" localSheetId="5">#REF!</definedName>
    <definedName name="qwfewr" localSheetId="7">#REF!</definedName>
    <definedName name="qwfewr">#REF!</definedName>
    <definedName name="R_">[188]Analy!#REF!</definedName>
    <definedName name="R_136_BCCP" localSheetId="0">'[76]Road data'!#REF!</definedName>
    <definedName name="R_136_BCCP" localSheetId="4">'[77]Road data'!#REF!</definedName>
    <definedName name="R_136_BCCP">'[237]Road data'!$K$768</definedName>
    <definedName name="R_136_BODY" localSheetId="0">'[76]Road data'!$K$360</definedName>
    <definedName name="R_136_BODY" localSheetId="4">'[77]Road data'!$K$360</definedName>
    <definedName name="R_136_BODY">'[237]Road data'!$K$958</definedName>
    <definedName name="R_136_FLY_BCCP" localSheetId="0">'[76]Road data'!#REF!</definedName>
    <definedName name="R_136_FLY_BCCP" localSheetId="4">'[77]Road data'!#REF!</definedName>
    <definedName name="R_136_FLY_BCCP">'[237]Road data'!$K$826</definedName>
    <definedName name="R_136_FOUND" localSheetId="0">'[76]Road data'!$K$332</definedName>
    <definedName name="R_136_FOUND" localSheetId="4">'[77]Road data'!$K$332</definedName>
    <definedName name="R_136_FOUND">'[237]Road data'!$K$930</definedName>
    <definedName name="R_148_BCCP" localSheetId="0">'[76]Road data'!#REF!</definedName>
    <definedName name="R_148_BCCP" localSheetId="4">'[77]Road data'!#REF!</definedName>
    <definedName name="R_148_BCCP">'[237]Road data'!$K$742</definedName>
    <definedName name="R_BACKFILL" localSheetId="0">'[76]Road data'!#REF!</definedName>
    <definedName name="R_BACKFILL" localSheetId="4">'[77]Road data'!#REF!</definedName>
    <definedName name="R_BACKFILL">'[237]Road data'!$K$1390</definedName>
    <definedName name="R_BC" localSheetId="0">'[236]Road data'!$K$600</definedName>
    <definedName name="R_BC">'[237]Road data'!$K$600</definedName>
    <definedName name="R_BED_HP" localSheetId="0">'[76]Road data'!#REF!</definedName>
    <definedName name="R_BED_HP" localSheetId="4">'[77]Road data'!#REF!</definedName>
    <definedName name="R_BED_HP">'[237]Road data'!$K$904</definedName>
    <definedName name="R_BM" localSheetId="2">'[83]Road data'!#REF!</definedName>
    <definedName name="R_BM" localSheetId="0">'[72]Road data'!#REF!</definedName>
    <definedName name="R_BM" localSheetId="1">'[83]Road data'!#REF!</definedName>
    <definedName name="R_BM" localSheetId="4">'[83]Road data'!#REF!</definedName>
    <definedName name="R_BM" localSheetId="6">'[83]Road data'!#REF!</definedName>
    <definedName name="R_BM" localSheetId="5">'[83]Road data'!#REF!</definedName>
    <definedName name="R_BM" localSheetId="7">'[83]Road data'!#REF!</definedName>
    <definedName name="R_BM">'[83]Road data'!#REF!</definedName>
    <definedName name="r_BM_100" localSheetId="0">'[236]Road data'!$K$692</definedName>
    <definedName name="r_BM_100">'[237]Road data'!$K$692</definedName>
    <definedName name="R_BM_50" localSheetId="0">'[76]Road data'!#REF!</definedName>
    <definedName name="R_BM_50" localSheetId="4">'[77]Road data'!#REF!</definedName>
    <definedName name="R_BM_50">'[237]Road data'!$K$646</definedName>
    <definedName name="R_BT_PATCH" localSheetId="0">'[76]Road data'!$K$416</definedName>
    <definedName name="R_BT_PATCH" localSheetId="4">'[77]Road data'!$K$416</definedName>
    <definedName name="R_BT_PATCH">'[237]Road data'!$K$1636</definedName>
    <definedName name="R_BT_PATCH_40" localSheetId="0">'[76]Road data'!$K$434</definedName>
    <definedName name="R_BT_PATCH_40" localSheetId="4">'[77]Road data'!$K$434</definedName>
    <definedName name="R_BT_PATCH_40">'[237]Road data'!$K$1654</definedName>
    <definedName name="R_Diversion_Road" localSheetId="2">'[83]Road data'!#REF!</definedName>
    <definedName name="R_Diversion_Road" localSheetId="0">'[72]Road data'!#REF!</definedName>
    <definedName name="R_Diversion_Road" localSheetId="1">'[83]Road data'!#REF!</definedName>
    <definedName name="R_Diversion_Road" localSheetId="4">'[83]Road data'!#REF!</definedName>
    <definedName name="R_Diversion_Road" localSheetId="6">'[83]Road data'!#REF!</definedName>
    <definedName name="R_Diversion_Road" localSheetId="5">'[83]Road data'!#REF!</definedName>
    <definedName name="R_Diversion_Road" localSheetId="7">'[83]Road data'!#REF!</definedName>
    <definedName name="R_Diversion_Road">'[83]Road data'!#REF!</definedName>
    <definedName name="R_EW_C" localSheetId="0">'[76]Road data'!$K$65</definedName>
    <definedName name="R_EW_C" localSheetId="4">'[77]Road data'!$K$65</definedName>
    <definedName name="R_EW_C">'[237]Road data'!$K$61</definedName>
    <definedName name="R_EW_Car" localSheetId="2">'[83]Road data'!#REF!</definedName>
    <definedName name="R_EW_Car" localSheetId="0">'[72]Road data'!#REF!</definedName>
    <definedName name="R_EW_Car" localSheetId="1">'[83]Road data'!#REF!</definedName>
    <definedName name="R_EW_Car" localSheetId="4">'[83]Road data'!#REF!</definedName>
    <definedName name="R_EW_Car" localSheetId="6">'[83]Road data'!#REF!</definedName>
    <definedName name="R_EW_Car" localSheetId="5">'[83]Road data'!#REF!</definedName>
    <definedName name="R_EW_Car" localSheetId="7">'[83]Road data'!#REF!</definedName>
    <definedName name="R_EW_Car">'[83]Road data'!#REF!</definedName>
    <definedName name="R_EW_FMC_Car" localSheetId="0">'[72]Road data'!$K$37</definedName>
    <definedName name="R_EW_FMC_Car">'[73]Road data'!$K$37</definedName>
    <definedName name="R_EW_FMC_Side" localSheetId="0">'[72]Road data'!$K$18</definedName>
    <definedName name="R_EW_FMC_Side">'[73]Road data'!$K$18</definedName>
    <definedName name="R_EW_FOUND" localSheetId="0">'[76]Road data'!$K$306</definedName>
    <definedName name="R_EW_FOUND" localSheetId="4">'[77]Road data'!$K$306</definedName>
    <definedName name="R_EW_FOUND">'[237]Road data'!$K$881</definedName>
    <definedName name="R_EW_Man" localSheetId="0">'[72]Road data'!$K$281</definedName>
    <definedName name="R_EW_Man">'[83]Road data'!$K$281</definedName>
    <definedName name="R_EW_OMC_Car" localSheetId="2">'[83]Road data'!#REF!</definedName>
    <definedName name="R_EW_OMC_Car" localSheetId="0">'[72]Road data'!#REF!</definedName>
    <definedName name="R_EW_OMC_Car" localSheetId="1">'[83]Road data'!#REF!</definedName>
    <definedName name="R_EW_OMC_Car" localSheetId="4">'[83]Road data'!#REF!</definedName>
    <definedName name="R_EW_OMC_Car" localSheetId="6">'[83]Road data'!#REF!</definedName>
    <definedName name="R_EW_OMC_Car" localSheetId="5">'[83]Road data'!#REF!</definedName>
    <definedName name="R_EW_OMC_Car" localSheetId="7">'[83]Road data'!#REF!</definedName>
    <definedName name="R_EW_OMC_Car">'[83]Road data'!#REF!</definedName>
    <definedName name="R_EW_OMC_Side" localSheetId="2">'[83]Road data'!#REF!</definedName>
    <definedName name="R_EW_OMC_Side" localSheetId="0">'[72]Road data'!#REF!</definedName>
    <definedName name="R_EW_OMC_Side" localSheetId="1">'[83]Road data'!#REF!</definedName>
    <definedName name="R_EW_OMC_Side" localSheetId="4">'[83]Road data'!#REF!</definedName>
    <definedName name="R_EW_OMC_Side" localSheetId="6">'[83]Road data'!#REF!</definedName>
    <definedName name="R_EW_OMC_Side" localSheetId="5">'[83]Road data'!#REF!</definedName>
    <definedName name="R_EW_OMC_Side" localSheetId="7">'[83]Road data'!#REF!</definedName>
    <definedName name="R_EW_OMC_Side">'[83]Road data'!#REF!</definedName>
    <definedName name="R_EW_S" localSheetId="0">'[76]Road data'!$K$33</definedName>
    <definedName name="R_EW_S" localSheetId="4">'[77]Road data'!$K$33</definedName>
    <definedName name="R_EW_S">'[237]Road data'!$K$30</definedName>
    <definedName name="R_EW_T" localSheetId="0">'[76]Road data'!#REF!</definedName>
    <definedName name="R_EW_T" localSheetId="4">'[77]Road data'!#REF!</definedName>
    <definedName name="R_EW_T">'[237]Road data'!$K$83</definedName>
    <definedName name="R_EW_Trench" localSheetId="2">'[83]Road data'!#REF!</definedName>
    <definedName name="R_EW_Trench" localSheetId="0">'[72]Road data'!#REF!</definedName>
    <definedName name="R_EW_Trench" localSheetId="1">'[83]Road data'!#REF!</definedName>
    <definedName name="R_EW_Trench" localSheetId="4">'[83]Road data'!#REF!</definedName>
    <definedName name="R_EW_Trench" localSheetId="6">'[83]Road data'!#REF!</definedName>
    <definedName name="R_EW_Trench" localSheetId="5">'[83]Road data'!#REF!</definedName>
    <definedName name="R_EW_Trench" localSheetId="7">'[83]Road data'!#REF!</definedName>
    <definedName name="R_EW_Trench">'[83]Road data'!#REF!</definedName>
    <definedName name="R_EW_USS" localSheetId="0">'[76]Road data'!#REF!</definedName>
    <definedName name="R_EW_USS" localSheetId="4">'[77]Road data'!#REF!</definedName>
    <definedName name="R_EW_USS">'[237]Road data'!$K$106</definedName>
    <definedName name="R_FILL_INB_BODY" localSheetId="0">'[76]Road data'!#REF!</definedName>
    <definedName name="R_FILL_INB_BODY" localSheetId="4">'[77]Road data'!#REF!</definedName>
    <definedName name="R_FILL_INB_BODY">'[237]Road data'!$K$1037</definedName>
    <definedName name="R_FILTER_ABUT" localSheetId="0">'[76]Road data'!#REF!</definedName>
    <definedName name="R_FILTER_ABUT" localSheetId="4">'[77]Road data'!#REF!</definedName>
    <definedName name="R_FILTER_ABUT">'[237]Road data'!$K$1416</definedName>
    <definedName name="R_FILTER_BPITCH" localSheetId="0">'[76]Road data'!#REF!</definedName>
    <definedName name="R_FILTER_BPITCH" localSheetId="4">'[77]Road data'!#REF!</definedName>
    <definedName name="R_FILTER_BPITCH">'[237]Road data'!$K$1078</definedName>
    <definedName name="R_G2_22B_AS_PR" localSheetId="0">'[76]Road data'!#REF!</definedName>
    <definedName name="R_G2_22B_AS_PR" localSheetId="4">'[77]Road data'!#REF!</definedName>
    <definedName name="R_G2_22B_AS_PR">'[237]Road data'!$K$199</definedName>
    <definedName name="R_G2_22B_AS_VR" localSheetId="0">'[76]Road data'!#REF!</definedName>
    <definedName name="R_G2_22B_AS_VR" localSheetId="4">'[77]Road data'!#REF!</definedName>
    <definedName name="R_G2_22B_AS_VR">'[237]Road data'!$K$305</definedName>
    <definedName name="R_G2_45B_AS_PR" localSheetId="0">'[76]Road data'!#REF!</definedName>
    <definedName name="R_G2_45B_AS_PR" localSheetId="4">'[77]Road data'!#REF!</definedName>
    <definedName name="R_G2_45B_AS_PR">'[237]Road data'!$K$252</definedName>
    <definedName name="R_G2_45B_AS_VR" localSheetId="0">'[76]Road data'!#REF!</definedName>
    <definedName name="R_G2_45B_AS_VR" localSheetId="4">'[77]Road data'!#REF!</definedName>
    <definedName name="R_G2_45B_AS_VR">'[237]Road data'!$K$358</definedName>
    <definedName name="R_G3_22B_BS_PR" localSheetId="0">'[76]Road data'!#REF!</definedName>
    <definedName name="R_G3_22B_BS_PR" localSheetId="4">'[77]Road data'!#REF!</definedName>
    <definedName name="R_G3_22B_BS_PR">'[237]Road data'!$K$225</definedName>
    <definedName name="R_G3_22B_BS_VR" localSheetId="0">'[76]Road data'!#REF!</definedName>
    <definedName name="R_G3_22B_BS_VR" localSheetId="4">'[77]Road data'!#REF!</definedName>
    <definedName name="R_G3_22B_BS_VR">'[237]Road data'!$K$331</definedName>
    <definedName name="R_G3_45B_BS_PR" localSheetId="0">'[76]Road data'!#REF!</definedName>
    <definedName name="R_G3_45B_BS_PR" localSheetId="4">'[77]Road data'!#REF!</definedName>
    <definedName name="R_G3_45B_BS_PR">'[237]Road data'!$K$278</definedName>
    <definedName name="R_G3_45B_BS_VR" localSheetId="0">'[76]Road data'!#REF!</definedName>
    <definedName name="R_G3_45B_BS_VR" localSheetId="4">'[77]Road data'!#REF!</definedName>
    <definedName name="R_G3_45B_BS_VR">'[237]Road data'!$K$384</definedName>
    <definedName name="R_Gravel_between" localSheetId="0">'[72]Road data'!$K$364</definedName>
    <definedName name="R_Gravel_between">'[73]Road data'!$K$364</definedName>
    <definedName name="R_Gravel_Pipebedding" localSheetId="0">'[72]Road data'!$K$330</definedName>
    <definedName name="R_Gravel_Pipebedding">'[73]Road data'!$K$330</definedName>
    <definedName name="R_Gravel_Quardrent" localSheetId="2">'[83]Road data'!#REF!</definedName>
    <definedName name="R_Gravel_Quardrent" localSheetId="0">'[72]Road data'!#REF!</definedName>
    <definedName name="R_Gravel_Quardrent" localSheetId="1">'[83]Road data'!#REF!</definedName>
    <definedName name="R_Gravel_Quardrent" localSheetId="4">'[83]Road data'!#REF!</definedName>
    <definedName name="R_Gravel_Quardrent" localSheetId="6">'[83]Road data'!#REF!</definedName>
    <definedName name="R_Gravel_Quardrent" localSheetId="5">'[83]Road data'!#REF!</definedName>
    <definedName name="R_Gravel_Quardrent" localSheetId="7">'[83]Road data'!#REF!</definedName>
    <definedName name="R_Gravel_Quardrent">'[83]Road data'!#REF!</definedName>
    <definedName name="R_GravelShoulders" localSheetId="0">'[72]Road data'!$K$273</definedName>
    <definedName name="R_GravelShoulders">'[83]Road data'!$K$273</definedName>
    <definedName name="R_GROUT_REV" localSheetId="0">'[76]Road data'!#REF!</definedName>
    <definedName name="R_GROUT_REV" localSheetId="4">'[77]Road data'!#REF!</definedName>
    <definedName name="R_GROUT_REV">'[237]Road data'!$K$1367</definedName>
    <definedName name="R_GS" localSheetId="0">'[76]Road data'!#REF!</definedName>
    <definedName name="R_GS" localSheetId="4">'[77]Road data'!#REF!</definedName>
    <definedName name="R_GS">'[237]Road data'!$K$716</definedName>
    <definedName name="R_GSB" localSheetId="0">'[76]Road data'!$K$93</definedName>
    <definedName name="R_GSB" localSheetId="4">'[77]Road data'!$K$93</definedName>
    <definedName name="R_GSB">'[237]Road data'!$K$133</definedName>
    <definedName name="R_HP_1000" localSheetId="0">'[76]Road data'!$K$399</definedName>
    <definedName name="R_HP_1000" localSheetId="4">'[77]Road data'!$K$399</definedName>
    <definedName name="R_HP_1000">'[237]Road data'!$K$1014</definedName>
    <definedName name="R_HP_600" localSheetId="0">'[76]Road data'!#REF!</definedName>
    <definedName name="R_HP_600" localSheetId="4">'[77]Road data'!#REF!</definedName>
    <definedName name="R_HP_600">'[237]Road data'!$K$980</definedName>
    <definedName name="R_HP_800" localSheetId="0">'[236]Road data'!$K$997</definedName>
    <definedName name="R_HP_800" localSheetId="4">'[83]Road data'!#REF!</definedName>
    <definedName name="R_HP_800">'[237]Road data'!$K$997</definedName>
    <definedName name="R_HPL_600" localSheetId="0">'[72]Road data'!$K$353</definedName>
    <definedName name="R_HPL_600">'[73]Road data'!$K$353</definedName>
    <definedName name="R_HPL_800" localSheetId="2">'[83]Road data'!#REF!</definedName>
    <definedName name="R_HPL_800" localSheetId="0">'[72]Road data'!#REF!</definedName>
    <definedName name="R_HPL_800" localSheetId="1">'[83]Road data'!#REF!</definedName>
    <definedName name="R_HPL_800" localSheetId="4">'[83]Road data'!#REF!</definedName>
    <definedName name="R_HPL_800" localSheetId="6">'[83]Road data'!#REF!</definedName>
    <definedName name="R_HPL_800" localSheetId="5">'[83]Road data'!#REF!</definedName>
    <definedName name="R_HPL_800" localSheetId="7">'[83]Road data'!#REF!</definedName>
    <definedName name="R_HPL_800">'[83]Road data'!#REF!</definedName>
    <definedName name="R_HYSD_FOUND" localSheetId="0">'[76]Road data'!#REF!</definedName>
    <definedName name="R_HYSD_FOUND" localSheetId="4">'[77]Road data'!#REF!</definedName>
    <definedName name="R_HYSD_FOUND">'[237]Road data'!$K$1473</definedName>
    <definedName name="R_HYSD_SUB" localSheetId="0">'[76]Road data'!#REF!</definedName>
    <definedName name="R_HYSD_SUB" localSheetId="4">'[77]Road data'!#REF!</definedName>
    <definedName name="R_HYSD_SUB">'[237]Road data'!$K$1454</definedName>
    <definedName name="R_HYSD_SUPER" localSheetId="0">'[76]Road data'!#REF!</definedName>
    <definedName name="R_HYSD_SUPER" localSheetId="4">'[77]Road data'!#REF!</definedName>
    <definedName name="R_HYSD_SUPER">'[237]Road data'!$K$1435</definedName>
    <definedName name="R_HYSD415_FUN">'[252]ROAD DATA'!$J$674</definedName>
    <definedName name="R_M10_base" localSheetId="2">'[83]Road data'!#REF!</definedName>
    <definedName name="R_M10_base" localSheetId="0">'[72]Road data'!#REF!</definedName>
    <definedName name="R_M10_base" localSheetId="1">'[83]Road data'!#REF!</definedName>
    <definedName name="R_M10_base" localSheetId="4">'[83]Road data'!#REF!</definedName>
    <definedName name="R_M10_base" localSheetId="6">'[83]Road data'!#REF!</definedName>
    <definedName name="R_M10_base" localSheetId="5">'[83]Road data'!#REF!</definedName>
    <definedName name="R_M10_base" localSheetId="7">'[83]Road data'!#REF!</definedName>
    <definedName name="R_M10_base">'[83]Road data'!#REF!</definedName>
    <definedName name="R_M10_bCC" localSheetId="2">'[83]Road data'!#REF!</definedName>
    <definedName name="R_M10_bCC" localSheetId="0">'[72]Road data'!#REF!</definedName>
    <definedName name="R_M10_bCC" localSheetId="1">'[83]Road data'!#REF!</definedName>
    <definedName name="R_M10_bCC" localSheetId="4">'[83]Road data'!#REF!</definedName>
    <definedName name="R_M10_bCC" localSheetId="6">'[83]Road data'!#REF!</definedName>
    <definedName name="R_M10_bCC" localSheetId="5">'[83]Road data'!#REF!</definedName>
    <definedName name="R_M10_bCC" localSheetId="7">'[83]Road data'!#REF!</definedName>
    <definedName name="R_M10_bCC">'[83]Road data'!#REF!</definedName>
    <definedName name="R_M10_bodywalls" localSheetId="0">'[72]Road data'!$K$317</definedName>
    <definedName name="R_M10_bodywalls">'[83]Road data'!$K$317</definedName>
    <definedName name="R_M10_drains" localSheetId="2">'[83]Road data'!#REF!</definedName>
    <definedName name="R_M10_drains" localSheetId="0">'[72]Road data'!#REF!</definedName>
    <definedName name="R_M10_drains" localSheetId="1">'[83]Road data'!#REF!</definedName>
    <definedName name="R_M10_drains" localSheetId="4">'[83]Road data'!#REF!</definedName>
    <definedName name="R_M10_drains" localSheetId="6">'[83]Road data'!#REF!</definedName>
    <definedName name="R_M10_drains" localSheetId="5">'[83]Road data'!#REF!</definedName>
    <definedName name="R_M10_drains" localSheetId="7">'[83]Road data'!#REF!</definedName>
    <definedName name="R_M10_drains">'[83]Road data'!#REF!</definedName>
    <definedName name="R_M10_found" localSheetId="0">'[72]Road data'!$K$306</definedName>
    <definedName name="R_M10_found">'[83]Road data'!$K$306</definedName>
    <definedName name="R_M15_DIVIDERS" localSheetId="0">'[76]Road data'!#REF!</definedName>
    <definedName name="R_M15_DIVIDERS" localSheetId="4">'[77]Road data'!#REF!</definedName>
    <definedName name="R_M15_DIVIDERS">'[237]Road data'!$K$1538</definedName>
    <definedName name="R_M15_footing" localSheetId="2">'[83]Road data'!#REF!</definedName>
    <definedName name="R_M15_footing" localSheetId="0">'[72]Road data'!#REF!</definedName>
    <definedName name="R_M15_footing" localSheetId="1">'[83]Road data'!#REF!</definedName>
    <definedName name="R_M15_footing" localSheetId="4">'[83]Road data'!#REF!</definedName>
    <definedName name="R_M15_footing" localSheetId="6">'[83]Road data'!#REF!</definedName>
    <definedName name="R_M15_footing" localSheetId="5">'[83]Road data'!#REF!</definedName>
    <definedName name="R_M15_footing" localSheetId="7">'[83]Road data'!#REF!</definedName>
    <definedName name="R_M15_footing">'[83]Road data'!#REF!</definedName>
    <definedName name="R_M15_FOUND" localSheetId="0">'[76]Road data'!#REF!</definedName>
    <definedName name="R_M15_FOUND" localSheetId="4">'[77]Road data'!#REF!</definedName>
    <definedName name="R_M15_FOUND">'[237]Road data'!$K$1107</definedName>
    <definedName name="R_M15_LEVEL" localSheetId="0">'[76]Road data'!#REF!</definedName>
    <definedName name="R_M15_LEVEL" localSheetId="4">'[77]Road data'!#REF!</definedName>
    <definedName name="R_M15_LEVEL">'[237]Road data'!$K$1328</definedName>
    <definedName name="R_M15_SUB" localSheetId="0">'[76]Road data'!#REF!</definedName>
    <definedName name="R_M15_SUB" localSheetId="4">'[77]Road data'!#REF!</definedName>
    <definedName name="R_M15_SUB">'[237]Road data'!$K$1136</definedName>
    <definedName name="R_M20_BedBack" localSheetId="2">'[83]Road data'!#REF!</definedName>
    <definedName name="R_M20_BedBack" localSheetId="0">'[72]Road data'!#REF!</definedName>
    <definedName name="R_M20_BedBack" localSheetId="1">'[83]Road data'!#REF!</definedName>
    <definedName name="R_M20_BedBack" localSheetId="4">'[83]Road data'!#REF!</definedName>
    <definedName name="R_M20_BedBack" localSheetId="6">'[83]Road data'!#REF!</definedName>
    <definedName name="R_M20_BedBack" localSheetId="5">'[83]Road data'!#REF!</definedName>
    <definedName name="R_M20_BedBack" localSheetId="7">'[83]Road data'!#REF!</definedName>
    <definedName name="R_M20_BedBack">'[83]Road data'!#REF!</definedName>
    <definedName name="R_M20_COVER" localSheetId="2">'[83]Road data'!#REF!</definedName>
    <definedName name="R_M20_COVER" localSheetId="0">'[72]Road data'!#REF!</definedName>
    <definedName name="R_M20_COVER" localSheetId="1">'[83]Road data'!#REF!</definedName>
    <definedName name="R_M20_COVER" localSheetId="4">'[83]Road data'!#REF!</definedName>
    <definedName name="R_M20_COVER" localSheetId="6">'[83]Road data'!#REF!</definedName>
    <definedName name="R_M20_COVER" localSheetId="5">'[83]Road data'!#REF!</definedName>
    <definedName name="R_M20_COVER" localSheetId="7">'[83]Road data'!#REF!</definedName>
    <definedName name="R_M20_COVER">'[83]Road data'!#REF!</definedName>
    <definedName name="R_M20_DECKSLAB" localSheetId="0">'[72]Road data'!#REF!</definedName>
    <definedName name="R_M20_DECKSLAB" localSheetId="5">'[83]Road data'!#REF!</definedName>
    <definedName name="R_M20_DECKSLAB">'[83]Road data'!#REF!</definedName>
    <definedName name="R_M20R_BEDBLOCKS" localSheetId="0">'[76]Road data'!#REF!</definedName>
    <definedName name="R_M20R_BEDBLOCKS" localSheetId="4">'[77]Road data'!#REF!</definedName>
    <definedName name="R_M20R_BEDBLOCKS">'[237]Road data'!$K$1164</definedName>
    <definedName name="R_M20R_COVER_SLAB" localSheetId="0">'[76]Road data'!#REF!</definedName>
    <definedName name="R_M20R_COVER_SLAB" localSheetId="4">'[77]Road data'!#REF!</definedName>
    <definedName name="R_M20R_COVER_SLAB">'[237]Road data'!$K$1566</definedName>
    <definedName name="R_M20R_DECK" localSheetId="0">'[76]Road data'!#REF!</definedName>
    <definedName name="R_M20R_DECK" localSheetId="4">'[77]Road data'!#REF!</definedName>
    <definedName name="R_M20R_DECK">'[237]Road data'!$K$1192</definedName>
    <definedName name="R_M20R_RAIL" localSheetId="0">'[76]Road data'!#REF!</definedName>
    <definedName name="R_M20R_RAIL" localSheetId="4">'[77]Road data'!#REF!</definedName>
    <definedName name="R_M20R_RAIL">'[237]Road data'!$K$1301</definedName>
    <definedName name="R_M25_ApproachSlab" localSheetId="2">'[83]Road data'!#REF!</definedName>
    <definedName name="R_M25_ApproachSlab" localSheetId="0">'[72]Road data'!#REF!</definedName>
    <definedName name="R_M25_ApproachSlab" localSheetId="1">'[83]Road data'!#REF!</definedName>
    <definedName name="R_M25_ApproachSlab" localSheetId="4">'[83]Road data'!#REF!</definedName>
    <definedName name="R_M25_ApproachSlab" localSheetId="6">'[83]Road data'!#REF!</definedName>
    <definedName name="R_M25_ApproachSlab" localSheetId="5">'[83]Road data'!#REF!</definedName>
    <definedName name="R_M25_ApproachSlab" localSheetId="7">'[83]Road data'!#REF!</definedName>
    <definedName name="R_M25_ApproachSlab">'[83]Road data'!#REF!</definedName>
    <definedName name="R_M25R_APP" localSheetId="0">'[76]Road data'!#REF!</definedName>
    <definedName name="R_M25R_APP" localSheetId="4">'[77]Road data'!#REF!</definedName>
    <definedName name="R_M25R_APP">'[237]Road data'!$K$1249</definedName>
    <definedName name="R_M30_WC" localSheetId="2">'[83]Road data'!#REF!</definedName>
    <definedName name="R_M30_WC" localSheetId="0">'[72]Road data'!#REF!</definedName>
    <definedName name="R_M30_WC" localSheetId="1">'[83]Road data'!#REF!</definedName>
    <definedName name="R_M30_WC" localSheetId="4">'[83]Road data'!#REF!</definedName>
    <definedName name="R_M30_WC" localSheetId="6">'[83]Road data'!#REF!</definedName>
    <definedName name="R_M30_WC" localSheetId="5">'[83]Road data'!#REF!</definedName>
    <definedName name="R_M30_WC" localSheetId="7">'[83]Road data'!#REF!</definedName>
    <definedName name="R_M30_WC">'[83]Road data'!#REF!</definedName>
    <definedName name="R_M30R_WC" localSheetId="0">'[76]Road data'!#REF!</definedName>
    <definedName name="R_M30R_WC" localSheetId="4">'[77]Road data'!#REF!</definedName>
    <definedName name="R_M30R_WC">'[237]Road data'!$K$1220</definedName>
    <definedName name="R_M35_CC" localSheetId="2">'[83]Road data'!#REF!</definedName>
    <definedName name="R_M35_CC" localSheetId="0">'[72]Road data'!#REF!</definedName>
    <definedName name="R_M35_CC" localSheetId="1">'[83]Road data'!#REF!</definedName>
    <definedName name="R_M35_CC" localSheetId="4">'[83]Road data'!#REF!</definedName>
    <definedName name="R_M35_CC" localSheetId="6">'[83]Road data'!#REF!</definedName>
    <definedName name="R_M35_CC" localSheetId="5">'[83]Road data'!#REF!</definedName>
    <definedName name="R_M35_CC" localSheetId="7">'[83]Road data'!#REF!</definedName>
    <definedName name="R_M35_CC">'[83]Road data'!#REF!</definedName>
    <definedName name="R_M35_CCP" localSheetId="0">'[76]Road data'!#REF!</definedName>
    <definedName name="R_M35_CCP" localSheetId="4">'[77]Road data'!#REF!</definedName>
    <definedName name="R_M35_CCP">'[237]Road data'!$K$797</definedName>
    <definedName name="R_M35_FLY_CCP" localSheetId="0">'[76]Road data'!#REF!</definedName>
    <definedName name="R_M35_FLY_CCP" localSheetId="4">'[77]Road data'!#REF!</definedName>
    <definedName name="R_M35_FLY_CCP">'[237]Road data'!$K$859</definedName>
    <definedName name="R_M35_FlyAsh" localSheetId="2">'[83]Road data'!#REF!</definedName>
    <definedName name="R_M35_FlyAsh" localSheetId="0">'[72]Road data'!#REF!</definedName>
    <definedName name="R_M35_FlyAsh" localSheetId="1">'[83]Road data'!#REF!</definedName>
    <definedName name="R_M35_FlyAsh" localSheetId="4">'[83]Road data'!#REF!</definedName>
    <definedName name="R_M35_FlyAsh" localSheetId="6">'[83]Road data'!#REF!</definedName>
    <definedName name="R_M35_FlyAsh" localSheetId="5">'[83]Road data'!#REF!</definedName>
    <definedName name="R_M35_FlyAsh" localSheetId="7">'[83]Road data'!#REF!</definedName>
    <definedName name="R_M35_FlyAsh">'[83]Road data'!#REF!</definedName>
    <definedName name="R_MAST_25.4">'[252]ROAD DATA'!$J$699</definedName>
    <definedName name="R_MILD" localSheetId="0">'[76]Road data'!#REF!</definedName>
    <definedName name="R_MILD" localSheetId="4">'[77]Road data'!#REF!</definedName>
    <definedName name="R_MILD">'[237]Road data'!$K$1492</definedName>
    <definedName name="R_MSS" localSheetId="0">'[76]Road data'!$K$247</definedName>
    <definedName name="R_MSS" localSheetId="4">'[77]Road data'!$K$247</definedName>
    <definedName name="R_MSS">'[237]Road data'!$K$525</definedName>
    <definedName name="R_P_SANDFILL">'[252]HP PIPE  DATA'!$J$59</definedName>
    <definedName name="R_PAINT" localSheetId="0">'[76]Road data'!#REF!</definedName>
    <definedName name="R_PAINT" localSheetId="4">'[77]Road data'!#REF!</definedName>
    <definedName name="R_PAINT">'[237]Road data'!$K$1616</definedName>
    <definedName name="R_Painting" localSheetId="2">'[83]Road data'!#REF!</definedName>
    <definedName name="R_Painting" localSheetId="0">'[72]Road data'!#REF!</definedName>
    <definedName name="R_Painting" localSheetId="1">'[83]Road data'!#REF!</definedName>
    <definedName name="R_Painting" localSheetId="4">'[83]Road data'!#REF!</definedName>
    <definedName name="R_Painting" localSheetId="6">'[83]Road data'!#REF!</definedName>
    <definedName name="R_Painting" localSheetId="5">'[83]Road data'!#REF!</definedName>
    <definedName name="R_Painting" localSheetId="7">'[83]Road data'!#REF!</definedName>
    <definedName name="R_Painting">'[83]Road data'!#REF!</definedName>
    <definedName name="R_Pick" localSheetId="0">'[221]Road data'!$K$88</definedName>
    <definedName name="R_Pick">'[253]Road data'!$K$88</definedName>
    <definedName name="R_PLAST" localSheetId="0">'[76]Road data'!#REF!</definedName>
    <definedName name="R_PLAST" localSheetId="4">'[77]Road data'!#REF!</definedName>
    <definedName name="R_PLAST">'[237]Road data'!$K$1585</definedName>
    <definedName name="R_PLAST_CUM" localSheetId="2">'[77]Road data'!#REF!</definedName>
    <definedName name="R_PLAST_CUM" localSheetId="0">'[76]Road data'!#REF!</definedName>
    <definedName name="R_PLAST_CUM" localSheetId="1">'[77]Road data'!#REF!</definedName>
    <definedName name="R_PLAST_CUM" localSheetId="4">'[77]Road data'!#REF!</definedName>
    <definedName name="R_PLAST_CUM" localSheetId="6">'[77]Road data'!#REF!</definedName>
    <definedName name="R_PLAST_CUM" localSheetId="5">'[77]Road data'!#REF!</definedName>
    <definedName name="R_PLAST_CUM" localSheetId="7">'[77]Road data'!#REF!</definedName>
    <definedName name="R_PLAST_CUM">'[77]Road data'!#REF!</definedName>
    <definedName name="R_PLAST_SQM" localSheetId="2">'[77]Road data'!#REF!</definedName>
    <definedName name="R_PLAST_SQM" localSheetId="0">'[76]Road data'!#REF!</definedName>
    <definedName name="R_PLAST_SQM" localSheetId="1">'[77]Road data'!#REF!</definedName>
    <definedName name="R_PLAST_SQM" localSheetId="4">'[77]Road data'!#REF!</definedName>
    <definedName name="R_PLAST_SQM" localSheetId="6">'[77]Road data'!#REF!</definedName>
    <definedName name="R_PLAST_SQM" localSheetId="5">'[77]Road data'!#REF!</definedName>
    <definedName name="R_PLAST_SQM" localSheetId="7">'[77]Road data'!#REF!</definedName>
    <definedName name="R_PLAST_SQM">'[77]Road data'!#REF!</definedName>
    <definedName name="R_Plastering" localSheetId="0">'[72]Road data'!#REF!</definedName>
    <definedName name="R_Plastering" localSheetId="5">'[83]Road data'!#REF!</definedName>
    <definedName name="R_Plastering">'[83]Road data'!#REF!</definedName>
    <definedName name="R_Rev_A300" localSheetId="0">'[72]Road data'!#REF!</definedName>
    <definedName name="R_Rev_A300" localSheetId="5">'[83]Road data'!#REF!</definedName>
    <definedName name="R_Rev_A300">'[83]Road data'!#REF!</definedName>
    <definedName name="R_Rev_Q300" localSheetId="0">'[72]Road data'!#REF!</definedName>
    <definedName name="R_Rev_Q300" localSheetId="5">'[83]Road data'!#REF!</definedName>
    <definedName name="R_Rev_Q300">'[83]Road data'!#REF!</definedName>
    <definedName name="R_REV300" localSheetId="0">'[76]Road data'!#REF!</definedName>
    <definedName name="R_REV300" localSheetId="4">'[77]Road data'!#REF!</definedName>
    <definedName name="R_REV300">'[237]Road data'!$K$1057</definedName>
    <definedName name="R_SANDFILL" localSheetId="0">'[76]Road data'!#REF!</definedName>
    <definedName name="R_SANDFILL" localSheetId="4">'[77]Road data'!#REF!</definedName>
    <definedName name="R_SANDFILL">'[237]Road data'!$K$1509</definedName>
    <definedName name="R_SandFILLING" localSheetId="2">'[83]Road data'!#REF!</definedName>
    <definedName name="R_SandFILLING" localSheetId="0">'[72]Road data'!#REF!</definedName>
    <definedName name="R_SandFILLING" localSheetId="1">'[83]Road data'!#REF!</definedName>
    <definedName name="R_SandFILLING" localSheetId="4">'[83]Road data'!#REF!</definedName>
    <definedName name="R_SandFILLING" localSheetId="6">'[83]Road data'!#REF!</definedName>
    <definedName name="R_SandFILLING" localSheetId="5">'[83]Road data'!#REF!</definedName>
    <definedName name="R_SandFILLING" localSheetId="7">'[83]Road data'!#REF!</definedName>
    <definedName name="R_SandFILLING">'[83]Road data'!#REF!</definedName>
    <definedName name="R_SCAR_BT" localSheetId="0">'[76]Road data'!$K$132</definedName>
    <definedName name="R_SCAR_BT" localSheetId="4">'[77]Road data'!$K$132</definedName>
    <definedName name="R_SCAR_BT">'[237]Road data'!$K$172</definedName>
    <definedName name="R_SCAR_GRA" localSheetId="0">'[76]Road data'!$K$111</definedName>
    <definedName name="R_SCAR_GRA" localSheetId="4">'[77]Road data'!$K$111</definedName>
    <definedName name="R_SCAR_GRA">'[237]Road data'!$K$151</definedName>
    <definedName name="R_Scar_GSB" localSheetId="2">'[83]Road data'!#REF!</definedName>
    <definedName name="R_Scar_GSB" localSheetId="0">'[72]Road data'!#REF!</definedName>
    <definedName name="R_Scar_GSB" localSheetId="1">'[83]Road data'!#REF!</definedName>
    <definedName name="R_Scar_GSB" localSheetId="4">'[83]Road data'!#REF!</definedName>
    <definedName name="R_Scar_GSB" localSheetId="6">'[83]Road data'!#REF!</definedName>
    <definedName name="R_Scar_GSB" localSheetId="5">'[83]Road data'!#REF!</definedName>
    <definedName name="R_Scar_GSB" localSheetId="7">'[83]Road data'!#REF!</definedName>
    <definedName name="R_Scar_GSB">'[83]Road data'!#REF!</definedName>
    <definedName name="R_SCSD" localSheetId="2">'[237]Road data'!#REF!</definedName>
    <definedName name="R_SCSD" localSheetId="0">'[236]Road data'!#REF!</definedName>
    <definedName name="R_SCSD" localSheetId="1">'[237]Road data'!#REF!</definedName>
    <definedName name="R_SCSD" localSheetId="4">'[237]Road data'!#REF!</definedName>
    <definedName name="R_SCSD" localSheetId="6">'[237]Road data'!#REF!</definedName>
    <definedName name="R_SCSD" localSheetId="5">'[237]Road data'!#REF!</definedName>
    <definedName name="R_SCSD" localSheetId="7">'[237]Road data'!#REF!</definedName>
    <definedName name="R_SCSD">'[237]Road data'!#REF!</definedName>
    <definedName name="R_SCSD_6070" localSheetId="0">'[76]Road data'!#REF!</definedName>
    <definedName name="R_SCSD_6070" localSheetId="4">'[77]Road data'!#REF!</definedName>
    <definedName name="R_SCSD_6070">'[237]Road data'!$K$473</definedName>
    <definedName name="R_SCSD_80100" localSheetId="0">'[76]Road data'!$K$194</definedName>
    <definedName name="R_SCSD_80100" localSheetId="4">'[77]Road data'!$K$194</definedName>
    <definedName name="R_SCSD_80100">'[237]Road data'!$K$444</definedName>
    <definedName name="R_SDBC" localSheetId="0">'[76]Road data'!$K$283</definedName>
    <definedName name="R_SDBC" localSheetId="4">'[77]Road data'!$K$283</definedName>
    <definedName name="R_SDBC">'[237]Road data'!$K$560</definedName>
    <definedName name="R_TACK" localSheetId="0">'[76]Road data'!$K$218</definedName>
    <definedName name="R_TACK" localSheetId="4">'[77]Road data'!$K$218</definedName>
    <definedName name="R_TACK">'[237]Road data'!$K$496</definedName>
    <definedName name="R_WBM2" localSheetId="2">'[83]Road data'!#REF!</definedName>
    <definedName name="R_WBM2" localSheetId="0">'[72]Road data'!#REF!</definedName>
    <definedName name="R_WBM2" localSheetId="1">'[83]Road data'!#REF!</definedName>
    <definedName name="R_WBM2" localSheetId="4">'[83]Road data'!#REF!</definedName>
    <definedName name="R_WBM2" localSheetId="6">'[83]Road data'!#REF!</definedName>
    <definedName name="R_WBM2" localSheetId="5">'[83]Road data'!#REF!</definedName>
    <definedName name="R_WBM2" localSheetId="7">'[83]Road data'!#REF!</definedName>
    <definedName name="R_WBM2">'[83]Road data'!#REF!</definedName>
    <definedName name="R_WBM2_HS" localSheetId="0">'[72]Road data'!$K$106</definedName>
    <definedName name="R_WBM2_HS">'[83]Road data'!$K$106</definedName>
    <definedName name="R_WBM2_HVR" localSheetId="2">'[83]Road data'!#REF!</definedName>
    <definedName name="R_WBM2_HVR" localSheetId="0">'[72]Road data'!#REF!</definedName>
    <definedName name="R_WBM2_HVR" localSheetId="1">'[83]Road data'!#REF!</definedName>
    <definedName name="R_WBM2_HVR" localSheetId="4">'[83]Road data'!#REF!</definedName>
    <definedName name="R_WBM2_HVR" localSheetId="6">'[83]Road data'!#REF!</definedName>
    <definedName name="R_WBM2_HVR" localSheetId="5">'[83]Road data'!#REF!</definedName>
    <definedName name="R_WBM2_HVR" localSheetId="7">'[83]Road data'!#REF!</definedName>
    <definedName name="R_WBM2_HVR">'[83]Road data'!#REF!</definedName>
    <definedName name="R_WBM2_MCS" localSheetId="2">'[83]Road data'!#REF!</definedName>
    <definedName name="R_WBM2_MCS" localSheetId="0">'[72]Road data'!#REF!</definedName>
    <definedName name="R_WBM2_MCS" localSheetId="1">'[83]Road data'!#REF!</definedName>
    <definedName name="R_WBM2_MCS" localSheetId="4">'[83]Road data'!#REF!</definedName>
    <definedName name="R_WBM2_MCS" localSheetId="6">'[83]Road data'!#REF!</definedName>
    <definedName name="R_WBM2_MCS" localSheetId="5">'[83]Road data'!#REF!</definedName>
    <definedName name="R_WBM2_MCS" localSheetId="7">'[83]Road data'!#REF!</definedName>
    <definedName name="R_WBM2_MCS">'[83]Road data'!#REF!</definedName>
    <definedName name="R_WBM3" localSheetId="0">'[72]Road data'!#REF!</definedName>
    <definedName name="R_WBM3" localSheetId="5">'[83]Road data'!#REF!</definedName>
    <definedName name="R_WBM3">'[83]Road data'!#REF!</definedName>
    <definedName name="R_WBM3_HS" localSheetId="0">'[72]Road data'!$K$132</definedName>
    <definedName name="R_WBM3_HS">'[83]Road data'!$K$132</definedName>
    <definedName name="R_WBM3_HVR" localSheetId="2">'[83]Road data'!#REF!</definedName>
    <definedName name="R_WBM3_HVR" localSheetId="0">'[72]Road data'!#REF!</definedName>
    <definedName name="R_WBM3_HVR" localSheetId="1">'[83]Road data'!#REF!</definedName>
    <definedName name="R_WBM3_HVR" localSheetId="4">'[83]Road data'!#REF!</definedName>
    <definedName name="R_WBM3_HVR" localSheetId="6">'[83]Road data'!#REF!</definedName>
    <definedName name="R_WBM3_HVR" localSheetId="5">'[83]Road data'!#REF!</definedName>
    <definedName name="R_WBM3_HVR" localSheetId="7">'[83]Road data'!#REF!</definedName>
    <definedName name="R_WBM3_HVR">'[83]Road data'!#REF!</definedName>
    <definedName name="R_WBM3_MCS" localSheetId="2">'[83]Road data'!#REF!</definedName>
    <definedName name="R_WBM3_MCS" localSheetId="0">'[72]Road data'!#REF!</definedName>
    <definedName name="R_WBM3_MCS" localSheetId="1">'[83]Road data'!#REF!</definedName>
    <definedName name="R_WBM3_MCS" localSheetId="4">'[83]Road data'!#REF!</definedName>
    <definedName name="R_WBM3_MCS" localSheetId="6">'[83]Road data'!#REF!</definedName>
    <definedName name="R_WBM3_MCS" localSheetId="5">'[83]Road data'!#REF!</definedName>
    <definedName name="R_WBM3_MCS" localSheetId="7">'[83]Road data'!#REF!</definedName>
    <definedName name="R_WBM3_MCS">'[83]Road data'!#REF!</definedName>
    <definedName name="R_Weepholes" localSheetId="0">'[72]Road data'!#REF!</definedName>
    <definedName name="R_Weepholes" localSheetId="5">'[83]Road data'!#REF!</definedName>
    <definedName name="R_Weepholes">'[83]Road data'!#REF!</definedName>
    <definedName name="R_WMM" localSheetId="0">'[76]Road data'!$K$164</definedName>
    <definedName name="R_WMM" localSheetId="4">'[77]Road data'!$K$164</definedName>
    <definedName name="R_WMM">'[237]Road data'!$K$415</definedName>
    <definedName name="RA" localSheetId="2">[254]GEN_abstrct!#REF!</definedName>
    <definedName name="RA" localSheetId="1">[254]GEN_abstrct!#REF!</definedName>
    <definedName name="RA" localSheetId="4">[254]GEN_abstrct!#REF!</definedName>
    <definedName name="RA" localSheetId="6">[254]GEN_abstrct!#REF!</definedName>
    <definedName name="RA" localSheetId="5">[254]GEN_abstrct!#REF!</definedName>
    <definedName name="RA" localSheetId="7">[254]GEN_abstrct!#REF!</definedName>
    <definedName name="RA">[254]GEN_abstrct!#REF!</definedName>
    <definedName name="raa">#N/A</definedName>
    <definedName name="raaa" hidden="1">{"'Sheet1'!$A$4386:$N$4591"}</definedName>
    <definedName name="raf">[162]Material!$D$130</definedName>
    <definedName name="raffs">'[162]Plant &amp;  Machinery'!$G$13</definedName>
    <definedName name="rafi">'[162]Plant &amp;  Machinery'!$G$4</definedName>
    <definedName name="RAJ" localSheetId="2">[133]GEN_abstrct!#REF!</definedName>
    <definedName name="RAJ" localSheetId="1">[133]GEN_abstrct!#REF!</definedName>
    <definedName name="RAJ" localSheetId="4">[133]GEN_abstrct!#REF!</definedName>
    <definedName name="RAJ" localSheetId="6">[133]GEN_abstrct!#REF!</definedName>
    <definedName name="RAJ" localSheetId="5">[133]GEN_abstrct!#REF!</definedName>
    <definedName name="RAJ" localSheetId="7">[133]GEN_abstrct!#REF!</definedName>
    <definedName name="RAJ">[133]GEN_abstrct!#REF!</definedName>
    <definedName name="raja">#N/A</definedName>
    <definedName name="raju" localSheetId="0">#REF!</definedName>
    <definedName name="raju" localSheetId="7">#REF!</definedName>
    <definedName name="raju">[162]Material!$D$126</definedName>
    <definedName name="ram">[162]Material!$D$129</definedName>
    <definedName name="raMA" localSheetId="2">[255]Data!#REF!</definedName>
    <definedName name="raMA" localSheetId="1">[255]Data!#REF!</definedName>
    <definedName name="raMA" localSheetId="4">[255]Data!#REF!</definedName>
    <definedName name="raMA" localSheetId="6">[255]Data!#REF!</definedName>
    <definedName name="raMA" localSheetId="5">[255]Data!#REF!</definedName>
    <definedName name="raMA" localSheetId="7">[255]Data!#REF!</definedName>
    <definedName name="raMA">[255]Data!#REF!</definedName>
    <definedName name="ran" localSheetId="0">#REF!</definedName>
    <definedName name="ran" localSheetId="7">#REF!</definedName>
    <definedName name="ran">#REF!</definedName>
    <definedName name="rat">[162]Material!$D$51</definedName>
    <definedName name="rate">'[256]lead-st'!$L$12</definedName>
    <definedName name="rate12" localSheetId="0">'[27]lead-st'!$L$9</definedName>
    <definedName name="rate12">'[21]lead-st'!$L$9</definedName>
    <definedName name="rate20" localSheetId="0">'[27]lead-st'!$L$8</definedName>
    <definedName name="rate20">'[21]lead-st'!$L$8</definedName>
    <definedName name="rate40" localSheetId="0">'[27]lead-st'!$L$7</definedName>
    <definedName name="rate40">'[21]lead-st'!$L$7</definedName>
    <definedName name="ratecrs" localSheetId="0">'[27]lead-st'!$L$12</definedName>
    <definedName name="ratecrs">'[21]lead-st'!$L$12</definedName>
    <definedName name="raterough" localSheetId="0">'[27]lead-st'!$L$13</definedName>
    <definedName name="raterough">'[21]lead-st'!$L$13</definedName>
    <definedName name="raterr" localSheetId="0">'[27]lead-st'!$L$11</definedName>
    <definedName name="raterr">'[21]lead-st'!$L$11</definedName>
    <definedName name="rates" localSheetId="2">#REF!</definedName>
    <definedName name="rates" localSheetId="1">#REF!</definedName>
    <definedName name="rates" localSheetId="4">#REF!</definedName>
    <definedName name="rates" localSheetId="6">#REF!</definedName>
    <definedName name="rates" localSheetId="5">#REF!</definedName>
    <definedName name="rates" localSheetId="7">#REF!</definedName>
    <definedName name="rates">#REF!</definedName>
    <definedName name="rates1" localSheetId="5">#REF!</definedName>
    <definedName name="rates1" localSheetId="7">#REF!</definedName>
    <definedName name="rates1">#REF!</definedName>
    <definedName name="rates11" localSheetId="5">#REF!</definedName>
    <definedName name="rates11" localSheetId="7">#REF!</definedName>
    <definedName name="rates11">#REF!</definedName>
    <definedName name="rates4" localSheetId="0">#REF!</definedName>
    <definedName name="rates4" localSheetId="5">#REF!</definedName>
    <definedName name="rates4" localSheetId="7">#REF!</definedName>
    <definedName name="rates4">#REF!</definedName>
    <definedName name="ratesand" localSheetId="0">'[27]lead-st'!$L$10</definedName>
    <definedName name="ratesand">'[21]lead-st'!$L$10</definedName>
    <definedName name="ravi" localSheetId="0">#REF!</definedName>
    <definedName name="ravi" localSheetId="7">#REF!</definedName>
    <definedName name="ravi">#REF!</definedName>
    <definedName name="rax">[162]Material!$D$47</definedName>
    <definedName name="raxs">[171]Material!$D$47</definedName>
    <definedName name="RBW" localSheetId="2">#REF!</definedName>
    <definedName name="RBW" localSheetId="1">#REF!</definedName>
    <definedName name="RBW" localSheetId="4">#REF!</definedName>
    <definedName name="RBW" localSheetId="6">#REF!</definedName>
    <definedName name="RBW" localSheetId="5">#REF!</definedName>
    <definedName name="RBW" localSheetId="7">#REF!</definedName>
    <definedName name="RBW">#REF!</definedName>
    <definedName name="RCArea" localSheetId="5" hidden="1">#REF!</definedName>
    <definedName name="RCArea" localSheetId="7" hidden="1">#REF!</definedName>
    <definedName name="RCArea" hidden="1">#REF!</definedName>
    <definedName name="rcc_mix">'[123]data existing_do not delete'!$F$14:$F$15</definedName>
    <definedName name="rcc_vrcc_mix">'[123]data existing_do not delete'!$G$14:$G$17</definedName>
    <definedName name="RCM__facia__railing" localSheetId="2">[67]Works!#REF!</definedName>
    <definedName name="RCM__facia__railing" localSheetId="1">[67]Works!#REF!</definedName>
    <definedName name="RCM__facia__railing" localSheetId="4">[67]Works!#REF!</definedName>
    <definedName name="RCM__facia__railing" localSheetId="6">[67]Works!#REF!</definedName>
    <definedName name="RCM__facia__railing" localSheetId="5">[67]Works!#REF!</definedName>
    <definedName name="RCM__facia__railing" localSheetId="7">[67]Works!#REF!</definedName>
    <definedName name="RCM__facia__railing">[67]Works!#REF!</definedName>
    <definedName name="_xlnm.Recorder">#REF!</definedName>
    <definedName name="Rectangular_L_beam" localSheetId="2">[67]Works!#REF!</definedName>
    <definedName name="Rectangular_L_beam" localSheetId="1">[67]Works!#REF!</definedName>
    <definedName name="Rectangular_L_beam" localSheetId="4">[67]Works!#REF!</definedName>
    <definedName name="Rectangular_L_beam" localSheetId="6">[67]Works!#REF!</definedName>
    <definedName name="Rectangular_L_beam" localSheetId="5">[67]Works!#REF!</definedName>
    <definedName name="Rectangular_L_beam" localSheetId="7">[67]Works!#REF!</definedName>
    <definedName name="Rectangular_L_beam">[67]Works!#REF!</definedName>
    <definedName name="RECV" localSheetId="0">'[72]abs road'!$K$39</definedName>
    <definedName name="RECV">'[73]abs road'!$K$39</definedName>
    <definedName name="REDDY" localSheetId="2">#REF!</definedName>
    <definedName name="REDDY" localSheetId="0">#REF!</definedName>
    <definedName name="REDDY" localSheetId="1">#REF!</definedName>
    <definedName name="REDDY" localSheetId="4">#REF!</definedName>
    <definedName name="REDDY" localSheetId="6">#REF!</definedName>
    <definedName name="REDDY" localSheetId="5">#REF!</definedName>
    <definedName name="REDDY" localSheetId="7">#REF!</definedName>
    <definedName name="REDDY">#REF!</definedName>
    <definedName name="Removal_of_imponea__cornea" localSheetId="2">#REF!</definedName>
    <definedName name="Removal_of_imponea__cornea" localSheetId="1">#REF!</definedName>
    <definedName name="Removal_of_imponea__cornea" localSheetId="4">#REF!</definedName>
    <definedName name="Removal_of_imponea__cornea" localSheetId="6">#REF!</definedName>
    <definedName name="Removal_of_imponea__cornea" localSheetId="5">#REF!</definedName>
    <definedName name="Removal_of_imponea__cornea" localSheetId="7">#REF!</definedName>
    <definedName name="Removal_of_imponea__cornea">#REF!</definedName>
    <definedName name="Removal_of_Jammu" localSheetId="5">#REF!</definedName>
    <definedName name="Removal_of_Jammu" localSheetId="7">#REF!</definedName>
    <definedName name="Removal_of_Jammu">#REF!</definedName>
    <definedName name="Removal_of_natchu__goobi__thooti_etc.__for_every_extra_lead_or_lift_over_the_initial_lead_or_lift." localSheetId="5">#REF!</definedName>
    <definedName name="Removal_of_natchu__goobi__thooti_etc.__for_every_extra_lead_or_lift_over_the_initial_lead_or_lift." localSheetId="7">#REF!</definedName>
    <definedName name="Removal_of_natchu__goobi__thooti_etc.__for_every_extra_lead_or_lift_over_the_initial_lead_or_lift.">#REF!</definedName>
    <definedName name="Removal_of_water_hyacinth_upto_30_cm_thick." localSheetId="5">#REF!</definedName>
    <definedName name="Removal_of_water_hyacinth_upto_30_cm_thick." localSheetId="7">#REF!</definedName>
    <definedName name="Removal_of_water_hyacinth_upto_30_cm_thick.">#REF!</definedName>
    <definedName name="Removing_of_natchu__goobi__thooti_etc.__from_drains__channels_including_clearance_if_not_more_than_1_metre_depth_of_water_with_an_initial_lead_of_10_metresand_lift_of_2_metres." localSheetId="5">#REF!</definedName>
    <definedName name="Removing_of_natchu__goobi__thooti_etc.__from_drains__channels_including_clearance_if_not_more_than_1_metre_depth_of_water_with_an_initial_lead_of_10_metresand_lift_of_2_metres." localSheetId="7">#REF!</definedName>
    <definedName name="Removing_of_natchu__goobi__thooti_etc.__from_drains__channels_including_clearance_if_not_more_than_1_metre_depth_of_water_with_an_initial_lead_of_10_metresand_lift_of_2_metres.">#REF!</definedName>
    <definedName name="Repalle_Sub">[257]quarry!$A$5:$AA$337</definedName>
    <definedName name="reqq" localSheetId="2">#REF!</definedName>
    <definedName name="reqq" localSheetId="1">#REF!</definedName>
    <definedName name="reqq" localSheetId="4">#REF!</definedName>
    <definedName name="reqq" localSheetId="6">#REF!</definedName>
    <definedName name="reqq" localSheetId="5">#REF!</definedName>
    <definedName name="reqq" localSheetId="7">#REF!</definedName>
    <definedName name="reqq">#REF!</definedName>
    <definedName name="rerfdsfsdfd">'[162]Plant &amp;  Machinery'!$G$4</definedName>
    <definedName name="REVETMENT" localSheetId="2">'[258]Road Detail Est.'!#REF!</definedName>
    <definedName name="REVETMENT" localSheetId="0">'[259]Road Detail Est.'!#REF!</definedName>
    <definedName name="REVETMENT" localSheetId="1">'[258]Road Detail Est.'!#REF!</definedName>
    <definedName name="REVETMENT" localSheetId="4">'[258]Road Detail Est.'!#REF!</definedName>
    <definedName name="REVETMENT" localSheetId="6">'[258]Road Detail Est.'!#REF!</definedName>
    <definedName name="REVETMENT" localSheetId="5">'[258]Road Detail Est.'!#REF!</definedName>
    <definedName name="REVETMENT" localSheetId="7">'[258]Road Detail Est.'!#REF!</definedName>
    <definedName name="REVETMENT">'[258]Road Detail Est.'!#REF!</definedName>
    <definedName name="reyerayshtjrhyutrdhdstrhx" localSheetId="2">'[113]Aug,02'!#REF!</definedName>
    <definedName name="reyerayshtjrhyutrdhdstrhx" localSheetId="1">'[113]Aug,02'!#REF!</definedName>
    <definedName name="reyerayshtjrhyutrdhdstrhx" localSheetId="4">'[113]Aug,02'!#REF!</definedName>
    <definedName name="reyerayshtjrhyutrdhdstrhx" localSheetId="6">'[113]Aug,02'!#REF!</definedName>
    <definedName name="reyerayshtjrhyutrdhdstrhx" localSheetId="5">'[113]Aug,02'!#REF!</definedName>
    <definedName name="reyerayshtjrhyutrdhdstrhx" localSheetId="7">'[113]Aug,02'!#REF!</definedName>
    <definedName name="reyerayshtjrhyutrdhdstrhx">'[113]Aug,02'!#REF!</definedName>
    <definedName name="reysrthftur6us5rudtyd" localSheetId="5">'[113]Aug,02'!#REF!</definedName>
    <definedName name="reysrthftur6us5rudtyd">'[113]Aug,02'!#REF!</definedName>
    <definedName name="rhdsfhfdhbfxdbtrhdf" localSheetId="5">'[113]Aug,02'!#REF!</definedName>
    <definedName name="rhdsfhfdhbfxdbtrhdf">'[113]Aug,02'!#REF!</definedName>
    <definedName name="Ridf4_Prop__2_" localSheetId="2">#REF!</definedName>
    <definedName name="Ridf4_Prop__2_" localSheetId="1">#REF!</definedName>
    <definedName name="Ridf4_Prop__2_" localSheetId="4">#REF!</definedName>
    <definedName name="Ridf4_Prop__2_" localSheetId="6">#REF!</definedName>
    <definedName name="Ridf4_Prop__2_" localSheetId="5">#REF!</definedName>
    <definedName name="Ridf4_Prop__2_" localSheetId="7">#REF!</definedName>
    <definedName name="Ridf4_Prop__2_">#REF!</definedName>
    <definedName name="RLARCAPTAB" localSheetId="0">#REF!</definedName>
    <definedName name="RLARCAPTAB" localSheetId="5">#REF!</definedName>
    <definedName name="RLARCAPTAB" localSheetId="7">#REF!</definedName>
    <definedName name="RLARCAPTAB">#REF!</definedName>
    <definedName name="RLCH" localSheetId="4">#REF!</definedName>
    <definedName name="RLCH" localSheetId="3">#REF!</definedName>
    <definedName name="RLCH" localSheetId="5">#REF!</definedName>
    <definedName name="RLCH" localSheetId="7">#REF!</definedName>
    <definedName name="RLCH">#REF!</definedName>
    <definedName name="rnai">#N/A</definedName>
    <definedName name="rnai_35">#N/A</definedName>
    <definedName name="road" localSheetId="2">[260]Lead!#REF!</definedName>
    <definedName name="road" localSheetId="1">[260]Lead!#REF!</definedName>
    <definedName name="road" localSheetId="4">[260]Lead!#REF!</definedName>
    <definedName name="road" localSheetId="6">[260]Lead!#REF!</definedName>
    <definedName name="road" localSheetId="5">[260]Lead!#REF!</definedName>
    <definedName name="road">[260]Lead!#REF!</definedName>
    <definedName name="Road_Roller" localSheetId="2">#REF!</definedName>
    <definedName name="Road_Roller" localSheetId="1">#REF!</definedName>
    <definedName name="Road_Roller" localSheetId="4">#REF!</definedName>
    <definedName name="Road_Roller" localSheetId="6">#REF!</definedName>
    <definedName name="Road_Roller" localSheetId="5">#REF!</definedName>
    <definedName name="Road_Roller" localSheetId="7">#REF!</definedName>
    <definedName name="Road_Roller">#REF!</definedName>
    <definedName name="Road_Section_No.">'[101]Trunk unpaved'!$A$2:$L$237</definedName>
    <definedName name="Road_Sections_list">'[101]Trunk unpaved'!$A$2:$L$233</definedName>
    <definedName name="Rock_Conv_Table" localSheetId="2">#REF!</definedName>
    <definedName name="Rock_Conv_Table" localSheetId="1">#REF!</definedName>
    <definedName name="Rock_Conv_Table" localSheetId="4">#REF!</definedName>
    <definedName name="Rock_Conv_Table" localSheetId="6">#REF!</definedName>
    <definedName name="Rock_Conv_Table" localSheetId="5">#REF!</definedName>
    <definedName name="Rock_Conv_Table" localSheetId="7">#REF!</definedName>
    <definedName name="Rock_Conv_Table">#REF!</definedName>
    <definedName name="Rock_Grad_Table" localSheetId="2">#REF!</definedName>
    <definedName name="Rock_Grad_Table" localSheetId="1">#REF!</definedName>
    <definedName name="Rock_Grad_Table" localSheetId="4">#REF!</definedName>
    <definedName name="Rock_Grad_Table" localSheetId="6">#REF!</definedName>
    <definedName name="Rock_Grad_Table" localSheetId="5">#REF!</definedName>
    <definedName name="Rock_Grad_Table" localSheetId="7">#REF!</definedName>
    <definedName name="Rock_Grad_Table">#REF!</definedName>
    <definedName name="Roof_slab___150mm" localSheetId="2">[67]Works!#REF!</definedName>
    <definedName name="Roof_slab___150mm" localSheetId="1">[67]Works!#REF!</definedName>
    <definedName name="Roof_slab___150mm" localSheetId="4">[67]Works!#REF!</definedName>
    <definedName name="Roof_slab___150mm" localSheetId="6">[67]Works!#REF!</definedName>
    <definedName name="Roof_slab___150mm" localSheetId="5">[67]Works!#REF!</definedName>
    <definedName name="Roof_slab___150mm" localSheetId="7">[67]Works!#REF!</definedName>
    <definedName name="Roof_slab___150mm">[67]Works!#REF!</definedName>
    <definedName name="Roof_slab_150_300mm" localSheetId="2">[67]Works!#REF!</definedName>
    <definedName name="Roof_slab_150_300mm" localSheetId="1">[67]Works!#REF!</definedName>
    <definedName name="Roof_slab_150_300mm" localSheetId="4">[67]Works!#REF!</definedName>
    <definedName name="Roof_slab_150_300mm" localSheetId="6">[67]Works!#REF!</definedName>
    <definedName name="Roof_slab_150_300mm" localSheetId="5">[67]Works!#REF!</definedName>
    <definedName name="Roof_slab_150_300mm" localSheetId="7">[67]Works!#REF!</definedName>
    <definedName name="Roof_slab_150_300mm">[67]Works!#REF!</definedName>
    <definedName name="ROUGH" localSheetId="0">[52]MRATES!$G$11</definedName>
    <definedName name="ROUGH" localSheetId="4">[7]Sheet1!$I$10</definedName>
    <definedName name="ROUGH">[53]MRATES!$G$11</definedName>
    <definedName name="roundcbl" localSheetId="0">#REF!</definedName>
    <definedName name="roundcbl">#REF!</definedName>
    <definedName name="Rows" localSheetId="2">#REF!</definedName>
    <definedName name="Rows" localSheetId="1">#REF!</definedName>
    <definedName name="Rows" localSheetId="4">#REF!</definedName>
    <definedName name="Rows" localSheetId="6">#REF!</definedName>
    <definedName name="Rows" localSheetId="5">#REF!</definedName>
    <definedName name="Rows" localSheetId="7">#REF!</definedName>
    <definedName name="Rows">#REF!</definedName>
    <definedName name="rr" localSheetId="2">#REF!</definedName>
    <definedName name="rr" localSheetId="1">#REF!</definedName>
    <definedName name="rr" localSheetId="4">#REF!</definedName>
    <definedName name="rr" localSheetId="6">#REF!</definedName>
    <definedName name="rr" localSheetId="5">#REF!</definedName>
    <definedName name="rr" localSheetId="7">#REF!</definedName>
    <definedName name="rr">#REF!</definedName>
    <definedName name="RR_stone_300" localSheetId="5">#REF!</definedName>
    <definedName name="RR_stone_300" localSheetId="7">#REF!</definedName>
    <definedName name="RR_stone_300">#REF!</definedName>
    <definedName name="RR_stone_G" localSheetId="5">#REF!</definedName>
    <definedName name="RR_stone_G" localSheetId="7">#REF!</definedName>
    <definedName name="RR_stone_G">#REF!</definedName>
    <definedName name="RR_stone_HBG" localSheetId="5">#REF!</definedName>
    <definedName name="RR_stone_HBG" localSheetId="7">#REF!</definedName>
    <definedName name="RR_stone_HBG">#REF!</definedName>
    <definedName name="RR_stone_O" localSheetId="5">#REF!</definedName>
    <definedName name="RR_stone_O" localSheetId="7">#REF!</definedName>
    <definedName name="RR_stone_O">#REF!</definedName>
    <definedName name="RR_stone_OG" localSheetId="5">#REF!</definedName>
    <definedName name="RR_stone_OG" localSheetId="7">#REF!</definedName>
    <definedName name="RR_stone_OG">#REF!</definedName>
    <definedName name="RR_stone_R300" localSheetId="5">#REF!</definedName>
    <definedName name="RR_stone_R300" localSheetId="7">#REF!</definedName>
    <definedName name="RR_stone_R300">#REF!</definedName>
    <definedName name="RR_stone_reG" localSheetId="5">#REF!</definedName>
    <definedName name="RR_stone_reG" localSheetId="7">#REF!</definedName>
    <definedName name="RR_stone_reG">#REF!</definedName>
    <definedName name="rreportt" localSheetId="2">'[261]Aug,02'!#REF!</definedName>
    <definedName name="rreportt" localSheetId="1">'[261]Aug,02'!#REF!</definedName>
    <definedName name="rreportt" localSheetId="4">'[261]Aug,02'!#REF!</definedName>
    <definedName name="rreportt" localSheetId="6">'[261]Aug,02'!#REF!</definedName>
    <definedName name="rreportt" localSheetId="5">'[261]Aug,02'!#REF!</definedName>
    <definedName name="rreportt">'[261]Aug,02'!#REF!</definedName>
    <definedName name="RRest">#REF!</definedName>
    <definedName name="rrg" localSheetId="0">[262]r!$F$7</definedName>
    <definedName name="rrg">[263]r!$F$7</definedName>
    <definedName name="rrr">'[161]Plant &amp;  Machinery'!$G$4</definedName>
    <definedName name="rrrate" localSheetId="0">'[27]lead-st'!$L$11</definedName>
    <definedName name="rrrate">'[21]lead-st'!$L$11</definedName>
    <definedName name="rrs" localSheetId="0">[27]rdamdata!$J$9</definedName>
    <definedName name="rrs">[21]rdamdata!$J$9</definedName>
    <definedName name="rs" localSheetId="2">#REF!</definedName>
    <definedName name="rs" localSheetId="1">#REF!</definedName>
    <definedName name="rs" localSheetId="4">#REF!</definedName>
    <definedName name="rs" localSheetId="6">#REF!</definedName>
    <definedName name="rs" localSheetId="5">#REF!</definedName>
    <definedName name="rs" localSheetId="7">#REF!</definedName>
    <definedName name="rs">#REF!</definedName>
    <definedName name="rstone" localSheetId="0">[27]rdamdata!$J$11</definedName>
    <definedName name="rstone">[21]rdamdata!$J$11</definedName>
    <definedName name="rtjddytkytfiytj" localSheetId="2">'[113]Aug,02'!#REF!</definedName>
    <definedName name="rtjddytkytfiytj" localSheetId="1">'[113]Aug,02'!#REF!</definedName>
    <definedName name="rtjddytkytfiytj" localSheetId="4">'[113]Aug,02'!#REF!</definedName>
    <definedName name="rtjddytkytfiytj" localSheetId="6">'[113]Aug,02'!#REF!</definedName>
    <definedName name="rtjddytkytfiytj" localSheetId="5">'[113]Aug,02'!#REF!</definedName>
    <definedName name="rtjddytkytfiytj" localSheetId="7">'[113]Aug,02'!#REF!</definedName>
    <definedName name="rtjddytkytfiytj">'[113]Aug,02'!#REF!</definedName>
    <definedName name="Rtoh1" localSheetId="0">[55]CONST!$K$60</definedName>
    <definedName name="Rtoh1">[85]CONST!$K$60</definedName>
    <definedName name="Rtoh2" localSheetId="0">[55]CONST!$U$60</definedName>
    <definedName name="Rtoh2">[85]CONST!$U$60</definedName>
    <definedName name="rtshydfhsfdsjhtrhxrth" localSheetId="2">'[113]Aug,02'!#REF!</definedName>
    <definedName name="rtshydfhsfdsjhtrhxrth" localSheetId="1">'[113]Aug,02'!#REF!</definedName>
    <definedName name="rtshydfhsfdsjhtrhxrth" localSheetId="4">'[113]Aug,02'!#REF!</definedName>
    <definedName name="rtshydfhsfdsjhtrhxrth" localSheetId="6">'[113]Aug,02'!#REF!</definedName>
    <definedName name="rtshydfhsfdsjhtrhxrth" localSheetId="5">'[113]Aug,02'!#REF!</definedName>
    <definedName name="rtshydfhsfdsjhtrhxrth" localSheetId="7">'[113]Aug,02'!#REF!</definedName>
    <definedName name="rtshydfhsfdsjhtrhxrth">'[113]Aug,02'!#REF!</definedName>
    <definedName name="RubberRings">[61]maya!$B$382:$B$386</definedName>
    <definedName name="Rvtrt1" localSheetId="0">[55]CONST!$J$69</definedName>
    <definedName name="Rvtrt1">[85]CONST!$J$69</definedName>
    <definedName name="Rvtrt2" localSheetId="0">[55]CONST!$U$69</definedName>
    <definedName name="Rvtrt2">[85]CONST!$U$69</definedName>
    <definedName name="ryrtyhthgffhjtrdurtsyreg" localSheetId="2">'[113]Aug,02'!#REF!</definedName>
    <definedName name="ryrtyhthgffhjtrdurtsyreg" localSheetId="1">'[113]Aug,02'!#REF!</definedName>
    <definedName name="ryrtyhthgffhjtrdurtsyreg" localSheetId="4">'[113]Aug,02'!#REF!</definedName>
    <definedName name="ryrtyhthgffhjtrdurtsyreg" localSheetId="6">'[113]Aug,02'!#REF!</definedName>
    <definedName name="ryrtyhthgffhjtrdurtsyreg" localSheetId="5">'[113]Aug,02'!#REF!</definedName>
    <definedName name="ryrtyhthgffhjtrdurtsyreg" localSheetId="7">'[113]Aug,02'!#REF!</definedName>
    <definedName name="ryrtyhthgffhjtrdurtsyreg">'[113]Aug,02'!#REF!</definedName>
    <definedName name="s" localSheetId="2">#REF!</definedName>
    <definedName name="s" localSheetId="1">#REF!</definedName>
    <definedName name="s" localSheetId="4">#REF!</definedName>
    <definedName name="s" localSheetId="6">#REF!</definedName>
    <definedName name="s" localSheetId="5">#REF!</definedName>
    <definedName name="s" localSheetId="7">#REF!</definedName>
    <definedName name="s">#REF!</definedName>
    <definedName name="S.No." localSheetId="2">#REF!</definedName>
    <definedName name="S.No." localSheetId="1">#REF!</definedName>
    <definedName name="S.No." localSheetId="4">#REF!</definedName>
    <definedName name="S.No." localSheetId="6">#REF!</definedName>
    <definedName name="S.No." localSheetId="5">#REF!</definedName>
    <definedName name="S.No." localSheetId="7">#REF!</definedName>
    <definedName name="S.No.">#REF!</definedName>
    <definedName name="S.S.R_2001_2002" localSheetId="5">#REF!</definedName>
    <definedName name="S.S.R_2001_2002" localSheetId="7">#REF!</definedName>
    <definedName name="S.S.R_2001_2002">#REF!</definedName>
    <definedName name="S_40" localSheetId="0">[72]RMR!$L$20</definedName>
    <definedName name="S_40">[73]RMR!$L$20</definedName>
    <definedName name="s5d876ti67t8" localSheetId="2">#REF!</definedName>
    <definedName name="s5d876ti67t8" localSheetId="1">#REF!</definedName>
    <definedName name="s5d876ti67t8" localSheetId="4">#REF!</definedName>
    <definedName name="s5d876ti67t8" localSheetId="6">#REF!</definedName>
    <definedName name="s5d876ti67t8" localSheetId="5">#REF!</definedName>
    <definedName name="s5d876ti67t8" localSheetId="7">#REF!</definedName>
    <definedName name="s5d876ti67t8">#REF!</definedName>
    <definedName name="sa" hidden="1">{"'Sheet1'!$A$4386:$N$4591"}</definedName>
    <definedName name="SADASDSAFSAD" localSheetId="2">'[113]Aug,02'!#REF!</definedName>
    <definedName name="SADASDSAFSAD" localSheetId="1">'[113]Aug,02'!#REF!</definedName>
    <definedName name="SADASDSAFSAD" localSheetId="4">'[113]Aug,02'!#REF!</definedName>
    <definedName name="SADASDSAFSAD" localSheetId="6">'[113]Aug,02'!#REF!</definedName>
    <definedName name="SADASDSAFSAD" localSheetId="5">'[113]Aug,02'!#REF!</definedName>
    <definedName name="SADASDSAFSAD" localSheetId="7">'[113]Aug,02'!#REF!</definedName>
    <definedName name="SADASDSAFSAD">'[113]Aug,02'!#REF!</definedName>
    <definedName name="sadfas" localSheetId="2">#REF!</definedName>
    <definedName name="sadfas" localSheetId="0">#REF!</definedName>
    <definedName name="sadfas" localSheetId="1">#REF!</definedName>
    <definedName name="sadfas" localSheetId="4">#REF!</definedName>
    <definedName name="sadfas" localSheetId="6">#REF!</definedName>
    <definedName name="sadfas" localSheetId="5">#REF!</definedName>
    <definedName name="sadfas" localSheetId="7">#REF!</definedName>
    <definedName name="sadfas">#REF!</definedName>
    <definedName name="safasdfasdsaf" localSheetId="2">'[113]Aug,02'!#REF!</definedName>
    <definedName name="safasdfasdsaf" localSheetId="1">'[113]Aug,02'!#REF!</definedName>
    <definedName name="safasdfasdsaf" localSheetId="4">'[113]Aug,02'!#REF!</definedName>
    <definedName name="safasdfasdsaf" localSheetId="6">'[113]Aug,02'!#REF!</definedName>
    <definedName name="safasdfasdsaf" localSheetId="5">'[113]Aug,02'!#REF!</definedName>
    <definedName name="safasdfasdsaf" localSheetId="7">'[113]Aug,02'!#REF!</definedName>
    <definedName name="safasdfasdsaf">'[113]Aug,02'!#REF!</definedName>
    <definedName name="safdasfsfasdd" localSheetId="2">#REF!</definedName>
    <definedName name="safdasfsfasdd" localSheetId="1">#REF!</definedName>
    <definedName name="safdasfsfasdd" localSheetId="4">#REF!</definedName>
    <definedName name="safdasfsfasdd" localSheetId="6">#REF!</definedName>
    <definedName name="safdasfsfasdd" localSheetId="5">#REF!</definedName>
    <definedName name="safdasfsfasdd" localSheetId="7">#REF!</definedName>
    <definedName name="safdasfsfasdd">#REF!</definedName>
    <definedName name="Sahabad_stones" localSheetId="2">[67]Material!#REF!</definedName>
    <definedName name="Sahabad_stones" localSheetId="1">[67]Material!#REF!</definedName>
    <definedName name="Sahabad_stones" localSheetId="4">[67]Material!#REF!</definedName>
    <definedName name="Sahabad_stones" localSheetId="6">[67]Material!#REF!</definedName>
    <definedName name="Sahabad_stones" localSheetId="5">[67]Material!#REF!</definedName>
    <definedName name="Sahabad_stones" localSheetId="7">[67]Material!#REF!</definedName>
    <definedName name="Sahabad_stones">[67]Material!#REF!</definedName>
    <definedName name="SAL">[115]DATA!$F$88</definedName>
    <definedName name="Sal_wood_planks" localSheetId="2">[67]Material!#REF!</definedName>
    <definedName name="Sal_wood_planks" localSheetId="1">[67]Material!#REF!</definedName>
    <definedName name="Sal_wood_planks" localSheetId="4">[67]Material!#REF!</definedName>
    <definedName name="Sal_wood_planks" localSheetId="6">[67]Material!#REF!</definedName>
    <definedName name="Sal_wood_planks" localSheetId="5">[67]Material!#REF!</definedName>
    <definedName name="Sal_wood_planks" localSheetId="7">[67]Material!#REF!</definedName>
    <definedName name="Sal_wood_planks">[67]Material!#REF!</definedName>
    <definedName name="Sal_wood_scantlins" localSheetId="2">[67]Material!#REF!</definedName>
    <definedName name="Sal_wood_scantlins" localSheetId="1">[67]Material!#REF!</definedName>
    <definedName name="Sal_wood_scantlins" localSheetId="4">[67]Material!#REF!</definedName>
    <definedName name="Sal_wood_scantlins" localSheetId="6">[67]Material!#REF!</definedName>
    <definedName name="Sal_wood_scantlins" localSheetId="5">[67]Material!#REF!</definedName>
    <definedName name="Sal_wood_scantlins" localSheetId="7">[67]Material!#REF!</definedName>
    <definedName name="Sal_wood_scantlins">[67]Material!#REF!</definedName>
    <definedName name="salary">#N/A</definedName>
    <definedName name="sam" hidden="1">{"PLANT BREAKUP",#N/A,FALSE,"E"}</definedName>
    <definedName name="sample" localSheetId="2">#REF!</definedName>
    <definedName name="sample" localSheetId="1">#REF!</definedName>
    <definedName name="sample" localSheetId="4">#REF!</definedName>
    <definedName name="sample" localSheetId="6">#REF!</definedName>
    <definedName name="sample" localSheetId="5">#REF!</definedName>
    <definedName name="sample" localSheetId="7">#REF!</definedName>
    <definedName name="sample">#REF!</definedName>
    <definedName name="sand" localSheetId="0">[27]rdamdata!$J$12</definedName>
    <definedName name="SAND">[7]Sheet1!$I$7</definedName>
    <definedName name="SAND_D" localSheetId="0">[52]MRATES!$K$32</definedName>
    <definedName name="SAND_D">[53]MRATES!$K$32</definedName>
    <definedName name="Sand_for_filling_and_blindage" localSheetId="2">#REF!</definedName>
    <definedName name="Sand_for_filling_and_blindage" localSheetId="1">#REF!</definedName>
    <definedName name="Sand_for_filling_and_blindage" localSheetId="4">#REF!</definedName>
    <definedName name="Sand_for_filling_and_blindage" localSheetId="6">#REF!</definedName>
    <definedName name="Sand_for_filling_and_blindage" localSheetId="5">#REF!</definedName>
    <definedName name="Sand_for_filling_and_blindage" localSheetId="7">#REF!</definedName>
    <definedName name="Sand_for_filling_and_blindage">#REF!</definedName>
    <definedName name="Sand_for_mortar__ceiling_coat_including_washing_screening_etc." localSheetId="5">#REF!</definedName>
    <definedName name="Sand_for_mortar__ceiling_coat_including_washing_screening_etc." localSheetId="7">#REF!</definedName>
    <definedName name="Sand_for_mortar__ceiling_coat_including_washing_screening_etc.">#REF!</definedName>
    <definedName name="Sand_Gravel" localSheetId="5">#REF!</definedName>
    <definedName name="Sand_Gravel" localSheetId="7">#REF!</definedName>
    <definedName name="Sand_Gravel">#REF!</definedName>
    <definedName name="SAND_M" localSheetId="0">[72]RMR!$L$26</definedName>
    <definedName name="SAND_M">[73]RMR!$L$26</definedName>
    <definedName name="Sand_or_loose_soils_wet_sand_not_under_water__silt_in_canals_channels_and_drains_SS_20_A." localSheetId="2">#REF!</definedName>
    <definedName name="Sand_or_loose_soils_wet_sand_not_under_water__silt_in_canals_channels_and_drains_SS_20_A." localSheetId="1">#REF!</definedName>
    <definedName name="Sand_or_loose_soils_wet_sand_not_under_water__silt_in_canals_channels_and_drains_SS_20_A." localSheetId="4">#REF!</definedName>
    <definedName name="Sand_or_loose_soils_wet_sand_not_under_water__silt_in_canals_channels_and_drains_SS_20_A." localSheetId="6">#REF!</definedName>
    <definedName name="Sand_or_loose_soils_wet_sand_not_under_water__silt_in_canals_channels_and_drains_SS_20_A." localSheetId="5">#REF!</definedName>
    <definedName name="Sand_or_loose_soils_wet_sand_not_under_water__silt_in_canals_channels_and_drains_SS_20_A." localSheetId="7">#REF!</definedName>
    <definedName name="Sand_or_loose_soils_wet_sand_not_under_water__silt_in_canals_channels_and_drains_SS_20_A.">#REF!</definedName>
    <definedName name="Sand_Type">'[123]data existing_do not delete'!$A$73:$A$75</definedName>
    <definedName name="SandF">[61]maya!$A$30:$A$31</definedName>
    <definedName name="SC">[188]Analy!#REF!</definedName>
    <definedName name="sc_earth">'[264]other rates'!$I$20</definedName>
    <definedName name="sc_metal">'[264]other rates'!$I$22</definedName>
    <definedName name="sc_sand">'[264]other rates'!$I$21</definedName>
    <definedName name="scaffolding_charges">'[123]data existing_do not delete'!$D$20:$D$22</definedName>
    <definedName name="SCOPE">#N/A</definedName>
    <definedName name="scp">#N/A</definedName>
    <definedName name="SD" localSheetId="0">#REF!</definedName>
    <definedName name="SD">[167]m!$D$149</definedName>
    <definedName name="SDF" localSheetId="2">#REF!</definedName>
    <definedName name="SDF" localSheetId="1">#REF!</definedName>
    <definedName name="SDF" localSheetId="4">#REF!</definedName>
    <definedName name="SDF" localSheetId="6">#REF!</definedName>
    <definedName name="SDF" localSheetId="5">#REF!</definedName>
    <definedName name="SDF" localSheetId="7">#REF!</definedName>
    <definedName name="SDF">#REF!</definedName>
    <definedName name="sdfasd">#REF!</definedName>
    <definedName name="sdfsdsdfdf">[162]Material!$D$70</definedName>
    <definedName name="sdfSSSSSSSGfdsGgrzsssssssssssssssssssssss" localSheetId="2">'[113]Aug,02'!#REF!</definedName>
    <definedName name="sdfSSSSSSSGfdsGgrzsssssssssssssssssssssss" localSheetId="1">'[113]Aug,02'!#REF!</definedName>
    <definedName name="sdfSSSSSSSGfdsGgrzsssssssssssssssssssssss" localSheetId="4">'[113]Aug,02'!#REF!</definedName>
    <definedName name="sdfSSSSSSSGfdsGgrzsssssssssssssssssssssss" localSheetId="6">'[113]Aug,02'!#REF!</definedName>
    <definedName name="sdfSSSSSSSGfdsGgrzsssssssssssssssssssssss" localSheetId="5">'[113]Aug,02'!#REF!</definedName>
    <definedName name="sdfSSSSSSSGfdsGgrzsssssssssssssssssssssss" localSheetId="7">'[113]Aug,02'!#REF!</definedName>
    <definedName name="sdfSSSSSSSGfdsGgrzsssssssssssssssssssssss">'[113]Aug,02'!#REF!</definedName>
    <definedName name="sdsD" localSheetId="2">#REF!</definedName>
    <definedName name="sdsD" localSheetId="1">#REF!</definedName>
    <definedName name="sdsD" localSheetId="4">#REF!</definedName>
    <definedName name="sdsD" localSheetId="6">#REF!</definedName>
    <definedName name="sdsD" localSheetId="5">#REF!</definedName>
    <definedName name="sdsD" localSheetId="7">#REF!</definedName>
    <definedName name="sdsD">#REF!</definedName>
    <definedName name="sdvf" localSheetId="2">'[113]Aug,02'!#REF!</definedName>
    <definedName name="sdvf" localSheetId="1">'[113]Aug,02'!#REF!</definedName>
    <definedName name="sdvf" localSheetId="4">'[113]Aug,02'!#REF!</definedName>
    <definedName name="sdvf" localSheetId="6">'[113]Aug,02'!#REF!</definedName>
    <definedName name="sdvf" localSheetId="5">'[113]Aug,02'!#REF!</definedName>
    <definedName name="sdvf" localSheetId="7">'[113]Aug,02'!#REF!</definedName>
    <definedName name="sdvf">'[113]Aug,02'!#REF!</definedName>
    <definedName name="SE" localSheetId="0">[103]LEAD!$K$53</definedName>
    <definedName name="SE">[104]LEAD!$K$53</definedName>
    <definedName name="sectorwise" localSheetId="2">#REF!</definedName>
    <definedName name="sectorwise" localSheetId="1">#REF!</definedName>
    <definedName name="sectorwise" localSheetId="4">#REF!</definedName>
    <definedName name="sectorwise" localSheetId="6">#REF!</definedName>
    <definedName name="sectorwise" localSheetId="5">#REF!</definedName>
    <definedName name="sectorwise" localSheetId="7">#REF!</definedName>
    <definedName name="sectorwise">#REF!</definedName>
    <definedName name="SEGTAEWRTESHYDRURTWETAEWSTGREWR" localSheetId="2">'[153]Aug,02'!#REF!</definedName>
    <definedName name="SEGTAEWRTESHYDRURTWETAEWSTGREWR" localSheetId="1">'[153]Aug,02'!#REF!</definedName>
    <definedName name="SEGTAEWRTESHYDRURTWETAEWSTGREWR" localSheetId="4">'[153]Aug,02'!#REF!</definedName>
    <definedName name="SEGTAEWRTESHYDRURTWETAEWSTGREWR" localSheetId="6">'[153]Aug,02'!#REF!</definedName>
    <definedName name="SEGTAEWRTESHYDRURTWETAEWSTGREWR" localSheetId="5">'[153]Aug,02'!#REF!</definedName>
    <definedName name="SEGTAEWRTESHYDRURTWETAEWSTGREWR" localSheetId="7">'[153]Aug,02'!#REF!</definedName>
    <definedName name="SEGTAEWRTESHYDRURTWETAEWSTGREWR">'[153]Aug,02'!#REF!</definedName>
    <definedName name="sein" localSheetId="2">#REF!</definedName>
    <definedName name="sein" localSheetId="0">#REF!</definedName>
    <definedName name="sein" localSheetId="1">#REF!</definedName>
    <definedName name="sein" localSheetId="4">#REF!</definedName>
    <definedName name="sein" localSheetId="6">#REF!</definedName>
    <definedName name="sein" localSheetId="5">#REF!</definedName>
    <definedName name="sein" localSheetId="7">#REF!</definedName>
    <definedName name="sein">#REF!</definedName>
    <definedName name="sein1" localSheetId="5">#REF!</definedName>
    <definedName name="sein1" localSheetId="7">#REF!</definedName>
    <definedName name="sein1">#REF!</definedName>
    <definedName name="sein4" localSheetId="5">#REF!</definedName>
    <definedName name="sein4" localSheetId="7">#REF!</definedName>
    <definedName name="sein4">#REF!</definedName>
    <definedName name="sencount" hidden="1">1</definedName>
    <definedName name="SerialOrder" localSheetId="4">#REF!</definedName>
    <definedName name="SerialOrder" localSheetId="5">#REF!</definedName>
    <definedName name="SerialOrder" localSheetId="7">#REF!</definedName>
    <definedName name="SerialOrder">#REF!</definedName>
    <definedName name="SeriesOrder" localSheetId="2">OFFSET('[265]select items_PMW'!$AO$20,0,0,COUNTA('[265]select items_PMW'!$AO$20:$AO$351)-COUNTBLANK('[265]select items_PMW'!$AO$20:$AO$351),1)</definedName>
    <definedName name="SeriesOrder" localSheetId="0">OFFSET('[266]select items_PMW'!$AO$20,0,0,COUNTA('[266]select items_PMW'!$AO$20:$AO$351)-COUNTBLANK('[266]select items_PMW'!$AO$20:$AO$351),1)</definedName>
    <definedName name="SeriesOrder" localSheetId="1">OFFSET('[267]select items_PMW'!$AO$20,0,0,COUNTA('[267]select items_PMW'!$AO$20:$AO$351)-COUNTBLANK('[267]select items_PMW'!$AO$20:$AO$351),1)</definedName>
    <definedName name="SeriesOrder" localSheetId="4">OFFSET('[268]select items_PMW'!$AO$20,0,0,COUNTA('[268]select items_PMW'!$AO$20:$AO$351)-COUNTBLANK('[268]select items_PMW'!$AO$20:$AO$351),1)</definedName>
    <definedName name="SeriesOrder" localSheetId="6">OFFSET('[265]select items_PMW'!$AO$20,0,0,COUNTA('[265]select items_PMW'!$AO$20:$AO$351)-COUNTBLANK('[265]select items_PMW'!$AO$20:$AO$351),1)</definedName>
    <definedName name="SeriesOrder" localSheetId="5">OFFSET('[265]select items_PMW'!$AO$20,0,0,COUNTA('[265]select items_PMW'!$AO$20:$AO$351)-COUNTBLANK('[265]select items_PMW'!$AO$20:$AO$351),1)</definedName>
    <definedName name="SeriesOrder">OFFSET('[269]select items_PMW'!$AO$20,0,0,COUNTA('[269]select items_PMW'!$AO$20:$AO$351)-COUNTBLANK('[269]select items_PMW'!$AO$20:$AO$351),1)</definedName>
    <definedName name="setrsatadruyriudtdeyudsrt" localSheetId="2">'[112]Aug,02'!#REF!</definedName>
    <definedName name="setrsatadruyriudtdeyudsrt" localSheetId="1">'[112]Aug,02'!#REF!</definedName>
    <definedName name="setrsatadruyriudtdeyudsrt" localSheetId="4">'[112]Aug,02'!#REF!</definedName>
    <definedName name="setrsatadruyriudtdeyudsrt" localSheetId="6">'[112]Aug,02'!#REF!</definedName>
    <definedName name="setrsatadruyriudtdeyudsrt" localSheetId="5">'[112]Aug,02'!#REF!</definedName>
    <definedName name="setrsatadruyriudtdeyudsrt" localSheetId="7">'[112]Aug,02'!#REF!</definedName>
    <definedName name="setrsatadruyriudtdeyudsrt">'[112]Aug,02'!#REF!</definedName>
    <definedName name="SEVENTOTHIRTEEN" localSheetId="2">#REF!</definedName>
    <definedName name="SEVENTOTHIRTEEN" localSheetId="1">#REF!</definedName>
    <definedName name="SEVENTOTHIRTEEN" localSheetId="4">#REF!</definedName>
    <definedName name="SEVENTOTHIRTEEN" localSheetId="6">#REF!</definedName>
    <definedName name="SEVENTOTHIRTEEN" localSheetId="5">#REF!</definedName>
    <definedName name="SEVENTOTHIRTEEN" localSheetId="7">#REF!</definedName>
    <definedName name="SEVENTOTHIRTEEN">#REF!</definedName>
    <definedName name="SFDSFHDRHSRDH" localSheetId="2">'[113]Aug,02'!#REF!</definedName>
    <definedName name="SFDSFHDRHSRDH" localSheetId="1">'[113]Aug,02'!#REF!</definedName>
    <definedName name="SFDSFHDRHSRDH" localSheetId="4">'[113]Aug,02'!#REF!</definedName>
    <definedName name="SFDSFHDRHSRDH" localSheetId="6">'[113]Aug,02'!#REF!</definedName>
    <definedName name="SFDSFHDRHSRDH" localSheetId="5">'[113]Aug,02'!#REF!</definedName>
    <definedName name="SFDSFHDRHSRDH" localSheetId="7">'[113]Aug,02'!#REF!</definedName>
    <definedName name="SFDSFHDRHSRDH">'[113]Aug,02'!#REF!</definedName>
    <definedName name="SGDXHXDRGERZSefgdsfgdsf" localSheetId="2">'[113]Aug,02'!#REF!</definedName>
    <definedName name="SGDXHXDRGERZSefgdsfgdsf" localSheetId="1">'[113]Aug,02'!#REF!</definedName>
    <definedName name="SGDXHXDRGERZSefgdsfgdsf" localSheetId="4">'[113]Aug,02'!#REF!</definedName>
    <definedName name="SGDXHXDRGERZSefgdsfgdsf" localSheetId="6">'[113]Aug,02'!#REF!</definedName>
    <definedName name="SGDXHXDRGERZSefgdsfgdsf" localSheetId="5">'[113]Aug,02'!#REF!</definedName>
    <definedName name="SGDXHXDRGERZSefgdsfgdsf" localSheetId="7">'[113]Aug,02'!#REF!</definedName>
    <definedName name="SGDXHXDRGERZSefgdsfgdsf">'[113]Aug,02'!#REF!</definedName>
    <definedName name="SGEARTH">[7]Sheet1!$C$33</definedName>
    <definedName name="SGGRAVEL" localSheetId="0">[52]MRATES!$H$34</definedName>
    <definedName name="SGGRAVEL" localSheetId="4">[7]Sheet1!$C$34</definedName>
    <definedName name="SGGRAVEL">[53]MRATES!$H$34</definedName>
    <definedName name="SGMETAL" localSheetId="0">[52]MRATES!$H$30</definedName>
    <definedName name="SGMETAL" localSheetId="4">[7]Sheet1!$C$30</definedName>
    <definedName name="SGMETAL">[53]MRATES!$H$30</definedName>
    <definedName name="sgnmetal" localSheetId="0">[126]ssr200809!$D$95</definedName>
    <definedName name="sgnmetal">[127]ssr200809!$D$95</definedName>
    <definedName name="SGSAND" localSheetId="0">[52]MRATES!$H$32</definedName>
    <definedName name="SGSAND" localSheetId="4">[7]Sheet1!$C$32</definedName>
    <definedName name="SGSAND">[53]MRATES!$H$32</definedName>
    <definedName name="sgsdgdszGFDSGFZDSzgz" localSheetId="2">#REF!</definedName>
    <definedName name="sgsdgdszGFDSGFZDSzgz" localSheetId="1">#REF!</definedName>
    <definedName name="sgsdgdszGFDSGFZDSzgz" localSheetId="4">#REF!</definedName>
    <definedName name="sgsdgdszGFDSGFZDSzgz" localSheetId="6">#REF!</definedName>
    <definedName name="sgsdgdszGFDSGFZDSzgz" localSheetId="5">#REF!</definedName>
    <definedName name="sgsdgdszGFDSGFZDSzgz" localSheetId="7">#REF!</definedName>
    <definedName name="sgsdgdszGFDSGFZDSzgz">#REF!</definedName>
    <definedName name="SGSTONE">[7]Sheet1!$C$31</definedName>
    <definedName name="sh" localSheetId="2">#REF!</definedName>
    <definedName name="sh" localSheetId="1">#REF!</definedName>
    <definedName name="sh" localSheetId="4">#REF!</definedName>
    <definedName name="sh" localSheetId="6">#REF!</definedName>
    <definedName name="sh" localSheetId="5">#REF!</definedName>
    <definedName name="sh" localSheetId="7">#REF!</definedName>
    <definedName name="sh">#REF!</definedName>
    <definedName name="Shahabad_slabs_of_Tandur_25.4mm_blue" localSheetId="2">[67]Material!#REF!</definedName>
    <definedName name="Shahabad_slabs_of_Tandur_25.4mm_blue" localSheetId="1">[67]Material!#REF!</definedName>
    <definedName name="Shahabad_slabs_of_Tandur_25.4mm_blue" localSheetId="4">[67]Material!#REF!</definedName>
    <definedName name="Shahabad_slabs_of_Tandur_25.4mm_blue" localSheetId="6">[67]Material!#REF!</definedName>
    <definedName name="Shahabad_slabs_of_Tandur_25.4mm_blue" localSheetId="5">[67]Material!#REF!</definedName>
    <definedName name="Shahabad_slabs_of_Tandur_25.4mm_blue" localSheetId="7">[67]Material!#REF!</definedName>
    <definedName name="Shahabad_slabs_of_Tandur_25.4mm_blue">[67]Material!#REF!</definedName>
    <definedName name="Shahabad_slabs_of_Tandur_25.4mm_white" localSheetId="2">[67]Material!#REF!</definedName>
    <definedName name="Shahabad_slabs_of_Tandur_25.4mm_white" localSheetId="1">[67]Material!#REF!</definedName>
    <definedName name="Shahabad_slabs_of_Tandur_25.4mm_white" localSheetId="4">[67]Material!#REF!</definedName>
    <definedName name="Shahabad_slabs_of_Tandur_25.4mm_white" localSheetId="6">[67]Material!#REF!</definedName>
    <definedName name="Shahabad_slabs_of_Tandur_25.4mm_white" localSheetId="5">[67]Material!#REF!</definedName>
    <definedName name="Shahabad_slabs_of_Tandur_25.4mm_white" localSheetId="7">[67]Material!#REF!</definedName>
    <definedName name="Shahabad_slabs_of_Tandur_25.4mm_white">[67]Material!#REF!</definedName>
    <definedName name="Shahabad_slabs_of_Tandur_50.8_mm_blue" localSheetId="5">[67]Material!#REF!</definedName>
    <definedName name="Shahabad_slabs_of_Tandur_50.8_mm_blue">[67]Material!#REF!</definedName>
    <definedName name="Shahabad_slabs_of_Tandur_50.8mm_white" localSheetId="5">[67]Material!#REF!</definedName>
    <definedName name="Shahabad_slabs_of_Tandur_50.8mm_white">[67]Material!#REF!</definedName>
    <definedName name="shearvalue">#REF!</definedName>
    <definedName name="sheet" localSheetId="0">[180]Data!#REF!</definedName>
    <definedName name="sheet" localSheetId="5">[179]Data!#REF!</definedName>
    <definedName name="sheet">[179]Data!#REF!</definedName>
    <definedName name="sheet4" localSheetId="5">'[144]Aug,02'!#REF!</definedName>
    <definedName name="sheet4">'[144]Aug,02'!#REF!</definedName>
    <definedName name="SHOULDERS" localSheetId="4">[128]Abs!#REF!</definedName>
    <definedName name="SHOULDERS" localSheetId="5">[128]Abs!#REF!</definedName>
    <definedName name="SHOULDERS">[128]Abs!#REF!</definedName>
    <definedName name="shutt">#N/A</definedName>
    <definedName name="shuttttt">#N/A</definedName>
    <definedName name="SHUTTTTTTT">#N/A</definedName>
    <definedName name="SIDEWALLSONETOSIX" localSheetId="2">#REF!</definedName>
    <definedName name="SIDEWALLSONETOSIX" localSheetId="1">#REF!</definedName>
    <definedName name="SIDEWALLSONETOSIX" localSheetId="4">#REF!</definedName>
    <definedName name="SIDEWALLSONETOSIX" localSheetId="6">#REF!</definedName>
    <definedName name="SIDEWALLSONETOSIX" localSheetId="5">#REF!</definedName>
    <definedName name="SIDEWALLSONETOSIX" localSheetId="7">#REF!</definedName>
    <definedName name="SIDEWALLSONETOSIX">#REF!</definedName>
    <definedName name="SIDEWALLSSEVENTOTHIRTEEN" localSheetId="5">#REF!</definedName>
    <definedName name="SIDEWALLSSEVENTOTHIRTEEN" localSheetId="7">#REF!</definedName>
    <definedName name="SIDEWALLSSEVENTOTHIRTEEN">#REF!</definedName>
    <definedName name="SILL" localSheetId="0">#REF!</definedName>
    <definedName name="SILL" localSheetId="5">#REF!</definedName>
    <definedName name="SILL" localSheetId="7">#REF!</definedName>
    <definedName name="SILL">#REF!</definedName>
    <definedName name="SILL_19" localSheetId="5">#REF!</definedName>
    <definedName name="SILL_19" localSheetId="7">#REF!</definedName>
    <definedName name="SILL_19">#REF!</definedName>
    <definedName name="SILL_20" localSheetId="5">#REF!</definedName>
    <definedName name="SILL_20" localSheetId="7">#REF!</definedName>
    <definedName name="SILL_20">#REF!</definedName>
    <definedName name="SILL_21" localSheetId="5">#REF!</definedName>
    <definedName name="SILL_21" localSheetId="7">#REF!</definedName>
    <definedName name="SILL_21">#REF!</definedName>
    <definedName name="SILLCAP" localSheetId="5">#REF!</definedName>
    <definedName name="SILLCAP" localSheetId="7">#REF!</definedName>
    <definedName name="SILLCAP">#REF!</definedName>
    <definedName name="SILLCAP_19" localSheetId="5">#REF!</definedName>
    <definedName name="SILLCAP_19" localSheetId="7">#REF!</definedName>
    <definedName name="SILLCAP_19">#REF!</definedName>
    <definedName name="SILLCAP_20" localSheetId="5">#REF!</definedName>
    <definedName name="SILLCAP_20" localSheetId="7">#REF!</definedName>
    <definedName name="SILLCAP_20">#REF!</definedName>
    <definedName name="SILLCAP_21" localSheetId="5">#REF!</definedName>
    <definedName name="SILLCAP_21" localSheetId="7">#REF!</definedName>
    <definedName name="SILLCAP_21">#REF!</definedName>
    <definedName name="SIXTOTHIRTEEN" localSheetId="5">#REF!</definedName>
    <definedName name="SIXTOTHIRTEEN" localSheetId="7">#REF!</definedName>
    <definedName name="SIXTOTHIRTEEN">#REF!</definedName>
    <definedName name="SKDIRD" localSheetId="2" hidden="1">{"'ridftotal'!$A$4:$S$27"}</definedName>
    <definedName name="SKDIRD" localSheetId="1" hidden="1">{"'ridftotal'!$A$4:$S$27"}</definedName>
    <definedName name="SKDIRD" localSheetId="4" hidden="1">{"'ridftotal'!$A$4:$S$27"}</definedName>
    <definedName name="SKDIRD" localSheetId="6" hidden="1">{"'ridftotal'!$A$4:$S$27"}</definedName>
    <definedName name="SKDIRD" localSheetId="5" hidden="1">{"'ridftotal'!$A$4:$S$27"}</definedName>
    <definedName name="SKDIRD" localSheetId="7" hidden="1">{"'ridftotal'!$A$4:$S$27"}</definedName>
    <definedName name="SKDIRD" hidden="1">{"'ridftotal'!$A$4:$S$27"}</definedName>
    <definedName name="sl">'[270]ws-abs'!#REF!,'[270]ws-abs'!#REF!,'[270]ws-abs'!#REF!,'[270]ws-abs'!#REF!,'[270]ws-abs'!#REF!,'[270]ws-abs'!#REF!,'[270]ws-abs'!#REF!,'[270]ws-abs'!#REF!,'[270]ws-abs'!#REF!,'[270]ws-abs'!#REF!,'[270]ws-abs'!#REF!,'[270]ws-abs'!#REF!,'[270]ws-abs'!#REF!,'[270]ws-abs'!#REF!,'[270]ws-abs'!#REF!,'[270]ws-abs'!#REF!,'[270]ws-abs'!#REF!,'[270]ws-abs'!#REF!,'[270]ws-abs'!#REF!,'[270]ws-abs'!#REF!,'[270]ws-abs'!#REF!</definedName>
    <definedName name="SLAB" localSheetId="0">'[149]UT Without Drop'!$B$248:$K$349</definedName>
    <definedName name="SLAB">'[151]UT Without Drop'!$B$248:$K$349</definedName>
    <definedName name="slabculvert">[271]ABS!$B$21</definedName>
    <definedName name="SLLftWl" localSheetId="2">#REF!</definedName>
    <definedName name="SLLftWl" localSheetId="1">#REF!</definedName>
    <definedName name="SLLftWl" localSheetId="4">#REF!</definedName>
    <definedName name="SLLftWl" localSheetId="6">#REF!</definedName>
    <definedName name="SLLftWl" localSheetId="5">#REF!</definedName>
    <definedName name="SLLftWl" localSheetId="7">#REF!</definedName>
    <definedName name="SLLftWl">#REF!</definedName>
    <definedName name="SLOAD" localSheetId="0">[52]MRATES!$AD$10</definedName>
    <definedName name="SLOAD" localSheetId="4">[43]MRATES!$AC$6</definedName>
    <definedName name="SLOAD">[53]MRATES!$AD$10</definedName>
    <definedName name="sluice" localSheetId="2">'[272]ws-abs'!#REF!,'[272]ws-abs'!#REF!,'[272]ws-abs'!#REF!,'[272]ws-abs'!#REF!,'[272]ws-abs'!#REF!,'[272]ws-abs'!#REF!,'[272]ws-abs'!#REF!,'[272]ws-abs'!#REF!,'[272]ws-abs'!#REF!,'[272]ws-abs'!#REF!,'[272]ws-abs'!#REF!,'[272]ws-abs'!#REF!,'[272]ws-abs'!#REF!,'[272]ws-abs'!#REF!,'[272]ws-abs'!#REF!,'[272]ws-abs'!#REF!,'[272]ws-abs'!#REF!,'[272]ws-abs'!#REF!,'[272]ws-abs'!#REF!,'[272]ws-abs'!#REF!,'[272]ws-abs'!#REF!</definedName>
    <definedName name="sluice" localSheetId="0">'[270]ws-abs'!#REF!,'[270]ws-abs'!#REF!,'[270]ws-abs'!#REF!,'[270]ws-abs'!#REF!,'[270]ws-abs'!#REF!,'[270]ws-abs'!#REF!,'[270]ws-abs'!#REF!,'[270]ws-abs'!#REF!,'[270]ws-abs'!#REF!,'[270]ws-abs'!#REF!,'[270]ws-abs'!#REF!,'[270]ws-abs'!#REF!,'[270]ws-abs'!#REF!,'[270]ws-abs'!#REF!,'[270]ws-abs'!#REF!,'[270]ws-abs'!#REF!,'[270]ws-abs'!#REF!,'[270]ws-abs'!#REF!,'[270]ws-abs'!#REF!,'[270]ws-abs'!#REF!,'[270]ws-abs'!#REF!</definedName>
    <definedName name="sluice" localSheetId="1">'[272]ws-abs'!#REF!,'[272]ws-abs'!#REF!,'[272]ws-abs'!#REF!,'[272]ws-abs'!#REF!,'[272]ws-abs'!#REF!,'[272]ws-abs'!#REF!,'[272]ws-abs'!#REF!,'[272]ws-abs'!#REF!,'[272]ws-abs'!#REF!,'[272]ws-abs'!#REF!,'[272]ws-abs'!#REF!,'[272]ws-abs'!#REF!,'[272]ws-abs'!#REF!,'[272]ws-abs'!#REF!,'[272]ws-abs'!#REF!,'[272]ws-abs'!#REF!,'[272]ws-abs'!#REF!,'[272]ws-abs'!#REF!,'[272]ws-abs'!#REF!,'[272]ws-abs'!#REF!,'[272]ws-abs'!#REF!</definedName>
    <definedName name="sluice" localSheetId="4">'[272]ws-abs'!#REF!,'[272]ws-abs'!#REF!,'[272]ws-abs'!#REF!,'[272]ws-abs'!#REF!,'[272]ws-abs'!#REF!,'[272]ws-abs'!#REF!,'[272]ws-abs'!#REF!,'[272]ws-abs'!#REF!,'[272]ws-abs'!#REF!,'[272]ws-abs'!#REF!,'[272]ws-abs'!#REF!,'[272]ws-abs'!#REF!,'[272]ws-abs'!#REF!,'[272]ws-abs'!#REF!,'[272]ws-abs'!#REF!,'[272]ws-abs'!#REF!,'[272]ws-abs'!#REF!,'[272]ws-abs'!#REF!,'[272]ws-abs'!#REF!,'[272]ws-abs'!#REF!,'[272]ws-abs'!#REF!</definedName>
    <definedName name="sluice" localSheetId="6">'[272]ws-abs'!#REF!,'[272]ws-abs'!#REF!,'[272]ws-abs'!#REF!,'[272]ws-abs'!#REF!,'[272]ws-abs'!#REF!,'[272]ws-abs'!#REF!,'[272]ws-abs'!#REF!,'[272]ws-abs'!#REF!,'[272]ws-abs'!#REF!,'[272]ws-abs'!#REF!,'[272]ws-abs'!#REF!,'[272]ws-abs'!#REF!,'[272]ws-abs'!#REF!,'[272]ws-abs'!#REF!,'[272]ws-abs'!#REF!,'[272]ws-abs'!#REF!,'[272]ws-abs'!#REF!,'[272]ws-abs'!#REF!,'[272]ws-abs'!#REF!,'[272]ws-abs'!#REF!,'[272]ws-abs'!#REF!</definedName>
    <definedName name="sluice" localSheetId="5">'[272]ws-abs'!#REF!,'[272]ws-abs'!#REF!,'[272]ws-abs'!#REF!,'[272]ws-abs'!#REF!,'[272]ws-abs'!#REF!,'[272]ws-abs'!#REF!,'[272]ws-abs'!#REF!,'[272]ws-abs'!#REF!,'[272]ws-abs'!#REF!,'[272]ws-abs'!#REF!,'[272]ws-abs'!#REF!,'[272]ws-abs'!#REF!,'[272]ws-abs'!#REF!,'[272]ws-abs'!#REF!,'[272]ws-abs'!#REF!,'[272]ws-abs'!#REF!,'[272]ws-abs'!#REF!,'[272]ws-abs'!#REF!,'[272]ws-abs'!#REF!,'[272]ws-abs'!#REF!,'[272]ws-abs'!#REF!</definedName>
    <definedName name="sluice" localSheetId="7">'[272]ws-abs'!#REF!,'[272]ws-abs'!#REF!,'[272]ws-abs'!#REF!,'[272]ws-abs'!#REF!,'[272]ws-abs'!#REF!,'[272]ws-abs'!#REF!,'[272]ws-abs'!#REF!,'[272]ws-abs'!#REF!,'[272]ws-abs'!#REF!,'[272]ws-abs'!#REF!,'[272]ws-abs'!#REF!,'[272]ws-abs'!#REF!,'[272]ws-abs'!#REF!,'[272]ws-abs'!#REF!,'[272]ws-abs'!#REF!,'[272]ws-abs'!#REF!,'[272]ws-abs'!#REF!,'[272]ws-abs'!#REF!,'[272]ws-abs'!#REF!,'[272]ws-abs'!#REF!,'[272]ws-abs'!#REF!</definedName>
    <definedName name="sluice">'[272]ws-abs'!#REF!,'[272]ws-abs'!#REF!,'[272]ws-abs'!#REF!,'[272]ws-abs'!#REF!,'[272]ws-abs'!#REF!,'[272]ws-abs'!#REF!,'[272]ws-abs'!#REF!,'[272]ws-abs'!#REF!,'[272]ws-abs'!#REF!,'[272]ws-abs'!#REF!,'[272]ws-abs'!#REF!,'[272]ws-abs'!#REF!,'[272]ws-abs'!#REF!,'[272]ws-abs'!#REF!,'[272]ws-abs'!#REF!,'[272]ws-abs'!#REF!,'[272]ws-abs'!#REF!,'[272]ws-abs'!#REF!,'[272]ws-abs'!#REF!,'[272]ws-abs'!#REF!,'[272]ws-abs'!#REF!</definedName>
    <definedName name="sluice2" localSheetId="2">[273]Bund!#REF!</definedName>
    <definedName name="sluice2" localSheetId="1">[273]Bund!#REF!</definedName>
    <definedName name="sluice2" localSheetId="4">[273]Bund!#REF!</definedName>
    <definedName name="sluice2" localSheetId="6">[273]Bund!#REF!</definedName>
    <definedName name="sluice2" localSheetId="5">[273]Bund!#REF!</definedName>
    <definedName name="sluice2" localSheetId="7">[273]Bund!#REF!</definedName>
    <definedName name="sluice2">[273]Bund!#REF!</definedName>
    <definedName name="Sluice3" localSheetId="2">[139]Data!#REF!</definedName>
    <definedName name="Sluice3" localSheetId="0">[140]Data!#REF!</definedName>
    <definedName name="Sluice3" localSheetId="1">[139]Data!#REF!</definedName>
    <definedName name="Sluice3" localSheetId="4">[139]Data!#REF!</definedName>
    <definedName name="Sluice3" localSheetId="6">[139]Data!#REF!</definedName>
    <definedName name="Sluice3" localSheetId="5">[139]Data!#REF!</definedName>
    <definedName name="Sluice3" localSheetId="7">[139]Data!#REF!</definedName>
    <definedName name="Sluice3">[139]Data!#REF!</definedName>
    <definedName name="Slushy_soil_and_silt_clearance_upto_0.60_metres_depth_SS_20_B" localSheetId="2">#REF!</definedName>
    <definedName name="Slushy_soil_and_silt_clearance_upto_0.60_metres_depth_SS_20_B" localSheetId="1">#REF!</definedName>
    <definedName name="Slushy_soil_and_silt_clearance_upto_0.60_metres_depth_SS_20_B" localSheetId="4">#REF!</definedName>
    <definedName name="Slushy_soil_and_silt_clearance_upto_0.60_metres_depth_SS_20_B" localSheetId="6">#REF!</definedName>
    <definedName name="Slushy_soil_and_silt_clearance_upto_0.60_metres_depth_SS_20_B" localSheetId="5">#REF!</definedName>
    <definedName name="Slushy_soil_and_silt_clearance_upto_0.60_metres_depth_SS_20_B" localSheetId="7">#REF!</definedName>
    <definedName name="Slushy_soil_and_silt_clearance_upto_0.60_metres_depth_SS_20_B">#REF!</definedName>
    <definedName name="SMAZDOOR" localSheetId="2">'[170]MRoad data'!#REF!</definedName>
    <definedName name="SMAZDOOR" localSheetId="0">'[169]MRoad data'!#REF!</definedName>
    <definedName name="SMAZDOOR" localSheetId="1">'[170]MRoad data'!#REF!</definedName>
    <definedName name="SMAZDOOR" localSheetId="4">'[43]MRoad data'!#REF!</definedName>
    <definedName name="SMAZDOOR" localSheetId="6">'[170]MRoad data'!#REF!</definedName>
    <definedName name="SMAZDOOR" localSheetId="5">'[170]MRoad data'!#REF!</definedName>
    <definedName name="SMAZDOOR" localSheetId="7">'[170]MRoad data'!#REF!</definedName>
    <definedName name="SMAZDOOR">'[170]MRoad data'!#REF!</definedName>
    <definedName name="so_desgn">[274]Data_Base!$E$2:$F$11</definedName>
    <definedName name="Soft_disentigrated_rock___removable_by_pick_axes_and_crow_bars" localSheetId="2">#REF!</definedName>
    <definedName name="Soft_disentigrated_rock___removable_by_pick_axes_and_crow_bars" localSheetId="1">#REF!</definedName>
    <definedName name="Soft_disentigrated_rock___removable_by_pick_axes_and_crow_bars" localSheetId="4">#REF!</definedName>
    <definedName name="Soft_disentigrated_rock___removable_by_pick_axes_and_crow_bars" localSheetId="6">#REF!</definedName>
    <definedName name="Soft_disentigrated_rock___removable_by_pick_axes_and_crow_bars" localSheetId="5">#REF!</definedName>
    <definedName name="Soft_disentigrated_rock___removable_by_pick_axes_and_crow_bars" localSheetId="7">#REF!</definedName>
    <definedName name="Soft_disentigrated_rock___removable_by_pick_axes_and_crow_bars">#REF!</definedName>
    <definedName name="soil_type">'[123]data existing_do not delete'!$I$2:$I$9</definedName>
    <definedName name="soil_types">'[275]data existing_do not delete'!$I$2:$I$9</definedName>
    <definedName name="Soling_stone_of_150_mm_size_of_granite__trap_and_Dolamite_varieties." localSheetId="2">#REF!</definedName>
    <definedName name="Soling_stone_of_150_mm_size_of_granite__trap_and_Dolamite_varieties." localSheetId="1">#REF!</definedName>
    <definedName name="Soling_stone_of_150_mm_size_of_granite__trap_and_Dolamite_varieties." localSheetId="4">#REF!</definedName>
    <definedName name="Soling_stone_of_150_mm_size_of_granite__trap_and_Dolamite_varieties." localSheetId="6">#REF!</definedName>
    <definedName name="Soling_stone_of_150_mm_size_of_granite__trap_and_Dolamite_varieties." localSheetId="5">#REF!</definedName>
    <definedName name="Soling_stone_of_150_mm_size_of_granite__trap_and_Dolamite_varieties." localSheetId="7">#REF!</definedName>
    <definedName name="Soling_stone_of_150_mm_size_of_granite__trap_and_Dolamite_varieties.">#REF!</definedName>
    <definedName name="SONKASA" localSheetId="2">'[276]Sheet1 (2)'!#REF!</definedName>
    <definedName name="SONKASA" localSheetId="1">'[276]Sheet1 (2)'!#REF!</definedName>
    <definedName name="SONKASA" localSheetId="4">'[276]Sheet1 (2)'!#REF!</definedName>
    <definedName name="SONKASA" localSheetId="6">'[276]Sheet1 (2)'!#REF!</definedName>
    <definedName name="SONKASA" localSheetId="5">'[276]Sheet1 (2)'!#REF!</definedName>
    <definedName name="SONKASA" localSheetId="7">'[276]Sheet1 (2)'!#REF!</definedName>
    <definedName name="SONKASA">'[276]Sheet1 (2)'!#REF!</definedName>
    <definedName name="SortOrder" localSheetId="2">#REF!</definedName>
    <definedName name="SortOrder" localSheetId="4">#REF!</definedName>
    <definedName name="SortOrder" localSheetId="3">#REF!</definedName>
    <definedName name="SortOrder" localSheetId="6">#REF!</definedName>
    <definedName name="SortOrder" localSheetId="5">#REF!</definedName>
    <definedName name="SortOrder" localSheetId="7">#REF!</definedName>
    <definedName name="SortOrder">#REF!</definedName>
    <definedName name="SP_136_BCCP" localSheetId="2">'[77]Road data'!#REF!</definedName>
    <definedName name="SP_136_BCCP" localSheetId="0">'[76]Road data'!#REF!</definedName>
    <definedName name="SP_136_BCCP" localSheetId="1">'[77]Road data'!#REF!</definedName>
    <definedName name="SP_136_BCCP" localSheetId="4">'[77]Road data'!#REF!</definedName>
    <definedName name="SP_136_BCCP" localSheetId="6">'[77]Road data'!#REF!</definedName>
    <definedName name="SP_136_BCCP" localSheetId="5">'[77]Road data'!#REF!</definedName>
    <definedName name="SP_136_BCCP">'[77]Road data'!#REF!</definedName>
    <definedName name="SP_136_BODY">'[277]Road data'!$C$948</definedName>
    <definedName name="SP_136_FLY_BCCP" localSheetId="2">'[77]Road data'!#REF!</definedName>
    <definedName name="SP_136_FLY_BCCP" localSheetId="0">'[76]Road data'!#REF!</definedName>
    <definedName name="SP_136_FLY_BCCP" localSheetId="1">'[77]Road data'!#REF!</definedName>
    <definedName name="SP_136_FLY_BCCP" localSheetId="4">'[77]Road data'!#REF!</definedName>
    <definedName name="SP_136_FLY_BCCP" localSheetId="6">'[77]Road data'!#REF!</definedName>
    <definedName name="SP_136_FLY_BCCP" localSheetId="5">'[77]Road data'!#REF!</definedName>
    <definedName name="SP_136_FLY_BCCP">'[77]Road data'!#REF!</definedName>
    <definedName name="SP_136_FOUND">'[277]Road data'!$C$921</definedName>
    <definedName name="SP_136_PCC">'[252]ROAD DATA'!$B$575</definedName>
    <definedName name="SP_148_BCCP" localSheetId="0">'[76]Road data'!#REF!</definedName>
    <definedName name="SP_148_BCCP" localSheetId="5">'[77]Road data'!#REF!</definedName>
    <definedName name="SP_148_BCCP">'[77]Road data'!#REF!</definedName>
    <definedName name="SP_BACKFILL" localSheetId="0">'[76]Road data'!#REF!</definedName>
    <definedName name="SP_BACKFILL" localSheetId="5">'[77]Road data'!#REF!</definedName>
    <definedName name="SP_BACKFILL">'[77]Road data'!#REF!</definedName>
    <definedName name="sp_bc" localSheetId="0">'[278]Road data'!#REF!</definedName>
    <definedName name="sp_bc" localSheetId="5">'[279]Road data'!#REF!</definedName>
    <definedName name="sp_bc">'[279]Road data'!#REF!</definedName>
    <definedName name="SP_BED_HP" localSheetId="0">'[76]Road data'!#REF!</definedName>
    <definedName name="SP_BED_HP" localSheetId="5">'[77]Road data'!#REF!</definedName>
    <definedName name="SP_BED_HP">'[77]Road data'!#REF!</definedName>
    <definedName name="SP_BM" localSheetId="0">'[72]Road data'!#REF!</definedName>
    <definedName name="SP_BM" localSheetId="5">'[83]Road data'!#REF!</definedName>
    <definedName name="SP_BM">'[83]Road data'!#REF!</definedName>
    <definedName name="SP_BM_50" localSheetId="0">'[76]Road data'!#REF!</definedName>
    <definedName name="SP_BM_50" localSheetId="5">'[77]Road data'!#REF!</definedName>
    <definedName name="SP_BM_50">'[77]Road data'!#REF!</definedName>
    <definedName name="SP_BT_PATCH" localSheetId="0">'[76]Road data'!$C$401</definedName>
    <definedName name="SP_BT_PATCH">'[77]Road data'!$C$401</definedName>
    <definedName name="SP_BT_PATCH_40" localSheetId="0">'[76]Road data'!$C$418</definedName>
    <definedName name="SP_BT_PATCH_40">'[77]Road data'!$C$418</definedName>
    <definedName name="SP_D_EW_FOUND">'[280]DRAINS DATA'!$B$5</definedName>
    <definedName name="SP_DGBM_4.5">'[252]ROAD DATA'!$B$465</definedName>
    <definedName name="SP_Diversion_Road" localSheetId="2">'[83]Road data'!#REF!</definedName>
    <definedName name="SP_Diversion_Road" localSheetId="0">'[72]Road data'!#REF!</definedName>
    <definedName name="SP_Diversion_Road" localSheetId="1">'[83]Road data'!#REF!</definedName>
    <definedName name="SP_Diversion_Road" localSheetId="4">'[83]Road data'!#REF!</definedName>
    <definedName name="SP_Diversion_Road" localSheetId="6">'[83]Road data'!#REF!</definedName>
    <definedName name="SP_Diversion_Road" localSheetId="5">'[83]Road data'!#REF!</definedName>
    <definedName name="SP_Diversion_Road" localSheetId="7">'[83]Road data'!#REF!</definedName>
    <definedName name="SP_Diversion_Road">'[83]Road data'!#REF!</definedName>
    <definedName name="SP_EW_C" localSheetId="0">'[76]Road data'!$C$35</definedName>
    <definedName name="SP_EW_C">'[77]Road data'!$C$35</definedName>
    <definedName name="SP_EW_Car" localSheetId="2">'[83]Road data'!#REF!</definedName>
    <definedName name="SP_EW_Car" localSheetId="0">'[72]Road data'!#REF!</definedName>
    <definedName name="SP_EW_Car" localSheetId="1">'[83]Road data'!#REF!</definedName>
    <definedName name="SP_EW_Car" localSheetId="4">'[83]Road data'!#REF!</definedName>
    <definedName name="SP_EW_Car" localSheetId="6">'[83]Road data'!#REF!</definedName>
    <definedName name="SP_EW_Car" localSheetId="5">'[83]Road data'!#REF!</definedName>
    <definedName name="SP_EW_Car" localSheetId="7">'[83]Road data'!#REF!</definedName>
    <definedName name="SP_EW_Car">'[83]Road data'!#REF!</definedName>
    <definedName name="SP_EW_FMC_Side" localSheetId="0">'[72]Road data'!$C$3</definedName>
    <definedName name="SP_EW_FMC_Side">'[73]Road data'!$C$3</definedName>
    <definedName name="SP_EW_FOUND">'[277]Road data'!$C$877</definedName>
    <definedName name="SP_EW_Man" localSheetId="2">'[220]Road data'!#REF!</definedName>
    <definedName name="SP_EW_Man" localSheetId="0">'[221]Road data'!#REF!</definedName>
    <definedName name="SP_EW_Man" localSheetId="1">'[220]Road data'!#REF!</definedName>
    <definedName name="SP_EW_Man" localSheetId="4">'[220]Road data'!#REF!</definedName>
    <definedName name="SP_EW_Man" localSheetId="6">'[220]Road data'!#REF!</definedName>
    <definedName name="SP_EW_Man" localSheetId="5">'[220]Road data'!#REF!</definedName>
    <definedName name="SP_EW_Man" localSheetId="7">'[220]Road data'!#REF!</definedName>
    <definedName name="SP_EW_Man">'[220]Road data'!#REF!</definedName>
    <definedName name="SP_EW_OMC_Car" localSheetId="2">'[83]Road data'!#REF!</definedName>
    <definedName name="SP_EW_OMC_Car" localSheetId="0">'[72]Road data'!#REF!</definedName>
    <definedName name="SP_EW_OMC_Car" localSheetId="1">'[83]Road data'!#REF!</definedName>
    <definedName name="SP_EW_OMC_Car" localSheetId="4">'[83]Road data'!#REF!</definedName>
    <definedName name="SP_EW_OMC_Car" localSheetId="6">'[83]Road data'!#REF!</definedName>
    <definedName name="SP_EW_OMC_Car" localSheetId="5">'[83]Road data'!#REF!</definedName>
    <definedName name="SP_EW_OMC_Car" localSheetId="7">'[83]Road data'!#REF!</definedName>
    <definedName name="SP_EW_OMC_Car">'[83]Road data'!#REF!</definedName>
    <definedName name="SP_EW_OMC_Side" localSheetId="0">'[72]Road data'!#REF!</definedName>
    <definedName name="SP_EW_OMC_Side" localSheetId="5">'[83]Road data'!#REF!</definedName>
    <definedName name="SP_EW_OMC_Side">'[83]Road data'!#REF!</definedName>
    <definedName name="SP_EW_S" localSheetId="0">'[76]Road data'!$C$7</definedName>
    <definedName name="SP_EW_S">'[77]Road data'!$C$7</definedName>
    <definedName name="SP_EW_T" localSheetId="2">'[77]Road data'!#REF!</definedName>
    <definedName name="SP_EW_T" localSheetId="0">'[76]Road data'!#REF!</definedName>
    <definedName name="SP_EW_T" localSheetId="1">'[77]Road data'!#REF!</definedName>
    <definedName name="SP_EW_T" localSheetId="4">'[77]Road data'!#REF!</definedName>
    <definedName name="SP_EW_T" localSheetId="6">'[77]Road data'!#REF!</definedName>
    <definedName name="SP_EW_T" localSheetId="5">'[77]Road data'!#REF!</definedName>
    <definedName name="SP_EW_T" localSheetId="7">'[77]Road data'!#REF!</definedName>
    <definedName name="SP_EW_T">'[77]Road data'!#REF!</definedName>
    <definedName name="SP_EW_Trench" localSheetId="2">'[83]Road data'!#REF!</definedName>
    <definedName name="SP_EW_Trench" localSheetId="0">'[72]Road data'!#REF!</definedName>
    <definedName name="SP_EW_Trench" localSheetId="1">'[83]Road data'!#REF!</definedName>
    <definedName name="SP_EW_Trench" localSheetId="4">'[83]Road data'!#REF!</definedName>
    <definedName name="SP_EW_Trench" localSheetId="6">'[83]Road data'!#REF!</definedName>
    <definedName name="SP_EW_Trench" localSheetId="5">'[83]Road data'!#REF!</definedName>
    <definedName name="SP_EW_Trench" localSheetId="7">'[83]Road data'!#REF!</definedName>
    <definedName name="SP_EW_Trench">'[83]Road data'!#REF!</definedName>
    <definedName name="SP_EW_USS" localSheetId="0">'[76]Road data'!#REF!</definedName>
    <definedName name="SP_EW_USS" localSheetId="5">'[77]Road data'!#REF!</definedName>
    <definedName name="SP_EW_USS">'[77]Road data'!#REF!</definedName>
    <definedName name="SP_FILL_INB_BODY" localSheetId="0">'[76]Road data'!#REF!</definedName>
    <definedName name="SP_FILL_INB_BODY" localSheetId="5">'[77]Road data'!#REF!</definedName>
    <definedName name="SP_FILL_INB_BODY">'[77]Road data'!#REF!</definedName>
    <definedName name="SP_FILTER_ABUT" localSheetId="0">'[76]Road data'!#REF!</definedName>
    <definedName name="SP_FILTER_ABUT" localSheetId="5">'[77]Road data'!#REF!</definedName>
    <definedName name="SP_FILTER_ABUT">'[77]Road data'!#REF!</definedName>
    <definedName name="SP_FILTER_BPITCH" localSheetId="0">'[76]Road data'!#REF!</definedName>
    <definedName name="SP_FILTER_BPITCH" localSheetId="5">'[77]Road data'!#REF!</definedName>
    <definedName name="SP_FILTER_BPITCH">'[77]Road data'!#REF!</definedName>
    <definedName name="SP_G2_22B_AS_PR" localSheetId="0">'[76]Road data'!#REF!</definedName>
    <definedName name="SP_G2_22B_AS_PR" localSheetId="5">'[77]Road data'!#REF!</definedName>
    <definedName name="SP_G2_22B_AS_PR">'[77]Road data'!#REF!</definedName>
    <definedName name="SP_G2_22B_AS_VR" localSheetId="0">'[76]Road data'!#REF!</definedName>
    <definedName name="SP_G2_22B_AS_VR" localSheetId="5">'[77]Road data'!#REF!</definedName>
    <definedName name="SP_G2_22B_AS_VR">'[77]Road data'!#REF!</definedName>
    <definedName name="SP_G2_45B_AS_PR" localSheetId="0">'[76]Road data'!#REF!</definedName>
    <definedName name="SP_G2_45B_AS_PR" localSheetId="5">'[77]Road data'!#REF!</definedName>
    <definedName name="SP_G2_45B_AS_PR">'[77]Road data'!#REF!</definedName>
    <definedName name="SP_G2_45B_AS_VR" localSheetId="0">'[76]Road data'!#REF!</definedName>
    <definedName name="SP_G2_45B_AS_VR" localSheetId="5">'[77]Road data'!#REF!</definedName>
    <definedName name="SP_G2_45B_AS_VR">'[77]Road data'!#REF!</definedName>
    <definedName name="SP_G3_22B_BS_PR" localSheetId="0">'[76]Road data'!#REF!</definedName>
    <definedName name="SP_G3_22B_BS_PR" localSheetId="5">'[77]Road data'!#REF!</definedName>
    <definedName name="SP_G3_22B_BS_PR">'[77]Road data'!#REF!</definedName>
    <definedName name="SP_G3_22B_BS_VR" localSheetId="0">'[76]Road data'!#REF!</definedName>
    <definedName name="SP_G3_22B_BS_VR" localSheetId="5">'[77]Road data'!#REF!</definedName>
    <definedName name="SP_G3_22B_BS_VR">'[77]Road data'!#REF!</definedName>
    <definedName name="SP_G3_45B_BS_PR" localSheetId="0">'[76]Road data'!#REF!</definedName>
    <definedName name="SP_G3_45B_BS_PR" localSheetId="5">'[77]Road data'!#REF!</definedName>
    <definedName name="SP_G3_45B_BS_PR">'[77]Road data'!#REF!</definedName>
    <definedName name="SP_G3_45B_BS_VR" localSheetId="0">'[76]Road data'!#REF!</definedName>
    <definedName name="SP_G3_45B_BS_VR" localSheetId="5">'[77]Road data'!#REF!</definedName>
    <definedName name="SP_G3_45B_BS_VR">'[77]Road data'!#REF!</definedName>
    <definedName name="SP_Gravel_Quardrent" localSheetId="0">'[72]Road data'!#REF!</definedName>
    <definedName name="SP_Gravel_Quardrent" localSheetId="5">'[83]Road data'!#REF!</definedName>
    <definedName name="SP_Gravel_Quardrent">'[83]Road data'!#REF!</definedName>
    <definedName name="SP_GROUT_REV" localSheetId="0">'[76]Road data'!#REF!</definedName>
    <definedName name="SP_GROUT_REV" localSheetId="5">'[77]Road data'!#REF!</definedName>
    <definedName name="SP_GROUT_REV">'[77]Road data'!#REF!</definedName>
    <definedName name="SP_GS" localSheetId="0">'[76]Road data'!#REF!</definedName>
    <definedName name="SP_GS" localSheetId="5">'[77]Road data'!#REF!</definedName>
    <definedName name="SP_GS">'[77]Road data'!#REF!</definedName>
    <definedName name="SP_GSB" localSheetId="0">'[76]Road data'!$C$67</definedName>
    <definedName name="SP_GSB">'[77]Road data'!$C$67</definedName>
    <definedName name="SP_GSB_VI">'[252]ROAD DATA'!$B$324</definedName>
    <definedName name="SP_HP_1000">'[281]Road data'!$C$957</definedName>
    <definedName name="SP_HP_800" localSheetId="2">'[83]Road data'!#REF!</definedName>
    <definedName name="SP_HP_800" localSheetId="0">'[72]Road data'!#REF!</definedName>
    <definedName name="SP_HP_800" localSheetId="1">'[83]Road data'!#REF!</definedName>
    <definedName name="SP_HP_800" localSheetId="4">'[83]Road data'!#REF!</definedName>
    <definedName name="SP_HP_800" localSheetId="6">'[83]Road data'!#REF!</definedName>
    <definedName name="SP_HP_800" localSheetId="5">'[83]Road data'!#REF!</definedName>
    <definedName name="SP_HP_800" localSheetId="7">'[83]Road data'!#REF!</definedName>
    <definedName name="SP_HP_800">'[83]Road data'!#REF!</definedName>
    <definedName name="SP_HPL_800" localSheetId="2">'[83]Road data'!#REF!</definedName>
    <definedName name="SP_HPL_800" localSheetId="0">'[72]Road data'!#REF!</definedName>
    <definedName name="SP_HPL_800" localSheetId="1">'[83]Road data'!#REF!</definedName>
    <definedName name="SP_HPL_800" localSheetId="4">'[83]Road data'!#REF!</definedName>
    <definedName name="SP_HPL_800" localSheetId="6">'[83]Road data'!#REF!</definedName>
    <definedName name="SP_HPL_800" localSheetId="5">'[83]Road data'!#REF!</definedName>
    <definedName name="SP_HPL_800" localSheetId="7">'[83]Road data'!#REF!</definedName>
    <definedName name="SP_HPL_800">'[83]Road data'!#REF!</definedName>
    <definedName name="SP_HYSD_FOUND" localSheetId="0">'[76]Road data'!#REF!</definedName>
    <definedName name="SP_HYSD_FOUND" localSheetId="5">'[77]Road data'!#REF!</definedName>
    <definedName name="SP_HYSD_FOUND">'[77]Road data'!#REF!</definedName>
    <definedName name="SP_HYSD_SUB" localSheetId="0">'[76]Road data'!#REF!</definedName>
    <definedName name="SP_HYSD_SUB" localSheetId="5">'[77]Road data'!#REF!</definedName>
    <definedName name="SP_HYSD_SUB">'[77]Road data'!#REF!</definedName>
    <definedName name="SP_HYSD_SUPER" localSheetId="0">'[76]Road data'!#REF!</definedName>
    <definedName name="SP_HYSD_SUPER" localSheetId="5">'[77]Road data'!#REF!</definedName>
    <definedName name="SP_HYSD_SUPER">'[77]Road data'!#REF!</definedName>
    <definedName name="SP_HYSD415_FUN">'[252]ROAD DATA'!$B$657</definedName>
    <definedName name="SP_M10_base" localSheetId="0">'[72]Road data'!#REF!</definedName>
    <definedName name="SP_M10_base" localSheetId="5">'[83]Road data'!#REF!</definedName>
    <definedName name="SP_M10_base">'[83]Road data'!#REF!</definedName>
    <definedName name="sp_M10_bCC" localSheetId="0">'[72]Road data'!#REF!</definedName>
    <definedName name="sp_M10_bCC" localSheetId="5">'[83]Road data'!#REF!</definedName>
    <definedName name="sp_M10_bCC">'[83]Road data'!#REF!</definedName>
    <definedName name="SP_M10_drainS" localSheetId="0">'[72]Road data'!#REF!</definedName>
    <definedName name="SP_M10_drainS" localSheetId="5">'[83]Road data'!#REF!</definedName>
    <definedName name="SP_M10_drainS">'[83]Road data'!#REF!</definedName>
    <definedName name="SP_M15_deviders" localSheetId="0">'[72]Road data'!#REF!</definedName>
    <definedName name="SP_M15_deviders" localSheetId="5">'[83]Road data'!#REF!</definedName>
    <definedName name="SP_M15_deviders">'[83]Road data'!#REF!</definedName>
    <definedName name="SP_M15_DIVIDERS" localSheetId="0">'[76]Road data'!#REF!</definedName>
    <definedName name="SP_M15_DIVIDERS" localSheetId="5">'[77]Road data'!#REF!</definedName>
    <definedName name="SP_M15_DIVIDERS">'[77]Road data'!#REF!</definedName>
    <definedName name="SP_M15_footing" localSheetId="0">'[72]Road data'!#REF!</definedName>
    <definedName name="SP_M15_footing" localSheetId="5">'[83]Road data'!#REF!</definedName>
    <definedName name="SP_M15_footing">'[83]Road data'!#REF!</definedName>
    <definedName name="SP_M15_FOUND" localSheetId="0">'[76]Road data'!#REF!</definedName>
    <definedName name="SP_M15_FOUND" localSheetId="5">'[77]Road data'!#REF!</definedName>
    <definedName name="SP_M15_FOUND">'[77]Road data'!#REF!</definedName>
    <definedName name="SP_M15_LEVEL" localSheetId="0">'[76]Road data'!#REF!</definedName>
    <definedName name="SP_M15_LEVEL" localSheetId="5">'[77]Road data'!#REF!</definedName>
    <definedName name="SP_M15_LEVEL">'[77]Road data'!#REF!</definedName>
    <definedName name="SP_M15_SUB" localSheetId="0">'[76]Road data'!#REF!</definedName>
    <definedName name="SP_M15_SUB" localSheetId="5">'[77]Road data'!#REF!</definedName>
    <definedName name="SP_M15_SUB">'[77]Road data'!#REF!</definedName>
    <definedName name="SP_M20_BedBack" localSheetId="0">'[72]Road data'!#REF!</definedName>
    <definedName name="SP_M20_BedBack" localSheetId="5">'[83]Road data'!#REF!</definedName>
    <definedName name="SP_M20_BedBack">'[83]Road data'!#REF!</definedName>
    <definedName name="SP_M20_COVER" localSheetId="0">'[72]Road data'!#REF!</definedName>
    <definedName name="SP_M20_COVER" localSheetId="5">'[83]Road data'!#REF!</definedName>
    <definedName name="SP_M20_COVER">'[83]Road data'!#REF!</definedName>
    <definedName name="SP_M20_Slab" localSheetId="0">'[72]Road data'!#REF!</definedName>
    <definedName name="SP_M20_Slab" localSheetId="5">'[83]Road data'!#REF!</definedName>
    <definedName name="SP_M20_Slab">'[83]Road data'!#REF!</definedName>
    <definedName name="SP_M20R_BEDBLOCKS" localSheetId="0">'[76]Road data'!#REF!</definedName>
    <definedName name="SP_M20R_BEDBLOCKS" localSheetId="5">'[77]Road data'!#REF!</definedName>
    <definedName name="SP_M20R_BEDBLOCKS">'[77]Road data'!#REF!</definedName>
    <definedName name="SP_M20R_COVER_SLAB" localSheetId="0">'[76]Road data'!#REF!</definedName>
    <definedName name="SP_M20R_COVER_SLAB" localSheetId="5">'[77]Road data'!#REF!</definedName>
    <definedName name="SP_M20R_COVER_SLAB">'[77]Road data'!#REF!</definedName>
    <definedName name="SP_M20R_DECK" localSheetId="0">'[76]Road data'!#REF!</definedName>
    <definedName name="SP_M20R_DECK" localSheetId="5">'[77]Road data'!#REF!</definedName>
    <definedName name="SP_M20R_DECK">'[77]Road data'!#REF!</definedName>
    <definedName name="SP_M20R_RAIL" localSheetId="0">'[76]Road data'!#REF!</definedName>
    <definedName name="SP_M20R_RAIL" localSheetId="5">'[77]Road data'!#REF!</definedName>
    <definedName name="SP_M20R_RAIL">'[77]Road data'!#REF!</definedName>
    <definedName name="SP_M25_ApproachSlab" localSheetId="0">'[72]Road data'!#REF!</definedName>
    <definedName name="SP_M25_ApproachSlab" localSheetId="5">'[83]Road data'!#REF!</definedName>
    <definedName name="SP_M25_ApproachSlab">'[83]Road data'!#REF!</definedName>
    <definedName name="SP_M25R_APP" localSheetId="0">'[76]Road data'!#REF!</definedName>
    <definedName name="SP_M25R_APP" localSheetId="5">'[77]Road data'!#REF!</definedName>
    <definedName name="SP_M25R_APP">'[77]Road data'!#REF!</definedName>
    <definedName name="SP_M30_WC" localSheetId="0">'[72]Road data'!#REF!</definedName>
    <definedName name="SP_M30_WC" localSheetId="5">'[83]Road data'!#REF!</definedName>
    <definedName name="SP_M30_WC">'[83]Road data'!#REF!</definedName>
    <definedName name="SP_M30R_WC" localSheetId="0">'[76]Road data'!#REF!</definedName>
    <definedName name="SP_M30R_WC" localSheetId="5">'[77]Road data'!#REF!</definedName>
    <definedName name="SP_M30R_WC">'[77]Road data'!#REF!</definedName>
    <definedName name="SP_M35_CC" localSheetId="0">'[72]Road data'!#REF!</definedName>
    <definedName name="SP_M35_CC" localSheetId="5">'[83]Road data'!#REF!</definedName>
    <definedName name="SP_M35_CC">'[83]Road data'!#REF!</definedName>
    <definedName name="SP_M35_CCP" localSheetId="0">'[76]Road data'!#REF!</definedName>
    <definedName name="SP_M35_CCP" localSheetId="5">'[77]Road data'!#REF!</definedName>
    <definedName name="SP_M35_CCP">'[77]Road data'!#REF!</definedName>
    <definedName name="SP_M35_fLY_CCP" localSheetId="0">'[76]Road data'!#REF!</definedName>
    <definedName name="SP_M35_fLY_CCP" localSheetId="5">'[77]Road data'!#REF!</definedName>
    <definedName name="SP_M35_fLY_CCP">'[77]Road data'!#REF!</definedName>
    <definedName name="SP_M35_FlyAsh" localSheetId="0">'[72]Road data'!#REF!</definedName>
    <definedName name="SP_M35_FlyAsh" localSheetId="5">'[83]Road data'!#REF!</definedName>
    <definedName name="SP_M35_FlyAsh">'[83]Road data'!#REF!</definedName>
    <definedName name="SP_MAST_25.4">'[252]ROAD DATA'!$B$695</definedName>
    <definedName name="SP_MILD" localSheetId="0">'[76]Road data'!#REF!</definedName>
    <definedName name="SP_MILD" localSheetId="5">'[77]Road data'!#REF!</definedName>
    <definedName name="SP_MILD">'[77]Road data'!#REF!</definedName>
    <definedName name="SP_MSS" localSheetId="0">'[76]Road data'!$C$220</definedName>
    <definedName name="SP_MSS">'[77]Road data'!$C$220</definedName>
    <definedName name="SP_P_EW_FOUND">'[252]HP PIPE  DATA'!$B$5</definedName>
    <definedName name="SP_P_FILL_INB_BODY">'[252]HP PIPE  DATA'!$B$138</definedName>
    <definedName name="SP_P_HP_1000">'[252]HP PIPE  DATA'!$B$117</definedName>
    <definedName name="SP_P_SANDFILL">'[252]HP PIPE  DATA'!$B$45</definedName>
    <definedName name="SP_PAINT" localSheetId="2">'[77]Road data'!#REF!</definedName>
    <definedName name="SP_PAINT" localSheetId="0">'[76]Road data'!#REF!</definedName>
    <definedName name="SP_PAINT" localSheetId="1">'[77]Road data'!#REF!</definedName>
    <definedName name="SP_PAINT" localSheetId="4">'[77]Road data'!#REF!</definedName>
    <definedName name="SP_PAINT" localSheetId="6">'[77]Road data'!#REF!</definedName>
    <definedName name="SP_PAINT" localSheetId="5">'[77]Road data'!#REF!</definedName>
    <definedName name="SP_PAINT" localSheetId="7">'[77]Road data'!#REF!</definedName>
    <definedName name="SP_PAINT">'[77]Road data'!#REF!</definedName>
    <definedName name="SP_Painting" localSheetId="2">'[83]Road data'!#REF!</definedName>
    <definedName name="SP_Painting" localSheetId="0">'[72]Road data'!#REF!</definedName>
    <definedName name="SP_Painting" localSheetId="1">'[83]Road data'!#REF!</definedName>
    <definedName name="SP_Painting" localSheetId="4">'[83]Road data'!#REF!</definedName>
    <definedName name="SP_Painting" localSheetId="6">'[83]Road data'!#REF!</definedName>
    <definedName name="SP_Painting" localSheetId="5">'[83]Road data'!#REF!</definedName>
    <definedName name="SP_Painting" localSheetId="7">'[83]Road data'!#REF!</definedName>
    <definedName name="SP_Painting">'[83]Road data'!#REF!</definedName>
    <definedName name="SP_Pick" localSheetId="0">'[221]Road data'!$C$79</definedName>
    <definedName name="SP_Pick">'[253]Road data'!$C$79</definedName>
    <definedName name="SP_PLAST" localSheetId="2">'[77]Road data'!#REF!</definedName>
    <definedName name="SP_PLAST" localSheetId="0">'[76]Road data'!#REF!</definedName>
    <definedName name="SP_PLAST" localSheetId="1">'[77]Road data'!#REF!</definedName>
    <definedName name="SP_PLAST" localSheetId="4">'[77]Road data'!#REF!</definedName>
    <definedName name="SP_PLAST" localSheetId="6">'[77]Road data'!#REF!</definedName>
    <definedName name="SP_PLAST" localSheetId="5">'[77]Road data'!#REF!</definedName>
    <definedName name="SP_PLAST" localSheetId="7">'[77]Road data'!#REF!</definedName>
    <definedName name="SP_PLAST">'[77]Road data'!#REF!</definedName>
    <definedName name="SP_Plastering" localSheetId="2">'[83]Road data'!#REF!</definedName>
    <definedName name="SP_Plastering" localSheetId="0">'[72]Road data'!#REF!</definedName>
    <definedName name="SP_Plastering" localSheetId="1">'[83]Road data'!#REF!</definedName>
    <definedName name="SP_Plastering" localSheetId="4">'[83]Road data'!#REF!</definedName>
    <definedName name="SP_Plastering" localSheetId="6">'[83]Road data'!#REF!</definedName>
    <definedName name="SP_Plastering" localSheetId="5">'[83]Road data'!#REF!</definedName>
    <definedName name="SP_Plastering" localSheetId="7">'[83]Road data'!#REF!</definedName>
    <definedName name="SP_Plastering">'[83]Road data'!#REF!</definedName>
    <definedName name="SP_PRIME_SS1">'[252]ROAD DATA'!$B$417</definedName>
    <definedName name="SP_Rev_A300" localSheetId="0">'[72]Road data'!#REF!</definedName>
    <definedName name="SP_Rev_A300" localSheetId="5">'[83]Road data'!#REF!</definedName>
    <definedName name="SP_Rev_A300">'[83]Road data'!#REF!</definedName>
    <definedName name="SP_Rev_Q300" localSheetId="0">'[72]Road data'!#REF!</definedName>
    <definedName name="SP_Rev_Q300" localSheetId="5">'[83]Road data'!#REF!</definedName>
    <definedName name="SP_Rev_Q300">'[83]Road data'!#REF!</definedName>
    <definedName name="SP_REV300" localSheetId="0">'[76]Road data'!#REF!</definedName>
    <definedName name="SP_REV300" localSheetId="5">'[77]Road data'!#REF!</definedName>
    <definedName name="SP_REV300">'[77]Road data'!#REF!</definedName>
    <definedName name="SP_SANDFILL" localSheetId="0">'[76]Road data'!#REF!</definedName>
    <definedName name="SP_SANDFILL" localSheetId="5">'[77]Road data'!#REF!</definedName>
    <definedName name="SP_SANDFILL">'[77]Road data'!#REF!</definedName>
    <definedName name="SP_Sandfilling" localSheetId="0">'[72]Road data'!#REF!</definedName>
    <definedName name="SP_Sandfilling" localSheetId="5">'[83]Road data'!#REF!</definedName>
    <definedName name="SP_Sandfilling">'[83]Road data'!#REF!</definedName>
    <definedName name="SP_SCAR_BT" localSheetId="0">'[76]Road data'!$C$113</definedName>
    <definedName name="SP_SCAR_BT">'[77]Road data'!$C$113</definedName>
    <definedName name="SP_SCAR_GRA" localSheetId="0">'[76]Road data'!$C$95</definedName>
    <definedName name="SP_SCAR_GRA">'[77]Road data'!$C$95</definedName>
    <definedName name="SP_Scar_GSB" localSheetId="2">'[83]Road data'!#REF!</definedName>
    <definedName name="SP_Scar_GSB" localSheetId="0">'[72]Road data'!#REF!</definedName>
    <definedName name="SP_Scar_GSB" localSheetId="1">'[83]Road data'!#REF!</definedName>
    <definedName name="SP_Scar_GSB" localSheetId="4">'[83]Road data'!#REF!</definedName>
    <definedName name="SP_Scar_GSB" localSheetId="6">'[83]Road data'!#REF!</definedName>
    <definedName name="SP_Scar_GSB" localSheetId="5">'[83]Road data'!#REF!</definedName>
    <definedName name="SP_Scar_GSB" localSheetId="7">'[83]Road data'!#REF!</definedName>
    <definedName name="SP_Scar_GSB">'[83]Road data'!#REF!</definedName>
    <definedName name="SP_SCSD_6070" localSheetId="2">'[77]Road data'!#REF!</definedName>
    <definedName name="SP_SCSD_6070" localSheetId="0">'[76]Road data'!#REF!</definedName>
    <definedName name="SP_SCSD_6070" localSheetId="1">'[77]Road data'!#REF!</definedName>
    <definedName name="SP_SCSD_6070" localSheetId="4">'[77]Road data'!#REF!</definedName>
    <definedName name="SP_SCSD_6070" localSheetId="6">'[77]Road data'!#REF!</definedName>
    <definedName name="SP_SCSD_6070" localSheetId="5">'[77]Road data'!#REF!</definedName>
    <definedName name="SP_SCSD_6070" localSheetId="7">'[77]Road data'!#REF!</definedName>
    <definedName name="SP_SCSD_6070">'[77]Road data'!#REF!</definedName>
    <definedName name="SP_SCSD_80100" localSheetId="0">'[76]Road data'!$C$166</definedName>
    <definedName name="SP_SCSD_80100">'[77]Road data'!$C$166</definedName>
    <definedName name="SP_TACK" localSheetId="0">'[76]Road data'!$C$196</definedName>
    <definedName name="SP_TACK">'[77]Road data'!$C$196</definedName>
    <definedName name="SP_TACK_RS">'[252]ROAD DATA'!$B$442</definedName>
    <definedName name="SP_WBM2" localSheetId="2">'[83]Road data'!#REF!</definedName>
    <definedName name="SP_WBM2" localSheetId="0">'[72]Road data'!#REF!</definedName>
    <definedName name="SP_WBM2" localSheetId="1">'[83]Road data'!#REF!</definedName>
    <definedName name="SP_WBM2" localSheetId="4">'[83]Road data'!#REF!</definedName>
    <definedName name="SP_WBM2" localSheetId="6">'[83]Road data'!#REF!</definedName>
    <definedName name="SP_WBM2" localSheetId="5">'[83]Road data'!#REF!</definedName>
    <definedName name="SP_WBM2" localSheetId="7">'[83]Road data'!#REF!</definedName>
    <definedName name="SP_WBM2">'[83]Road data'!#REF!</definedName>
    <definedName name="SP_WBM2_HS" localSheetId="0">'[72]Road data'!$C$81</definedName>
    <definedName name="SP_WBM2_HS">'[73]Road data'!$C$81</definedName>
    <definedName name="SP_WBM2_HVR" localSheetId="2">'[83]Road data'!#REF!</definedName>
    <definedName name="SP_WBM2_HVR" localSheetId="0">'[72]Road data'!#REF!</definedName>
    <definedName name="SP_WBM2_HVR" localSheetId="1">'[83]Road data'!#REF!</definedName>
    <definedName name="SP_WBM2_HVR" localSheetId="4">'[83]Road data'!#REF!</definedName>
    <definedName name="SP_WBM2_HVR" localSheetId="6">'[83]Road data'!#REF!</definedName>
    <definedName name="SP_WBM2_HVR" localSheetId="5">'[83]Road data'!#REF!</definedName>
    <definedName name="SP_WBM2_HVR" localSheetId="7">'[83]Road data'!#REF!</definedName>
    <definedName name="SP_WBM2_HVR">'[83]Road data'!#REF!</definedName>
    <definedName name="SP_WBM2_MCS" localSheetId="2">'[83]Road data'!#REF!</definedName>
    <definedName name="SP_WBM2_MCS" localSheetId="0">'[72]Road data'!#REF!</definedName>
    <definedName name="SP_WBM2_MCS" localSheetId="1">'[83]Road data'!#REF!</definedName>
    <definedName name="SP_WBM2_MCS" localSheetId="4">'[83]Road data'!#REF!</definedName>
    <definedName name="SP_WBM2_MCS" localSheetId="6">'[83]Road data'!#REF!</definedName>
    <definedName name="SP_WBM2_MCS" localSheetId="5">'[83]Road data'!#REF!</definedName>
    <definedName name="SP_WBM2_MCS" localSheetId="7">'[83]Road data'!#REF!</definedName>
    <definedName name="SP_WBM2_MCS">'[83]Road data'!#REF!</definedName>
    <definedName name="SP_WBM2_MVR" localSheetId="0">'[72]Road data'!#REF!</definedName>
    <definedName name="SP_WBM2_MVR" localSheetId="5">'[83]Road data'!#REF!</definedName>
    <definedName name="SP_WBM2_MVR">'[83]Road data'!#REF!</definedName>
    <definedName name="SP_WBM3" localSheetId="0">'[72]Road data'!#REF!</definedName>
    <definedName name="SP_WBM3" localSheetId="5">'[83]Road data'!#REF!</definedName>
    <definedName name="SP_WBM3">'[83]Road data'!#REF!</definedName>
    <definedName name="SP_WBM3_HS" localSheetId="0">'[72]Road data'!$C$108</definedName>
    <definedName name="SP_WBM3_HS">'[73]Road data'!$C$108</definedName>
    <definedName name="SP_WBM3_HVR" localSheetId="2">'[83]Road data'!#REF!</definedName>
    <definedName name="SP_WBM3_HVR" localSheetId="0">'[72]Road data'!#REF!</definedName>
    <definedName name="SP_WBM3_HVR" localSheetId="1">'[83]Road data'!#REF!</definedName>
    <definedName name="SP_WBM3_HVR" localSheetId="4">'[83]Road data'!#REF!</definedName>
    <definedName name="SP_WBM3_HVR" localSheetId="6">'[83]Road data'!#REF!</definedName>
    <definedName name="SP_WBM3_HVR" localSheetId="5">'[83]Road data'!#REF!</definedName>
    <definedName name="SP_WBM3_HVR" localSheetId="7">'[83]Road data'!#REF!</definedName>
    <definedName name="SP_WBM3_HVR">'[83]Road data'!#REF!</definedName>
    <definedName name="SP_WBM3_MCS" localSheetId="2">'[83]Road data'!#REF!</definedName>
    <definedName name="SP_WBM3_MCS" localSheetId="0">'[72]Road data'!#REF!</definedName>
    <definedName name="SP_WBM3_MCS" localSheetId="1">'[83]Road data'!#REF!</definedName>
    <definedName name="SP_WBM3_MCS" localSheetId="4">'[83]Road data'!#REF!</definedName>
    <definedName name="SP_WBM3_MCS" localSheetId="6">'[83]Road data'!#REF!</definedName>
    <definedName name="SP_WBM3_MCS" localSheetId="5">'[83]Road data'!#REF!</definedName>
    <definedName name="SP_WBM3_MCS" localSheetId="7">'[83]Road data'!#REF!</definedName>
    <definedName name="SP_WBM3_MCS">'[83]Road data'!#REF!</definedName>
    <definedName name="SP_Weepholes" localSheetId="0">'[72]Road data'!#REF!</definedName>
    <definedName name="SP_Weepholes" localSheetId="5">'[83]Road data'!#REF!</definedName>
    <definedName name="SP_Weepholes">'[83]Road data'!#REF!</definedName>
    <definedName name="SP_WMM" localSheetId="0">'[76]Road data'!$C$134</definedName>
    <definedName name="SP_WMM">'[77]Road data'!$C$134</definedName>
    <definedName name="SP_WMM_MP">'[252]ROAD DATA'!$B$384</definedName>
    <definedName name="sp002a" localSheetId="2">'[84]MRoad data'!#REF!</definedName>
    <definedName name="sp002a" localSheetId="1">'[84]MRoad data'!#REF!</definedName>
    <definedName name="sp002a" localSheetId="4">'[84]MRoad data'!#REF!</definedName>
    <definedName name="sp002a" localSheetId="6">'[84]MRoad data'!#REF!</definedName>
    <definedName name="sp002a" localSheetId="5">'[84]MRoad data'!#REF!</definedName>
    <definedName name="sp002a" localSheetId="7">'[84]MRoad data'!#REF!</definedName>
    <definedName name="sp002a">'[84]MRoad data'!#REF!</definedName>
    <definedName name="sp004a" localSheetId="2">'[84]MRoad data'!#REF!</definedName>
    <definedName name="sp004a" localSheetId="1">'[84]MRoad data'!#REF!</definedName>
    <definedName name="sp004a" localSheetId="4">'[84]MRoad data'!#REF!</definedName>
    <definedName name="sp004a" localSheetId="6">'[84]MRoad data'!#REF!</definedName>
    <definedName name="sp004a" localSheetId="5">'[84]MRoad data'!#REF!</definedName>
    <definedName name="sp004a" localSheetId="7">'[84]MRoad data'!#REF!</definedName>
    <definedName name="sp004a">'[84]MRoad data'!#REF!</definedName>
    <definedName name="SP005A" localSheetId="5">'[84]MRoad data'!#REF!</definedName>
    <definedName name="SP005A">'[84]MRoad data'!#REF!</definedName>
    <definedName name="SP022a" localSheetId="5">'[84]MRoad data'!#REF!</definedName>
    <definedName name="SP022a">'[84]MRoad data'!#REF!</definedName>
    <definedName name="sp023a" localSheetId="5">'[84]MRoad data'!#REF!</definedName>
    <definedName name="sp023a">'[84]MRoad data'!#REF!</definedName>
    <definedName name="sp025a" localSheetId="5">'[84]MRoad data'!#REF!</definedName>
    <definedName name="sp025a">'[84]MRoad data'!#REF!</definedName>
    <definedName name="SP034a" localSheetId="5">'[84]MRoad data'!#REF!</definedName>
    <definedName name="SP034a">'[84]MRoad data'!#REF!</definedName>
    <definedName name="spanner">#N/A</definedName>
    <definedName name="SPD" localSheetId="2">#REF!</definedName>
    <definedName name="SPD" localSheetId="1">#REF!</definedName>
    <definedName name="SPD" localSheetId="4">#REF!</definedName>
    <definedName name="SPD" localSheetId="6">#REF!</definedName>
    <definedName name="SPD" localSheetId="5">#REF!</definedName>
    <definedName name="SPD" localSheetId="7">#REF!</definedName>
    <definedName name="SPD">#REF!</definedName>
    <definedName name="SpecialPrice" localSheetId="5" hidden="1">#REF!</definedName>
    <definedName name="SpecialPrice" localSheetId="7" hidden="1">#REF!</definedName>
    <definedName name="SpecialPrice" hidden="1">#REF!</definedName>
    <definedName name="specific">[166]m!$D$149</definedName>
    <definedName name="Specification">[282]Specification!$B$3:$E$108</definedName>
    <definedName name="Spreading__watering_gravel_for_150mm_compacted" localSheetId="2">#REF!</definedName>
    <definedName name="Spreading__watering_gravel_for_150mm_compacted" localSheetId="1">#REF!</definedName>
    <definedName name="Spreading__watering_gravel_for_150mm_compacted" localSheetId="4">#REF!</definedName>
    <definedName name="Spreading__watering_gravel_for_150mm_compacted" localSheetId="6">#REF!</definedName>
    <definedName name="Spreading__watering_gravel_for_150mm_compacted" localSheetId="5">#REF!</definedName>
    <definedName name="Spreading__watering_gravel_for_150mm_compacted" localSheetId="7">#REF!</definedName>
    <definedName name="Spreading__watering_gravel_for_150mm_compacted">#REF!</definedName>
    <definedName name="SPREADING_40MM" localSheetId="2">[128]Abs!#REF!</definedName>
    <definedName name="SPREADING_40MM" localSheetId="1">[128]Abs!#REF!</definedName>
    <definedName name="SPREADING_40MM" localSheetId="4">[128]Abs!#REF!</definedName>
    <definedName name="SPREADING_40MM" localSheetId="6">[128]Abs!#REF!</definedName>
    <definedName name="SPREADING_40MM" localSheetId="5">[128]Abs!#REF!</definedName>
    <definedName name="SPREADING_40MM" localSheetId="7">[128]Abs!#REF!</definedName>
    <definedName name="SPREADING_40MM">[128]Abs!#REF!</definedName>
    <definedName name="SPREADING_65MM" localSheetId="5">[128]Abs!#REF!</definedName>
    <definedName name="SPREADING_65MM" localSheetId="7">[128]Abs!#REF!</definedName>
    <definedName name="SPREADING_65MM">[128]Abs!#REF!</definedName>
    <definedName name="Spreading_gravel_or_sand_including_watering_and_rolling_with_hand_roller_irrespective_of_thickness_in_layer">'[66]Common '!$D$308</definedName>
    <definedName name="sr">[242]m!$M$3</definedName>
    <definedName name="sri">[242]m!$D$149</definedName>
    <definedName name="srinu">[242]m!$M$3</definedName>
    <definedName name="srrr" localSheetId="0">#REF!</definedName>
    <definedName name="srrr" localSheetId="7">#REF!</definedName>
    <definedName name="srrr">#REF!</definedName>
    <definedName name="ss" localSheetId="0">'[149]UT Without Drop'!$H$77</definedName>
    <definedName name="SS" localSheetId="4">#REF!</definedName>
    <definedName name="ss">'[151]UT Without Drop'!$H$77</definedName>
    <definedName name="SSB" localSheetId="2">#REF!</definedName>
    <definedName name="SSB" localSheetId="1">#REF!</definedName>
    <definedName name="SSB" localSheetId="4">#REF!</definedName>
    <definedName name="SSB" localSheetId="6">#REF!</definedName>
    <definedName name="SSB" localSheetId="5">#REF!</definedName>
    <definedName name="SSB" localSheetId="7">#REF!</definedName>
    <definedName name="SSB">#REF!</definedName>
    <definedName name="SSC" localSheetId="4">#REF!</definedName>
    <definedName name="SSC" localSheetId="5">#REF!</definedName>
    <definedName name="SSC" localSheetId="7">#REF!</definedName>
    <definedName name="SSC">#REF!</definedName>
    <definedName name="sslp" localSheetId="2">'[283]Dn LF Sluice'!#REF!</definedName>
    <definedName name="sslp" localSheetId="1">'[283]Dn LF Sluice'!#REF!</definedName>
    <definedName name="sslp" localSheetId="4">'[283]Dn LF Sluice'!#REF!</definedName>
    <definedName name="sslp" localSheetId="6">'[283]Dn LF Sluice'!#REF!</definedName>
    <definedName name="sslp" localSheetId="5">'[283]Dn LF Sluice'!#REF!</definedName>
    <definedName name="sslp">'[283]Dn LF Sluice'!#REF!</definedName>
    <definedName name="Sspb" localSheetId="0">#REF!</definedName>
    <definedName name="Sspb">#REF!</definedName>
    <definedName name="SSR" localSheetId="2">#REF!</definedName>
    <definedName name="SSR" localSheetId="0">#REF!</definedName>
    <definedName name="SSR" localSheetId="1">#REF!</definedName>
    <definedName name="SSR" localSheetId="4">#REF!</definedName>
    <definedName name="SSR" localSheetId="6">#REF!</definedName>
    <definedName name="SSR" localSheetId="5">#REF!</definedName>
    <definedName name="SSR" localSheetId="7">#REF!</definedName>
    <definedName name="SSR">#REF!</definedName>
    <definedName name="sss" localSheetId="4">#REF!</definedName>
    <definedName name="sss" localSheetId="5">#REF!</definedName>
    <definedName name="sss" localSheetId="7">#REF!</definedName>
    <definedName name="sss">#REF!</definedName>
    <definedName name="sssb">#REF!</definedName>
    <definedName name="SSTACK" localSheetId="0">[52]MRATES!$AD$12</definedName>
    <definedName name="SSTACK" localSheetId="4">[43]MRATES!$AC$8</definedName>
    <definedName name="SSTACK">[53]MRATES!$AD$12</definedName>
    <definedName name="st">'[284]Lead statement'!$Q$19</definedName>
    <definedName name="stack" localSheetId="2">#REF!</definedName>
    <definedName name="stack" localSheetId="1">#REF!</definedName>
    <definedName name="stack" localSheetId="4">#REF!</definedName>
    <definedName name="stack" localSheetId="6">#REF!</definedName>
    <definedName name="stack" localSheetId="5">#REF!</definedName>
    <definedName name="stack" localSheetId="7">#REF!</definedName>
    <definedName name="stack">#REF!</definedName>
    <definedName name="stack1" localSheetId="5">#REF!</definedName>
    <definedName name="stack1" localSheetId="7">#REF!</definedName>
    <definedName name="stack1">#REF!</definedName>
    <definedName name="stack4" localSheetId="0">#REF!</definedName>
    <definedName name="stack4" localSheetId="5">#REF!</definedName>
    <definedName name="stack4" localSheetId="7">#REF!</definedName>
    <definedName name="stack4">#REF!</definedName>
    <definedName name="stacking_gravel" localSheetId="5">#REF!</definedName>
    <definedName name="stacking_gravel" localSheetId="7">#REF!</definedName>
    <definedName name="stacking_gravel">#REF!</definedName>
    <definedName name="stacking_metal" localSheetId="5">#REF!</definedName>
    <definedName name="stacking_metal" localSheetId="7">#REF!</definedName>
    <definedName name="stacking_metal">#REF!</definedName>
    <definedName name="stackmetal" localSheetId="0">[126]ssr200809!$J$115</definedName>
    <definedName name="stackmetal">[127]ssr200809!$J$115</definedName>
    <definedName name="stacksand" localSheetId="0">[126]ssr200809!$I$115</definedName>
    <definedName name="stacksand">[127]ssr200809!$I$115</definedName>
    <definedName name="staf" localSheetId="2">[285]v!#REF!</definedName>
    <definedName name="staf" localSheetId="0">[286]v!#REF!</definedName>
    <definedName name="staf" localSheetId="1">[285]v!#REF!</definedName>
    <definedName name="staf" localSheetId="4">[285]v!#REF!</definedName>
    <definedName name="staf" localSheetId="6">[285]v!#REF!</definedName>
    <definedName name="staf" localSheetId="5">[285]v!#REF!</definedName>
    <definedName name="staf" localSheetId="7">[285]v!#REF!</definedName>
    <definedName name="staf">[285]v!#REF!</definedName>
    <definedName name="State" localSheetId="2">#REF!</definedName>
    <definedName name="State" localSheetId="1">#REF!</definedName>
    <definedName name="State" localSheetId="4">#REF!</definedName>
    <definedName name="State" localSheetId="6">#REF!</definedName>
    <definedName name="State" localSheetId="5">#REF!</definedName>
    <definedName name="State" localSheetId="7">#REF!</definedName>
    <definedName name="State">#REF!</definedName>
    <definedName name="STGTAB">#REF!</definedName>
    <definedName name="STL">[115]DATA!$F$90</definedName>
    <definedName name="stone_dust" localSheetId="2">#REF!</definedName>
    <definedName name="stone_dust" localSheetId="1">#REF!</definedName>
    <definedName name="stone_dust" localSheetId="4">#REF!</definedName>
    <definedName name="stone_dust" localSheetId="6">#REF!</definedName>
    <definedName name="stone_dust" localSheetId="5">#REF!</definedName>
    <definedName name="stone_dust" localSheetId="7">#REF!</definedName>
    <definedName name="stone_dust">#REF!</definedName>
    <definedName name="Stone_matrix" localSheetId="5">#REF!</definedName>
    <definedName name="Stone_matrix" localSheetId="7">#REF!</definedName>
    <definedName name="Stone_matrix">#REF!</definedName>
    <definedName name="stooo">#N/A</definedName>
    <definedName name="StreamDS" localSheetId="0">[234]Note!$D$22</definedName>
    <definedName name="StreamDS">[235]Note!$D$22</definedName>
    <definedName name="StreamUS" localSheetId="0">[234]Note!$D$23</definedName>
    <definedName name="StreamUS">[235]Note!$D$23</definedName>
    <definedName name="strp" localSheetId="2">#REF!</definedName>
    <definedName name="strp" localSheetId="1">#REF!</definedName>
    <definedName name="strp" localSheetId="4">#REF!</definedName>
    <definedName name="strp" localSheetId="6">#REF!</definedName>
    <definedName name="strp" localSheetId="5">#REF!</definedName>
    <definedName name="strp" localSheetId="7">#REF!</definedName>
    <definedName name="strp">#REF!</definedName>
    <definedName name="STRTAB" localSheetId="2">#REF!</definedName>
    <definedName name="STRTAB" localSheetId="1">#REF!</definedName>
    <definedName name="STRTAB" localSheetId="4">#REF!</definedName>
    <definedName name="STRTAB" localSheetId="6">#REF!</definedName>
    <definedName name="STRTAB" localSheetId="5">#REF!</definedName>
    <definedName name="STRTAB" localSheetId="7">#REF!</definedName>
    <definedName name="STRTAB">#REF!</definedName>
    <definedName name="SUNLOAD" localSheetId="0">[52]MRATES!$AD$11</definedName>
    <definedName name="SUNLOAD" localSheetId="4">[43]MRATES!$AC$7</definedName>
    <definedName name="SUNLOAD">[53]MRATES!$AD$11</definedName>
    <definedName name="Sunshade_0.6_m_wide" localSheetId="2">[67]Works!#REF!</definedName>
    <definedName name="Sunshade_0.6_m_wide" localSheetId="1">[67]Works!#REF!</definedName>
    <definedName name="Sunshade_0.6_m_wide" localSheetId="4">[67]Works!#REF!</definedName>
    <definedName name="Sunshade_0.6_m_wide" localSheetId="6">[67]Works!#REF!</definedName>
    <definedName name="Sunshade_0.6_m_wide" localSheetId="5">[67]Works!#REF!</definedName>
    <definedName name="Sunshade_0.6_m_wide" localSheetId="7">[67]Works!#REF!</definedName>
    <definedName name="Sunshade_0.6_m_wide">[67]Works!#REF!</definedName>
    <definedName name="Sunshade_0.8_m_wide" localSheetId="2">[67]Works!#REF!</definedName>
    <definedName name="Sunshade_0.8_m_wide" localSheetId="1">[67]Works!#REF!</definedName>
    <definedName name="Sunshade_0.8_m_wide" localSheetId="4">[67]Works!#REF!</definedName>
    <definedName name="Sunshade_0.8_m_wide" localSheetId="6">[67]Works!#REF!</definedName>
    <definedName name="Sunshade_0.8_m_wide" localSheetId="5">[67]Works!#REF!</definedName>
    <definedName name="Sunshade_0.8_m_wide" localSheetId="7">[67]Works!#REF!</definedName>
    <definedName name="Sunshade_0.8_m_wide">[67]Works!#REF!</definedName>
    <definedName name="Sunshade_1.0_m_wide" localSheetId="5">[67]Works!#REF!</definedName>
    <definedName name="Sunshade_1.0_m_wide">[67]Works!#REF!</definedName>
    <definedName name="sunshade_width">'[123]data existing_do not delete'!$A$98:$A$100</definedName>
    <definedName name="sw" localSheetId="2">[287]Lead!#REF!</definedName>
    <definedName name="sw" localSheetId="1">[287]Lead!#REF!</definedName>
    <definedName name="sw" localSheetId="4">[287]Lead!#REF!</definedName>
    <definedName name="sw" localSheetId="6">[287]Lead!#REF!</definedName>
    <definedName name="sw" localSheetId="5">[287]Lead!#REF!</definedName>
    <definedName name="sw" localSheetId="7">[287]Lead!#REF!</definedName>
    <definedName name="sw">[287]Lead!#REF!</definedName>
    <definedName name="swellall" localSheetId="0">#REF!</definedName>
    <definedName name="swellall">#REF!</definedName>
    <definedName name="swellff" localSheetId="0">#REF!</definedName>
    <definedName name="swellff">#REF!</definedName>
    <definedName name="swellhdr" localSheetId="0">#REF!</definedName>
    <definedName name="swellhdr">#REF!</definedName>
    <definedName name="swellhr">#REF!</definedName>
    <definedName name="SYS5UU76D5U5EURT5YD" localSheetId="2">'[153]Aug,02'!#REF!</definedName>
    <definedName name="SYS5UU76D5U5EURT5YD" localSheetId="1">'[153]Aug,02'!#REF!</definedName>
    <definedName name="SYS5UU76D5U5EURT5YD" localSheetId="4">'[153]Aug,02'!#REF!</definedName>
    <definedName name="SYS5UU76D5U5EURT5YD" localSheetId="6">'[153]Aug,02'!#REF!</definedName>
    <definedName name="SYS5UU76D5U5EURT5YD" localSheetId="5">'[153]Aug,02'!#REF!</definedName>
    <definedName name="SYS5UU76D5U5EURT5YD">'[153]Aug,02'!#REF!</definedName>
    <definedName name="T" localSheetId="2" hidden="1">{"'ridftotal'!$A$4:$S$27"}</definedName>
    <definedName name="T" localSheetId="1" hidden="1">{"'ridftotal'!$A$4:$S$27"}</definedName>
    <definedName name="T" localSheetId="4" hidden="1">{"'ridftotal'!$A$4:$S$27"}</definedName>
    <definedName name="T" localSheetId="6" hidden="1">{"'ridftotal'!$A$4:$S$27"}</definedName>
    <definedName name="T" localSheetId="5" hidden="1">{"'ridftotal'!$A$4:$S$27"}</definedName>
    <definedName name="T" localSheetId="7" hidden="1">{"'ridftotal'!$A$4:$S$27"}</definedName>
    <definedName name="T" hidden="1">{"'ridftotal'!$A$4:$S$27"}</definedName>
    <definedName name="T_beams" localSheetId="5">[67]Works!#REF!</definedName>
    <definedName name="T_beams">[67]Works!#REF!</definedName>
    <definedName name="Table_A2___Road_Sections__as_given_in_Terms_of_Reference__Not_Used_In_The_Study">'[101]R99 etc'!$A$1:$L$142</definedName>
    <definedName name="Table1" localSheetId="2">#REF!</definedName>
    <definedName name="Table1" localSheetId="1">#REF!</definedName>
    <definedName name="Table1" localSheetId="4">#REF!</definedName>
    <definedName name="Table1" localSheetId="6">#REF!</definedName>
    <definedName name="Table1" localSheetId="5">#REF!</definedName>
    <definedName name="Table1" localSheetId="7">#REF!</definedName>
    <definedName name="Table1">#REF!</definedName>
    <definedName name="Table2" localSheetId="5">#REF!</definedName>
    <definedName name="Table2" localSheetId="7">#REF!</definedName>
    <definedName name="Table2">#REF!</definedName>
    <definedName name="Table3" localSheetId="5">#REF!</definedName>
    <definedName name="Table3" localSheetId="7">#REF!</definedName>
    <definedName name="Table3">#REF!</definedName>
    <definedName name="Table4" localSheetId="5">#REF!</definedName>
    <definedName name="Table4" localSheetId="7">#REF!</definedName>
    <definedName name="Table4">#REF!</definedName>
    <definedName name="TAEW" localSheetId="0">'[72]abs road'!$J$6</definedName>
    <definedName name="TAEW">'[73]abs road'!$J$6</definedName>
    <definedName name="tailpiece">[61]maya!$B$343:$B$348</definedName>
    <definedName name="Tandam_Road_Roller" localSheetId="2">#REF!</definedName>
    <definedName name="Tandam_Road_Roller" localSheetId="1">#REF!</definedName>
    <definedName name="Tandam_Road_Roller" localSheetId="4">#REF!</definedName>
    <definedName name="Tandam_Road_Roller" localSheetId="6">#REF!</definedName>
    <definedName name="Tandam_Road_Roller" localSheetId="5">#REF!</definedName>
    <definedName name="Tandam_Road_Roller" localSheetId="7">#REF!</definedName>
    <definedName name="Tandam_Road_Roller">#REF!</definedName>
    <definedName name="TAWBM" localSheetId="0">'[72]abs road'!$J$17</definedName>
    <definedName name="TAWBM">'[73]abs road'!$J$17</definedName>
    <definedName name="TaxTV">10%</definedName>
    <definedName name="TaxXL">5%</definedName>
    <definedName name="TBL" localSheetId="2">#REF!</definedName>
    <definedName name="TBL" localSheetId="1">#REF!</definedName>
    <definedName name="TBL" localSheetId="4">#REF!</definedName>
    <definedName name="TBL" localSheetId="6">#REF!</definedName>
    <definedName name="TBL" localSheetId="5">#REF!</definedName>
    <definedName name="TBL" localSheetId="7">#REF!</definedName>
    <definedName name="TBL">#REF!</definedName>
    <definedName name="tbl_ProdInfo" localSheetId="2" hidden="1">#REF!</definedName>
    <definedName name="tbl_ProdInfo" localSheetId="1" hidden="1">#REF!</definedName>
    <definedName name="tbl_ProdInfo" localSheetId="4" hidden="1">#REF!</definedName>
    <definedName name="tbl_ProdInfo" localSheetId="6" hidden="1">#REF!</definedName>
    <definedName name="tbl_ProdInfo" localSheetId="5" hidden="1">#REF!</definedName>
    <definedName name="tbl_ProdInfo" localSheetId="7" hidden="1">#REF!</definedName>
    <definedName name="tbl_ProdInfo" hidden="1">#REF!</definedName>
    <definedName name="TDS" hidden="1">{"'Sheet1'!$A$4386:$N$4591"}</definedName>
    <definedName name="tdufuttr" localSheetId="2">'[113]Aug,02'!#REF!</definedName>
    <definedName name="tdufuttr" localSheetId="1">'[113]Aug,02'!#REF!</definedName>
    <definedName name="tdufuttr" localSheetId="4">'[113]Aug,02'!#REF!</definedName>
    <definedName name="tdufuttr" localSheetId="6">'[113]Aug,02'!#REF!</definedName>
    <definedName name="tdufuttr" localSheetId="5">'[113]Aug,02'!#REF!</definedName>
    <definedName name="tdufuttr" localSheetId="7">'[113]Aug,02'!#REF!</definedName>
    <definedName name="tdufuttr">'[113]Aug,02'!#REF!</definedName>
    <definedName name="TECV" localSheetId="0">[72]ECV!$B$10</definedName>
    <definedName name="TECV">[73]ECV!$B$10</definedName>
    <definedName name="ted" localSheetId="2">#REF!</definedName>
    <definedName name="ted" localSheetId="1">#REF!</definedName>
    <definedName name="ted" localSheetId="4">#REF!</definedName>
    <definedName name="ted" localSheetId="6">#REF!</definedName>
    <definedName name="ted" localSheetId="5">#REF!</definedName>
    <definedName name="ted" localSheetId="7">#REF!</definedName>
    <definedName name="ted">#REF!</definedName>
    <definedName name="temp" localSheetId="0">[25]r!$F$2</definedName>
    <definedName name="temp">[19]r!$F$2</definedName>
    <definedName name="TGY">[288]Material!$D$130</definedName>
    <definedName name="Timber" localSheetId="2">[67]Material!#REF!</definedName>
    <definedName name="Timber" localSheetId="1">[67]Material!#REF!</definedName>
    <definedName name="Timber" localSheetId="4">[67]Material!#REF!</definedName>
    <definedName name="Timber" localSheetId="6">[67]Material!#REF!</definedName>
    <definedName name="Timber" localSheetId="5">[67]Material!#REF!</definedName>
    <definedName name="Timber" localSheetId="7">[67]Material!#REF!</definedName>
    <definedName name="Timber">[67]Material!#REF!</definedName>
    <definedName name="TIME" localSheetId="2">#REF!</definedName>
    <definedName name="TIME" localSheetId="0">#REF!</definedName>
    <definedName name="TIME" localSheetId="1">#REF!</definedName>
    <definedName name="TIME" localSheetId="4">#REF!</definedName>
    <definedName name="TIME" localSheetId="6">#REF!</definedName>
    <definedName name="TIME" localSheetId="5">#REF!</definedName>
    <definedName name="TIME" localSheetId="7">#REF!</definedName>
    <definedName name="TIME">#REF!</definedName>
    <definedName name="Tipper__Dumper_1_hour" localSheetId="2">#REF!</definedName>
    <definedName name="Tipper__Dumper_1_hour" localSheetId="1">#REF!</definedName>
    <definedName name="Tipper__Dumper_1_hour" localSheetId="4">#REF!</definedName>
    <definedName name="Tipper__Dumper_1_hour" localSheetId="6">#REF!</definedName>
    <definedName name="Tipper__Dumper_1_hour" localSheetId="5">#REF!</definedName>
    <definedName name="Tipper__Dumper_1_hour" localSheetId="7">#REF!</definedName>
    <definedName name="Tipper__Dumper_1_hour">#REF!</definedName>
    <definedName name="Tipper_10_T" localSheetId="5">#REF!</definedName>
    <definedName name="Tipper_10_T" localSheetId="7">#REF!</definedName>
    <definedName name="Tipper_10_T">#REF!</definedName>
    <definedName name="TL" localSheetId="0">'[103]MTC-estimate'!$C$6</definedName>
    <definedName name="TL">'[104]MTC-estimate'!$C$6</definedName>
    <definedName name="TOPDOME">'[148]DATA-ABSTRACT'!$A$11:$B$13</definedName>
    <definedName name="TOPDOMEONETOSIX" localSheetId="2">#REF!</definedName>
    <definedName name="TOPDOMEONETOSIX" localSheetId="1">#REF!</definedName>
    <definedName name="TOPDOMEONETOSIX" localSheetId="4">#REF!</definedName>
    <definedName name="TOPDOMEONETOSIX" localSheetId="6">#REF!</definedName>
    <definedName name="TOPDOMEONETOSIX" localSheetId="5">#REF!</definedName>
    <definedName name="TOPDOMEONETOSIX" localSheetId="7">#REF!</definedName>
    <definedName name="TOPDOMEONETOSIX">#REF!</definedName>
    <definedName name="TOPDOMESEVENTOTHIRTEEN" localSheetId="5">#REF!</definedName>
    <definedName name="TOPDOMESEVENTOTHIRTEEN" localSheetId="7">#REF!</definedName>
    <definedName name="TOPDOMESEVENTOTHIRTEEN">#REF!</definedName>
    <definedName name="TOPRINGGIRDERONETOSIX" localSheetId="5">#REF!</definedName>
    <definedName name="TOPRINGGIRDERONETOSIX" localSheetId="7">#REF!</definedName>
    <definedName name="TOPRINGGIRDERONETOSIX">#REF!</definedName>
    <definedName name="TOPRINGGIRDERSEVENTOTHIRTEEN" localSheetId="5">#REF!</definedName>
    <definedName name="TOPRINGGIRDERSEVENTOTHIRTEEN" localSheetId="7">#REF!</definedName>
    <definedName name="TOPRINGGIRDERSEVENTOTHIRTEEN">#REF!</definedName>
    <definedName name="Total" localSheetId="0">#REF!</definedName>
    <definedName name="Total" localSheetId="4">#REF!</definedName>
    <definedName name="Total" localSheetId="5">#REF!</definedName>
    <definedName name="Total" localSheetId="7">#REF!</definedName>
    <definedName name="Total">#REF!</definedName>
    <definedName name="Total_Payment_35">NA()</definedName>
    <definedName name="totb" localSheetId="0">#REF!</definedName>
    <definedName name="totb" localSheetId="5">#REF!</definedName>
    <definedName name="totb" localSheetId="7">#REF!</definedName>
    <definedName name="totb">#REF!</definedName>
    <definedName name="totbper" localSheetId="5">#REF!</definedName>
    <definedName name="totbper" localSheetId="7">#REF!</definedName>
    <definedName name="totbper">#REF!</definedName>
    <definedName name="totc" localSheetId="5">#REF!</definedName>
    <definedName name="totc" localSheetId="7">#REF!</definedName>
    <definedName name="totc">#REF!</definedName>
    <definedName name="totcper" localSheetId="5">#REF!</definedName>
    <definedName name="totcper" localSheetId="7">#REF!</definedName>
    <definedName name="totcper">#REF!</definedName>
    <definedName name="towin">#REF!</definedName>
    <definedName name="TQEW" localSheetId="0">'[72]road est'!$J$7</definedName>
    <definedName name="TQEW">'[73]road est'!$J$7</definedName>
    <definedName name="TQWBM" localSheetId="0">'[72]road est'!$J$15</definedName>
    <definedName name="TQWBM">'[73]road est'!$J$15</definedName>
    <definedName name="Tractor" localSheetId="2">#REF!</definedName>
    <definedName name="Tractor" localSheetId="1">#REF!</definedName>
    <definedName name="Tractor" localSheetId="4">#REF!</definedName>
    <definedName name="Tractor" localSheetId="6">#REF!</definedName>
    <definedName name="Tractor" localSheetId="5">#REF!</definedName>
    <definedName name="Tractor" localSheetId="7">#REF!</definedName>
    <definedName name="Tractor">#REF!</definedName>
    <definedName name="transition_table" localSheetId="5">#REF!</definedName>
    <definedName name="transition_table" localSheetId="7">#REF!</definedName>
    <definedName name="transition_table">#REF!</definedName>
    <definedName name="TREE" localSheetId="2">[128]Abs!#REF!</definedName>
    <definedName name="TREE" localSheetId="0">[128]Abs!#REF!</definedName>
    <definedName name="TREE" localSheetId="1">[128]Abs!#REF!</definedName>
    <definedName name="TREE" localSheetId="4">[128]Abs!#REF!</definedName>
    <definedName name="TREE" localSheetId="6">[128]Abs!#REF!</definedName>
    <definedName name="TREE" localSheetId="5">[128]Abs!#REF!</definedName>
    <definedName name="TREE">[128]Abs!#REF!</definedName>
    <definedName name="tttt" localSheetId="5">[87]GEN_abstrct!#REF!</definedName>
    <definedName name="tttt">[87]GEN_abstrct!#REF!</definedName>
    <definedName name="tvalue">#REF!</definedName>
    <definedName name="TW" localSheetId="2">#REF!</definedName>
    <definedName name="TW" localSheetId="0">#REF!</definedName>
    <definedName name="TW" localSheetId="1">#REF!</definedName>
    <definedName name="TW" localSheetId="4">#REF!</definedName>
    <definedName name="TW" localSheetId="6">#REF!</definedName>
    <definedName name="TW" localSheetId="5">#REF!</definedName>
    <definedName name="TW" localSheetId="7">#REF!</definedName>
    <definedName name="TW">#REF!</definedName>
    <definedName name="TW_planks_1st_class" localSheetId="2">[67]Material!#REF!</definedName>
    <definedName name="TW_planks_1st_class" localSheetId="1">[67]Material!#REF!</definedName>
    <definedName name="TW_planks_1st_class" localSheetId="4">[67]Material!#REF!</definedName>
    <definedName name="TW_planks_1st_class" localSheetId="6">[67]Material!#REF!</definedName>
    <definedName name="TW_planks_1st_class" localSheetId="5">[67]Material!#REF!</definedName>
    <definedName name="TW_planks_1st_class" localSheetId="7">[67]Material!#REF!</definedName>
    <definedName name="TW_planks_1st_class">[67]Material!#REF!</definedName>
    <definedName name="TW_planks_2nd_class" localSheetId="5">[67]Material!#REF!</definedName>
    <definedName name="TW_planks_2nd_class" localSheetId="7">[67]Material!#REF!</definedName>
    <definedName name="TW_planks_2nd_class">[67]Material!#REF!</definedName>
    <definedName name="TW_scantling_sabove_2m_1st_class" localSheetId="5">[67]Material!#REF!</definedName>
    <definedName name="TW_scantling_sabove_2m_1st_class">[67]Material!#REF!</definedName>
    <definedName name="TW_scantlings_above_2m_2nd_class" localSheetId="5">[67]Material!#REF!</definedName>
    <definedName name="TW_scantlings_above_2m_2nd_class">[67]Material!#REF!</definedName>
    <definedName name="TW_scantlings_below_2m_1st_class" localSheetId="5">[67]Material!#REF!</definedName>
    <definedName name="TW_scantlings_below_2m_1st_class">[67]Material!#REF!</definedName>
    <definedName name="TW_scantlings_below_2m_2nd_class" localSheetId="5">[67]Material!#REF!</definedName>
    <definedName name="TW_scantlings_below_2m_2nd_class">[67]Material!#REF!</definedName>
    <definedName name="twbl" localSheetId="2">#REF!</definedName>
    <definedName name="twbl" localSheetId="1">#REF!</definedName>
    <definedName name="twbl" localSheetId="4">#REF!</definedName>
    <definedName name="twbl" localSheetId="6">#REF!</definedName>
    <definedName name="twbl" localSheetId="5">#REF!</definedName>
    <definedName name="twbl" localSheetId="7">#REF!</definedName>
    <definedName name="twbl">#REF!</definedName>
    <definedName name="twbm" localSheetId="2">#REF!</definedName>
    <definedName name="twbm" localSheetId="1">#REF!</definedName>
    <definedName name="twbm" localSheetId="4">#REF!</definedName>
    <definedName name="twbm" localSheetId="6">#REF!</definedName>
    <definedName name="twbm" localSheetId="5">#REF!</definedName>
    <definedName name="twbm" localSheetId="7">#REF!</definedName>
    <definedName name="twbm">#REF!</definedName>
    <definedName name="twbr" localSheetId="5">#REF!</definedName>
    <definedName name="twbr" localSheetId="7">#REF!</definedName>
    <definedName name="twbr">#REF!</definedName>
    <definedName name="twc" localSheetId="0">#REF!</definedName>
    <definedName name="twc" localSheetId="4">#REF!</definedName>
    <definedName name="twc" localSheetId="5">#REF!</definedName>
    <definedName name="twc" localSheetId="7">#REF!</definedName>
    <definedName name="twc">#REF!</definedName>
    <definedName name="twdw">'[289]112_Design_1.0M_Drop'!$H$29</definedName>
    <definedName name="twdw1">'[51]Ch13.00 1Mt Drop'!$H$29</definedName>
    <definedName name="twdw4">'[51]15_Design_1.0M_Drop'!$H$29</definedName>
    <definedName name="twhw" localSheetId="0">'[290]Dn SLRB (R2)'!$D$41</definedName>
    <definedName name="twhw">'[191]RF_DesignCT_Sp@53.0'!$D$41</definedName>
    <definedName name="twinside" localSheetId="0">#REF!</definedName>
    <definedName name="twinside">#REF!</definedName>
    <definedName name="TWLS" localSheetId="2">#REF!</definedName>
    <definedName name="TWLS" localSheetId="1">#REF!</definedName>
    <definedName name="TWLS" localSheetId="4">#REF!</definedName>
    <definedName name="TWLS" localSheetId="6">#REF!</definedName>
    <definedName name="TWLS" localSheetId="5">#REF!</definedName>
    <definedName name="TWLS" localSheetId="7">#REF!</definedName>
    <definedName name="TWLS">#REF!</definedName>
    <definedName name="twmn">#REF!</definedName>
    <definedName name="twout">#REF!</definedName>
    <definedName name="TWRS" localSheetId="2">#REF!</definedName>
    <definedName name="TWRS" localSheetId="1">#REF!</definedName>
    <definedName name="TWRS" localSheetId="4">#REF!</definedName>
    <definedName name="TWRS" localSheetId="6">#REF!</definedName>
    <definedName name="TWRS" localSheetId="5">#REF!</definedName>
    <definedName name="TWRS" localSheetId="7">#REF!</definedName>
    <definedName name="TWRS">#REF!</definedName>
    <definedName name="U">#REF!</definedName>
    <definedName name="UFYIUYOYUIFCGYXDFHFDGC" localSheetId="2">'[153]Aug,02'!#REF!</definedName>
    <definedName name="UFYIUYOYUIFCGYXDFHFDGC" localSheetId="1">'[153]Aug,02'!#REF!</definedName>
    <definedName name="UFYIUYOYUIFCGYXDFHFDGC" localSheetId="4">'[153]Aug,02'!#REF!</definedName>
    <definedName name="UFYIUYOYUIFCGYXDFHFDGC" localSheetId="6">'[153]Aug,02'!#REF!</definedName>
    <definedName name="UFYIUYOYUIFCGYXDFHFDGC" localSheetId="5">'[153]Aug,02'!#REF!</definedName>
    <definedName name="UFYIUYOYUIFCGYXDFHFDGC">'[153]Aug,02'!#REF!</definedName>
    <definedName name="unloadmetal" localSheetId="0">[126]ssr200809!$J$114</definedName>
    <definedName name="unloadmetal">[127]ssr200809!$J$114</definedName>
    <definedName name="unloadsand" localSheetId="0">[126]ssr200809!$I$114</definedName>
    <definedName name="unloadsand">[127]ssr200809!$I$114</definedName>
    <definedName name="Unpaved_Road_Sections_list">'[101]Trunk unpaved'!$A$2:$L$235</definedName>
    <definedName name="updown">#REF!</definedName>
    <definedName name="updown1">#REF!</definedName>
    <definedName name="Uprooting_and_clearing_prickly_pear_jungle" localSheetId="2">#REF!</definedName>
    <definedName name="Uprooting_and_clearing_prickly_pear_jungle" localSheetId="1">#REF!</definedName>
    <definedName name="Uprooting_and_clearing_prickly_pear_jungle" localSheetId="4">#REF!</definedName>
    <definedName name="Uprooting_and_clearing_prickly_pear_jungle" localSheetId="6">#REF!</definedName>
    <definedName name="Uprooting_and_clearing_prickly_pear_jungle" localSheetId="5">#REF!</definedName>
    <definedName name="Uprooting_and_clearing_prickly_pear_jungle" localSheetId="7">#REF!</definedName>
    <definedName name="Uprooting_and_clearing_prickly_pear_jungle">#REF!</definedName>
    <definedName name="Uprooting_and_removing_Palmyrah_stumps_including_stacking_of_girth_30_to_100_cm." localSheetId="5">#REF!</definedName>
    <definedName name="Uprooting_and_removing_Palmyrah_stumps_including_stacking_of_girth_30_to_100_cm." localSheetId="7">#REF!</definedName>
    <definedName name="Uprooting_and_removing_Palmyrah_stumps_including_stacking_of_girth_30_to_100_cm.">#REF!</definedName>
    <definedName name="Uprooting_and_removing_stumps_of__date_trees_including_stacking_of_girth_30_to_100_cm." localSheetId="5">#REF!</definedName>
    <definedName name="Uprooting_and_removing_stumps_of__date_trees_including_stacking_of_girth_30_to_100_cm." localSheetId="7">#REF!</definedName>
    <definedName name="Uprooting_and_removing_stumps_of__date_trees_including_stacking_of_girth_30_to_100_cm.">#REF!</definedName>
    <definedName name="Uprooting_and_removing_stumps_of_other_kind_of_trees_including_stacking_of_girth_30_to_100_cm." localSheetId="5">#REF!</definedName>
    <definedName name="Uprooting_and_removing_stumps_of_other_kind_of_trees_including_stacking_of_girth_30_to_100_cm." localSheetId="7">#REF!</definedName>
    <definedName name="Uprooting_and_removing_stumps_of_other_kind_of_trees_including_stacking_of_girth_30_to_100_cm.">#REF!</definedName>
    <definedName name="URTUW45Y7W5TRUSRTU" localSheetId="2">'[113]Aug,02'!#REF!</definedName>
    <definedName name="URTUW45Y7W5TRUSRTU" localSheetId="1">'[113]Aug,02'!#REF!</definedName>
    <definedName name="URTUW45Y7W5TRUSRTU" localSheetId="4">'[113]Aug,02'!#REF!</definedName>
    <definedName name="URTUW45Y7W5TRUSRTU" localSheetId="6">'[113]Aug,02'!#REF!</definedName>
    <definedName name="URTUW45Y7W5TRUSRTU" localSheetId="5">'[113]Aug,02'!#REF!</definedName>
    <definedName name="URTUW45Y7W5TRUSRTU">'[113]Aug,02'!#REF!</definedName>
    <definedName name="UScDpth" localSheetId="2">#REF!</definedName>
    <definedName name="UScDpth" localSheetId="1">#REF!</definedName>
    <definedName name="UScDpth" localSheetId="4">#REF!</definedName>
    <definedName name="UScDpth" localSheetId="6">#REF!</definedName>
    <definedName name="UScDpth" localSheetId="5">#REF!</definedName>
    <definedName name="UScDpth" localSheetId="7">#REF!</definedName>
    <definedName name="UScDpth">#REF!</definedName>
    <definedName name="USMFL" localSheetId="2">#REF!</definedName>
    <definedName name="USMFL" localSheetId="1">#REF!</definedName>
    <definedName name="USMFL" localSheetId="4">#REF!</definedName>
    <definedName name="USMFL" localSheetId="6">#REF!</definedName>
    <definedName name="USMFL" localSheetId="5">#REF!</definedName>
    <definedName name="USMFL" localSheetId="7">#REF!</definedName>
    <definedName name="USMFL">#REF!</definedName>
    <definedName name="uuu">[291]Labour!$D$18</definedName>
    <definedName name="v" localSheetId="2">#REF!</definedName>
    <definedName name="v" localSheetId="1">#REF!</definedName>
    <definedName name="v" localSheetId="4">#REF!</definedName>
    <definedName name="v" localSheetId="6">#REF!</definedName>
    <definedName name="v" localSheetId="5">#REF!</definedName>
    <definedName name="v" localSheetId="7">#REF!</definedName>
    <definedName name="v">#REF!</definedName>
    <definedName name="valve">[61]maya!$A$247:$A$273</definedName>
    <definedName name="var" localSheetId="2">#REF!</definedName>
    <definedName name="var" localSheetId="1">#REF!</definedName>
    <definedName name="var" localSheetId="4">#REF!</definedName>
    <definedName name="var" localSheetId="6">#REF!</definedName>
    <definedName name="var" localSheetId="5">#REF!</definedName>
    <definedName name="var" localSheetId="7">#REF!</definedName>
    <definedName name="var">#REF!</definedName>
    <definedName name="vari">#REF!</definedName>
    <definedName name="VAT" localSheetId="0">[48]MRATES!$C$37</definedName>
    <definedName name="vat" localSheetId="4">[292]Data!$G$8</definedName>
    <definedName name="VAT">[49]MRATES!$C$37</definedName>
    <definedName name="vat.." localSheetId="2">#REF!</definedName>
    <definedName name="vat.." localSheetId="1">#REF!</definedName>
    <definedName name="vat.." localSheetId="4">#REF!</definedName>
    <definedName name="vat.." localSheetId="6">#REF!</definedName>
    <definedName name="vat.." localSheetId="5">#REF!</definedName>
    <definedName name="vat.." localSheetId="7">#REF!</definedName>
    <definedName name="vat..">#REF!</definedName>
    <definedName name="VB" localSheetId="2" hidden="1">{"'ridftotal'!$A$4:$S$27"}</definedName>
    <definedName name="VB" localSheetId="1" hidden="1">{"'ridftotal'!$A$4:$S$27"}</definedName>
    <definedName name="VB" localSheetId="4" hidden="1">{"'ridftotal'!$A$4:$S$27"}</definedName>
    <definedName name="VB" localSheetId="6" hidden="1">{"'ridftotal'!$A$4:$S$27"}</definedName>
    <definedName name="VB" localSheetId="5" hidden="1">{"'ridftotal'!$A$4:$S$27"}</definedName>
    <definedName name="VB" localSheetId="7" hidden="1">{"'ridftotal'!$A$4:$S$27"}</definedName>
    <definedName name="VB" hidden="1">{"'ridftotal'!$A$4:$S$27"}</definedName>
    <definedName name="vbfddfas" localSheetId="2">#REF!</definedName>
    <definedName name="vbfddfas" localSheetId="1">#REF!</definedName>
    <definedName name="vbfddfas" localSheetId="4">#REF!</definedName>
    <definedName name="vbfddfas" localSheetId="6">#REF!</definedName>
    <definedName name="vbfddfas" localSheetId="5">#REF!</definedName>
    <definedName name="vbfddfas" localSheetId="7">#REF!</definedName>
    <definedName name="vbfddfas">#REF!</definedName>
    <definedName name="VCC_MIX">'[123]data existing_do not delete'!$G$20:$G$26</definedName>
    <definedName name="vdd" localSheetId="2">#REF!</definedName>
    <definedName name="vdd" localSheetId="1">#REF!</definedName>
    <definedName name="vdd" localSheetId="4">#REF!</definedName>
    <definedName name="vdd" localSheetId="6">#REF!</definedName>
    <definedName name="vdd" localSheetId="5">#REF!</definedName>
    <definedName name="vdd" localSheetId="7">#REF!</definedName>
    <definedName name="vdd">#REF!</definedName>
    <definedName name="veej" localSheetId="7">#REF!</definedName>
    <definedName name="veej">#REF!</definedName>
    <definedName name="veena" localSheetId="0">#REF!</definedName>
    <definedName name="veena" localSheetId="7">#REF!</definedName>
    <definedName name="veena">#REF!</definedName>
    <definedName name="vibrating_concrete" localSheetId="5">#REF!</definedName>
    <definedName name="vibrating_concrete" localSheetId="7">#REF!</definedName>
    <definedName name="vibrating_concrete">#REF!</definedName>
    <definedName name="Vibrating_Roller" localSheetId="5">#REF!</definedName>
    <definedName name="Vibrating_Roller" localSheetId="7">#REF!</definedName>
    <definedName name="Vibrating_Roller">#REF!</definedName>
    <definedName name="Vibratory_Roller" localSheetId="5">#REF!</definedName>
    <definedName name="Vibratory_Roller" localSheetId="7">#REF!</definedName>
    <definedName name="Vibratory_Roller">#REF!</definedName>
    <definedName name="vij" hidden="1">{"'Sheet1'!$A$4386:$N$4591"}</definedName>
    <definedName name="vivekananda">[183]r!$F$29</definedName>
    <definedName name="vvvw" localSheetId="2">'[113]Aug,02'!#REF!</definedName>
    <definedName name="vvvw" localSheetId="1">'[113]Aug,02'!#REF!</definedName>
    <definedName name="vvvw" localSheetId="4">'[113]Aug,02'!#REF!</definedName>
    <definedName name="vvvw" localSheetId="6">'[113]Aug,02'!#REF!</definedName>
    <definedName name="vvvw" localSheetId="5">'[113]Aug,02'!#REF!</definedName>
    <definedName name="vvvw" localSheetId="7">'[113]Aug,02'!#REF!</definedName>
    <definedName name="vvvw">'[113]Aug,02'!#REF!</definedName>
    <definedName name="w" localSheetId="5">[293]Data!#REF!</definedName>
    <definedName name="w">[293]Data!#REF!</definedName>
    <definedName name="W_det" localSheetId="5">'[294]Aug,02'!#REF!</definedName>
    <definedName name="W_det">'[294]Aug,02'!#REF!</definedName>
    <definedName name="WACL">[115]DATA!$F$91</definedName>
    <definedName name="WAEL">[115]DATA!$F$92</definedName>
    <definedName name="water_funds" hidden="1">{"'Sheet1'!$A$4386:$N$4591"}</definedName>
    <definedName name="Water_Tanker" localSheetId="2">#REF!</definedName>
    <definedName name="Water_Tanker" localSheetId="1">#REF!</definedName>
    <definedName name="Water_Tanker" localSheetId="4">#REF!</definedName>
    <definedName name="Water_Tanker" localSheetId="6">#REF!</definedName>
    <definedName name="Water_Tanker" localSheetId="5">#REF!</definedName>
    <definedName name="Water_Tanker" localSheetId="7">#REF!</definedName>
    <definedName name="Water_Tanker">#REF!</definedName>
    <definedName name="wc" localSheetId="0">[125]r!$F$48</definedName>
    <definedName name="WC" localSheetId="5">#REF!</definedName>
    <definedName name="WC">#REF!</definedName>
    <definedName name="WCL" localSheetId="2">#REF!</definedName>
    <definedName name="WCL" localSheetId="1">#REF!</definedName>
    <definedName name="WCL" localSheetId="4">#REF!</definedName>
    <definedName name="WCL" localSheetId="6">#REF!</definedName>
    <definedName name="WCL" localSheetId="5">#REF!</definedName>
    <definedName name="WCL" localSheetId="7">#REF!</definedName>
    <definedName name="WCL">#REF!</definedName>
    <definedName name="we" localSheetId="2">[86]GEN_abstrct!#REF!</definedName>
    <definedName name="we" localSheetId="1">[86]GEN_abstrct!#REF!</definedName>
    <definedName name="we" localSheetId="4">[86]GEN_abstrct!#REF!</definedName>
    <definedName name="we" localSheetId="6">[86]GEN_abstrct!#REF!</definedName>
    <definedName name="we" localSheetId="5">[86]GEN_abstrct!#REF!</definedName>
    <definedName name="we" localSheetId="7">[86]GEN_abstrct!#REF!</definedName>
    <definedName name="we">[86]GEN_abstrct!#REF!</definedName>
    <definedName name="WEIGHT">#REF!</definedName>
    <definedName name="Weir_Table" localSheetId="2">#REF!</definedName>
    <definedName name="Weir_Table" localSheetId="1">#REF!</definedName>
    <definedName name="Weir_Table" localSheetId="4">#REF!</definedName>
    <definedName name="Weir_Table" localSheetId="6">#REF!</definedName>
    <definedName name="Weir_Table" localSheetId="5">#REF!</definedName>
    <definedName name="Weir_Table" localSheetId="7">#REF!</definedName>
    <definedName name="Weir_Table">#REF!</definedName>
    <definedName name="WellDia" localSheetId="2">#REF!</definedName>
    <definedName name="WellDia" localSheetId="1">#REF!</definedName>
    <definedName name="WellDia" localSheetId="4">#REF!</definedName>
    <definedName name="WellDia" localSheetId="6">#REF!</definedName>
    <definedName name="WellDia" localSheetId="5">#REF!</definedName>
    <definedName name="WellDia" localSheetId="7">#REF!</definedName>
    <definedName name="WellDia">#REF!</definedName>
    <definedName name="Wet" localSheetId="5">#REF!</definedName>
    <definedName name="Wet" localSheetId="7">#REF!</definedName>
    <definedName name="Wet">#REF!</definedName>
    <definedName name="Wet_Mix_Plant" localSheetId="5">#REF!</definedName>
    <definedName name="Wet_Mix_Plant" localSheetId="7">#REF!</definedName>
    <definedName name="Wet_Mix_Plant">#REF!</definedName>
    <definedName name="wfef" localSheetId="5">#REF!</definedName>
    <definedName name="wfef" localSheetId="7">#REF!</definedName>
    <definedName name="wfef">#REF!</definedName>
    <definedName name="wgl" localSheetId="2" hidden="1">{"'ridftotal'!$A$4:$S$27"}</definedName>
    <definedName name="wgl" localSheetId="1" hidden="1">{"'ridftotal'!$A$4:$S$27"}</definedName>
    <definedName name="wgl" localSheetId="4" hidden="1">{"'ridftotal'!$A$4:$S$27"}</definedName>
    <definedName name="wgl" localSheetId="6" hidden="1">{"'ridftotal'!$A$4:$S$27"}</definedName>
    <definedName name="wgl" localSheetId="5" hidden="1">{"'ridftotal'!$A$4:$S$27"}</definedName>
    <definedName name="wgl" localSheetId="7" hidden="1">{"'ridftotal'!$A$4:$S$27"}</definedName>
    <definedName name="wgl" hidden="1">{"'ridftotal'!$A$4:$S$27"}</definedName>
    <definedName name="Wheeled_Dozer.__D_30_BEML" localSheetId="2">#REF!</definedName>
    <definedName name="Wheeled_Dozer.__D_30_BEML" localSheetId="1">#REF!</definedName>
    <definedName name="Wheeled_Dozer.__D_30_BEML" localSheetId="4">#REF!</definedName>
    <definedName name="Wheeled_Dozer.__D_30_BEML" localSheetId="6">#REF!</definedName>
    <definedName name="Wheeled_Dozer.__D_30_BEML" localSheetId="5">#REF!</definedName>
    <definedName name="Wheeled_Dozer.__D_30_BEML" localSheetId="7">#REF!</definedName>
    <definedName name="Wheeled_Dozer.__D_30_BEML">#REF!</definedName>
    <definedName name="White_cement" localSheetId="5">#REF!</definedName>
    <definedName name="White_cement" localSheetId="7">#REF!</definedName>
    <definedName name="White_cement">#REF!</definedName>
    <definedName name="wih">#REF!</definedName>
    <definedName name="window_sizes" localSheetId="5">#REF!</definedName>
    <definedName name="window_sizes" localSheetId="7">#REF!</definedName>
    <definedName name="window_sizes">#REF!</definedName>
    <definedName name="wipmajor">#REF!</definedName>
    <definedName name="wipnorth">#REF!</definedName>
    <definedName name="wipsouth">#REF!</definedName>
    <definedName name="wipsum">#REF!</definedName>
    <definedName name="wipthcm">#REF!</definedName>
    <definedName name="wipwater">#REF!</definedName>
    <definedName name="wood_type">'[123]data existing_do not delete'!$D$26:$D$27</definedName>
    <definedName name="wqrqwerewtrw" localSheetId="2">'[113]Aug,02'!#REF!</definedName>
    <definedName name="wqrqwerewtrw" localSheetId="1">'[113]Aug,02'!#REF!</definedName>
    <definedName name="wqrqwerewtrw" localSheetId="4">'[113]Aug,02'!#REF!</definedName>
    <definedName name="wqrqwerewtrw" localSheetId="6">'[113]Aug,02'!#REF!</definedName>
    <definedName name="wqrqwerewtrw" localSheetId="5">'[113]Aug,02'!#REF!</definedName>
    <definedName name="wqrqwerewtrw" localSheetId="7">'[113]Aug,02'!#REF!</definedName>
    <definedName name="wqrqwerewtrw">'[113]Aug,02'!#REF!</definedName>
    <definedName name="wretewtwertewt" localSheetId="2">#REF!</definedName>
    <definedName name="wretewtwertewt" localSheetId="1">#REF!</definedName>
    <definedName name="wretewtwertewt" localSheetId="4">#REF!</definedName>
    <definedName name="wretewtwertewt" localSheetId="6">#REF!</definedName>
    <definedName name="wretewtwertewt" localSheetId="5">#REF!</definedName>
    <definedName name="wretewtwertewt" localSheetId="7">#REF!</definedName>
    <definedName name="wretewtwertewt">#REF!</definedName>
    <definedName name="wrgfs" localSheetId="2">'[113]Aug,02'!#REF!</definedName>
    <definedName name="wrgfs" localSheetId="1">'[113]Aug,02'!#REF!</definedName>
    <definedName name="wrgfs" localSheetId="4">'[113]Aug,02'!#REF!</definedName>
    <definedName name="wrgfs" localSheetId="6">'[113]Aug,02'!#REF!</definedName>
    <definedName name="wrgfs" localSheetId="5">'[113]Aug,02'!#REF!</definedName>
    <definedName name="wrgfs" localSheetId="7">'[113]Aug,02'!#REF!</definedName>
    <definedName name="wrgfs">'[113]Aug,02'!#REF!</definedName>
    <definedName name="wrn.CASH._.FLOW." hidden="1">{"CASH FLOW",#N/A,FALSE,"A"}</definedName>
    <definedName name="wrn.detailed." localSheetId="2" hidden="1">{#N/A,#N/A,FALSE,"no"}</definedName>
    <definedName name="wrn.detailed." localSheetId="0" hidden="1">{#N/A,#N/A,FALSE,"no"}</definedName>
    <definedName name="wrn.detailed." localSheetId="1" hidden="1">{#N/A,#N/A,FALSE,"no"}</definedName>
    <definedName name="wrn.detailed." localSheetId="4" hidden="1">{#N/A,#N/A,FALSE,"no"}</definedName>
    <definedName name="wrn.detailed." localSheetId="6" hidden="1">{#N/A,#N/A,FALSE,"no"}</definedName>
    <definedName name="wrn.detailed." localSheetId="5" hidden="1">{#N/A,#N/A,FALSE,"no"}</definedName>
    <definedName name="wrn.detailed." localSheetId="7" hidden="1">{#N/A,#N/A,FALSE,"no"}</definedName>
    <definedName name="wrn.detailed." hidden="1">{#N/A,#N/A,FALSE,"no"}</definedName>
    <definedName name="wrn.FTS." hidden="1">{"FTS",#N/A,FALSE,"E"}</definedName>
    <definedName name="wrn.FTS._.PLANT._.BREAKUP." hidden="1">{"PLANT BREAKUP",#N/A,FALSE,"E"}</definedName>
    <definedName name="wrn.PLANNING." hidden="1">{"PLANNING",#N/A,FALSE,"A"}</definedName>
    <definedName name="wrn.summary." hidden="1">{"SUMMARY",#N/A,FALSE,"C"}</definedName>
    <definedName name="WT">#REF!</definedName>
    <definedName name="WTOFBAR">#REF!</definedName>
    <definedName name="wvsd" localSheetId="2">#REF!</definedName>
    <definedName name="wvsd" localSheetId="1">#REF!</definedName>
    <definedName name="wvsd" localSheetId="4">#REF!</definedName>
    <definedName name="wvsd" localSheetId="6">#REF!</definedName>
    <definedName name="wvsd" localSheetId="5">#REF!</definedName>
    <definedName name="wvsd" localSheetId="7">#REF!</definedName>
    <definedName name="wvsd">#REF!</definedName>
    <definedName name="ww" localSheetId="5">#REF!</definedName>
    <definedName name="ww" localSheetId="7">#REF!</definedName>
    <definedName name="ww">#REF!</definedName>
    <definedName name="x">#REF!</definedName>
    <definedName name="XCXZC" localSheetId="2">'[113]Aug,02'!#REF!</definedName>
    <definedName name="XCXZC" localSheetId="1">'[113]Aug,02'!#REF!</definedName>
    <definedName name="XCXZC" localSheetId="4">'[113]Aug,02'!#REF!</definedName>
    <definedName name="XCXZC" localSheetId="6">'[113]Aug,02'!#REF!</definedName>
    <definedName name="XCXZC" localSheetId="5">'[113]Aug,02'!#REF!</definedName>
    <definedName name="XCXZC">'[113]Aug,02'!#REF!</definedName>
    <definedName name="xl" localSheetId="2">#REF!</definedName>
    <definedName name="xl" localSheetId="0">#REF!</definedName>
    <definedName name="xl" localSheetId="1">#REF!</definedName>
    <definedName name="xl" localSheetId="4">#REF!</definedName>
    <definedName name="xl" localSheetId="6">#REF!</definedName>
    <definedName name="xl" localSheetId="5">#REF!</definedName>
    <definedName name="xl" localSheetId="7">#REF!</definedName>
    <definedName name="xl">#REF!</definedName>
    <definedName name="XOTOXSIX" localSheetId="5">#REF!</definedName>
    <definedName name="XOTOXSIX" localSheetId="7">#REF!</definedName>
    <definedName name="XOTOXSIX">#REF!</definedName>
    <definedName name="XSIXTOXTHIRTEEN" localSheetId="5">#REF!</definedName>
    <definedName name="XSIXTOXTHIRTEEN" localSheetId="7">#REF!</definedName>
    <definedName name="XSIXTOXTHIRTEEN">#REF!</definedName>
    <definedName name="xx" localSheetId="2" hidden="1">{"'ridftotal'!$A$4:$S$27"}</definedName>
    <definedName name="xx" localSheetId="1" hidden="1">{"'ridftotal'!$A$4:$S$27"}</definedName>
    <definedName name="xx" localSheetId="4" hidden="1">{"'ridftotal'!$A$4:$S$27"}</definedName>
    <definedName name="xx" localSheetId="6" hidden="1">{"'ridftotal'!$A$4:$S$27"}</definedName>
    <definedName name="xx" localSheetId="5" hidden="1">{"'ridftotal'!$A$4:$S$27"}</definedName>
    <definedName name="xx" localSheetId="7" hidden="1">{"'ridftotal'!$A$4:$S$27"}</definedName>
    <definedName name="xx" hidden="1">{"'ridftotal'!$A$4:$S$27"}</definedName>
    <definedName name="XXV" localSheetId="2">'[113]Aug,02'!#REF!</definedName>
    <definedName name="XXV" localSheetId="1">'[113]Aug,02'!#REF!</definedName>
    <definedName name="XXV" localSheetId="4">'[113]Aug,02'!#REF!</definedName>
    <definedName name="XXV" localSheetId="6">'[113]Aug,02'!#REF!</definedName>
    <definedName name="XXV" localSheetId="5">'[113]Aug,02'!#REF!</definedName>
    <definedName name="XXV">'[113]Aug,02'!#REF!</definedName>
    <definedName name="xxxbxb" localSheetId="2">#REF!</definedName>
    <definedName name="xxxbxb" localSheetId="1">#REF!</definedName>
    <definedName name="xxxbxb" localSheetId="4">#REF!</definedName>
    <definedName name="xxxbxb" localSheetId="6">#REF!</definedName>
    <definedName name="xxxbxb" localSheetId="5">#REF!</definedName>
    <definedName name="xxxbxb" localSheetId="7">#REF!</definedName>
    <definedName name="xxxbxb">#REF!</definedName>
    <definedName name="xxxx" localSheetId="2" hidden="1">{"'ridftotal'!$A$4:$S$27"}</definedName>
    <definedName name="xxxx" localSheetId="1" hidden="1">{"'ridftotal'!$A$4:$S$27"}</definedName>
    <definedName name="xxxx" localSheetId="4" hidden="1">{"'ridftotal'!$A$4:$S$27"}</definedName>
    <definedName name="xxxx" localSheetId="6" hidden="1">{"'ridftotal'!$A$4:$S$27"}</definedName>
    <definedName name="xxxx" localSheetId="5" hidden="1">{"'ridftotal'!$A$4:$S$27"}</definedName>
    <definedName name="xxxx" localSheetId="7" hidden="1">{"'ridftotal'!$A$4:$S$27"}</definedName>
    <definedName name="xxxx" hidden="1">{"'ridftotal'!$A$4:$S$27"}</definedName>
    <definedName name="xyz" hidden="1">{"'Sheet1'!$A$4386:$N$4591"}</definedName>
    <definedName name="XZZX" localSheetId="2">#REF!</definedName>
    <definedName name="XZZX" localSheetId="1">#REF!</definedName>
    <definedName name="XZZX" localSheetId="4">#REF!</definedName>
    <definedName name="XZZX" localSheetId="6">#REF!</definedName>
    <definedName name="XZZX" localSheetId="5">#REF!</definedName>
    <definedName name="XZZX" localSheetId="7">#REF!</definedName>
    <definedName name="XZZX">#REF!</definedName>
    <definedName name="y" localSheetId="5">#REF!</definedName>
    <definedName name="y" localSheetId="7">#REF!</definedName>
    <definedName name="y">#REF!</definedName>
    <definedName name="yieldutil" localSheetId="5">#REF!</definedName>
    <definedName name="yieldutil" localSheetId="7">#REF!</definedName>
    <definedName name="yieldutil">#REF!</definedName>
    <definedName name="yieldutil_19" localSheetId="5">#REF!</definedName>
    <definedName name="yieldutil_19" localSheetId="7">#REF!</definedName>
    <definedName name="yieldutil_19">#REF!</definedName>
    <definedName name="yieldutil_20" localSheetId="5">#REF!</definedName>
    <definedName name="yieldutil_20" localSheetId="7">#REF!</definedName>
    <definedName name="yieldutil_20">#REF!</definedName>
    <definedName name="yieldutil_21" localSheetId="5">#REF!</definedName>
    <definedName name="yieldutil_21" localSheetId="7">#REF!</definedName>
    <definedName name="yieldutil_21">#REF!</definedName>
    <definedName name="yihgikhjlkjlkjlhjg" localSheetId="2">'[112]Aug,02'!#REF!</definedName>
    <definedName name="yihgikhjlkjlkjlhjg" localSheetId="1">'[112]Aug,02'!#REF!</definedName>
    <definedName name="yihgikhjlkjlkjlhjg" localSheetId="4">'[112]Aug,02'!#REF!</definedName>
    <definedName name="yihgikhjlkjlkjlhjg" localSheetId="6">'[112]Aug,02'!#REF!</definedName>
    <definedName name="yihgikhjlkjlkjlhjg" localSheetId="5">'[112]Aug,02'!#REF!</definedName>
    <definedName name="yihgikhjlkjlkjlhjg">'[112]Aug,02'!#REF!</definedName>
    <definedName name="ypr" localSheetId="2">[295]Data!#REF!</definedName>
    <definedName name="ypr" localSheetId="1">[295]Data!#REF!</definedName>
    <definedName name="ypr" localSheetId="4">[295]Data!#REF!</definedName>
    <definedName name="ypr" localSheetId="6">[295]Data!#REF!</definedName>
    <definedName name="ypr" localSheetId="5">[295]Data!#REF!</definedName>
    <definedName name="ypr">[295]Data!#REF!</definedName>
    <definedName name="YTGH" localSheetId="5">'[112]Aug,02'!#REF!</definedName>
    <definedName name="YTGH">'[112]Aug,02'!#REF!</definedName>
    <definedName name="yuyiuifdtrut" localSheetId="5">'[153]Aug,02'!#REF!</definedName>
    <definedName name="yuyiuifdtrut">'[153]Aug,02'!#REF!</definedName>
    <definedName name="yuyuiytiytfigyiytu" localSheetId="5">'[153]Aug,02'!#REF!</definedName>
    <definedName name="yuyuiytiytfigyiytu">'[153]Aug,02'!#REF!</definedName>
    <definedName name="z">[166]m!$D$149</definedName>
    <definedName name="Z_151C847C_F869_11D1_B680_00A02416AF98_.wvu.PrintTitles" hidden="1">'[296]19-PERF'!$B$1:$B$65536,'[296]19-PERF'!$A$1:$IV$4</definedName>
    <definedName name="Z_87FC2C73_120F_4A0A_A49E_0CF96AAB3E9C_.wvu.FilterData" hidden="1">#REF!</definedName>
    <definedName name="zam" localSheetId="2">#REF!</definedName>
    <definedName name="zam" localSheetId="1">#REF!</definedName>
    <definedName name="zam" localSheetId="4">#REF!</definedName>
    <definedName name="zam" localSheetId="6">#REF!</definedName>
    <definedName name="zam" localSheetId="5">#REF!</definedName>
    <definedName name="zam" localSheetId="7">#REF!</definedName>
    <definedName name="zam">#REF!</definedName>
    <definedName name="ZEROTOSIX" localSheetId="5">#REF!</definedName>
    <definedName name="ZEROTOSIX" localSheetId="7">#REF!</definedName>
    <definedName name="ZEROTOSIX">#REF!</definedName>
    <definedName name="Zip" localSheetId="5">#REF!</definedName>
    <definedName name="Zip" localSheetId="7">#REF!</definedName>
    <definedName name="Zip">#REF!</definedName>
    <definedName name="zsghrzdsgrgrzsdgfdgzrtdddddddddddddddddddddddddddddddddddddddddddddddddddddddddddddddddddddddddd" localSheetId="5">#REF!</definedName>
    <definedName name="zsghrzdsgrgrzsdgfdgzrtdddddddddddddddddddddddddddddddddddddddddddddddddddddddddddddddddddddddddd" localSheetId="7">#REF!</definedName>
    <definedName name="zsghrzdsgrgrzsdgfdgzrtdddddddddddddddddddddddddddddddddddddddddddddddddddddddddddddddddddddddddd">#REF!</definedName>
    <definedName name="zvcvz" localSheetId="5">#REF!</definedName>
    <definedName name="zvcvz" localSheetId="7">#REF!</definedName>
    <definedName name="zvcvz">#REF!</definedName>
    <definedName name="zvsdv" localSheetId="2">'[113]Aug,02'!#REF!</definedName>
    <definedName name="zvsdv" localSheetId="1">'[113]Aug,02'!#REF!</definedName>
    <definedName name="zvsdv" localSheetId="4">'[113]Aug,02'!#REF!</definedName>
    <definedName name="zvsdv" localSheetId="6">'[113]Aug,02'!#REF!</definedName>
    <definedName name="zvsdv" localSheetId="5">'[113]Aug,02'!#REF!</definedName>
    <definedName name="zvsdv">'[113]Aug,02'!#REF!</definedName>
    <definedName name="ZXVVBB">'[171]Plant &amp;  Machinery'!$G$4</definedName>
    <definedName name="ZXZXC" localSheetId="2">'[113]Aug,02'!#REF!</definedName>
    <definedName name="ZXZXC" localSheetId="1">'[113]Aug,02'!#REF!</definedName>
    <definedName name="ZXZXC" localSheetId="4">'[113]Aug,02'!#REF!</definedName>
    <definedName name="ZXZXC" localSheetId="6">'[113]Aug,02'!#REF!</definedName>
    <definedName name="ZXZXC" localSheetId="5">'[113]Aug,02'!#REF!</definedName>
    <definedName name="ZXZXC" localSheetId="7">'[113]Aug,02'!#REF!</definedName>
    <definedName name="ZXZXC">'[113]Aug,02'!#REF!</definedName>
    <definedName name="zyx" hidden="1">{"'Sheet1'!$A$4386:$N$4591"}</definedName>
    <definedName name="比價單">#N/A</definedName>
    <definedName name="比價單新">#N/A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2" i="85" l="1"/>
  <c r="J18" i="75"/>
  <c r="J17" i="75"/>
  <c r="F10" i="89"/>
  <c r="F9" i="89"/>
  <c r="F8" i="89"/>
  <c r="E8" i="89"/>
  <c r="F7" i="89"/>
  <c r="E7" i="89"/>
  <c r="F6" i="89"/>
  <c r="F5" i="89"/>
  <c r="E5" i="89"/>
  <c r="F4" i="89"/>
  <c r="E4" i="89"/>
  <c r="B10" i="89"/>
  <c r="B9" i="89"/>
  <c r="B8" i="89"/>
  <c r="B7" i="89"/>
  <c r="B4" i="89"/>
  <c r="J34" i="75"/>
  <c r="J33" i="75"/>
  <c r="J30" i="75"/>
  <c r="J29" i="75"/>
  <c r="J35" i="75" l="1"/>
  <c r="J31" i="75"/>
  <c r="D10" i="89" l="1"/>
  <c r="C10" i="90"/>
  <c r="C8" i="90"/>
  <c r="D9" i="89"/>
  <c r="J12" i="75" l="1"/>
  <c r="J11" i="75"/>
  <c r="J7" i="75"/>
  <c r="J6" i="75"/>
  <c r="J5" i="75"/>
  <c r="H251" i="85"/>
  <c r="H250" i="85"/>
  <c r="H249" i="85"/>
  <c r="H248" i="85"/>
  <c r="G248" i="85"/>
  <c r="H247" i="85"/>
  <c r="H241" i="85"/>
  <c r="H240" i="85"/>
  <c r="H239" i="85"/>
  <c r="H238" i="85"/>
  <c r="H237" i="85"/>
  <c r="H236" i="85"/>
  <c r="H242" i="85" s="1"/>
  <c r="H259" i="85" s="1"/>
  <c r="H231" i="85"/>
  <c r="H232" i="85" s="1"/>
  <c r="H258" i="85" s="1"/>
  <c r="H217" i="85"/>
  <c r="H218" i="85" s="1"/>
  <c r="H202" i="85"/>
  <c r="H203" i="85" s="1"/>
  <c r="H201" i="85"/>
  <c r="H200" i="85"/>
  <c r="H199" i="85"/>
  <c r="H198" i="85"/>
  <c r="H197" i="85"/>
  <c r="H196" i="85"/>
  <c r="H195" i="85"/>
  <c r="H194" i="85"/>
  <c r="H193" i="85"/>
  <c r="H192" i="85"/>
  <c r="H191" i="85"/>
  <c r="H190" i="85"/>
  <c r="H185" i="85"/>
  <c r="H184" i="85"/>
  <c r="H183" i="85"/>
  <c r="H182" i="85"/>
  <c r="H181" i="85"/>
  <c r="H180" i="85"/>
  <c r="H179" i="85"/>
  <c r="H178" i="85"/>
  <c r="H173" i="85"/>
  <c r="H171" i="85"/>
  <c r="H172" i="85" s="1"/>
  <c r="H170" i="85"/>
  <c r="H169" i="85"/>
  <c r="H168" i="85"/>
  <c r="H167" i="85"/>
  <c r="H166" i="85"/>
  <c r="H165" i="85"/>
  <c r="H164" i="85"/>
  <c r="H136" i="85"/>
  <c r="H137" i="85" s="1"/>
  <c r="F154" i="85"/>
  <c r="H143" i="85"/>
  <c r="H142" i="85"/>
  <c r="H141" i="85"/>
  <c r="H131" i="85"/>
  <c r="H130" i="85"/>
  <c r="H129" i="85"/>
  <c r="H121" i="85"/>
  <c r="H118" i="85"/>
  <c r="H108" i="85"/>
  <c r="H109" i="85" s="1"/>
  <c r="H92" i="85"/>
  <c r="H93" i="85" s="1"/>
  <c r="H91" i="85"/>
  <c r="H90" i="85"/>
  <c r="H89" i="85"/>
  <c r="H88" i="85"/>
  <c r="H87" i="85"/>
  <c r="H85" i="85"/>
  <c r="H84" i="85"/>
  <c r="H83" i="85"/>
  <c r="H82" i="85"/>
  <c r="H81" i="85"/>
  <c r="H80" i="85"/>
  <c r="H74" i="85"/>
  <c r="H73" i="85"/>
  <c r="H72" i="85"/>
  <c r="H71" i="85"/>
  <c r="H70" i="85"/>
  <c r="H69" i="85"/>
  <c r="H68" i="85"/>
  <c r="H67" i="85"/>
  <c r="H61" i="85"/>
  <c r="H59" i="85"/>
  <c r="H60" i="85" s="1"/>
  <c r="H58" i="85"/>
  <c r="H57" i="85"/>
  <c r="H56" i="85"/>
  <c r="H55" i="85"/>
  <c r="H54" i="85"/>
  <c r="H53" i="85"/>
  <c r="H52" i="85"/>
  <c r="H31" i="85"/>
  <c r="H30" i="85"/>
  <c r="H29" i="85"/>
  <c r="H24" i="85"/>
  <c r="H23" i="85"/>
  <c r="H7" i="85"/>
  <c r="H8" i="85" s="1"/>
  <c r="H9" i="85" s="1"/>
  <c r="H10" i="85" s="1"/>
  <c r="J26" i="75"/>
  <c r="J27" i="75" s="1"/>
  <c r="D8" i="89" s="1"/>
  <c r="G8" i="89" s="1"/>
  <c r="J23" i="75"/>
  <c r="J24" i="75" s="1"/>
  <c r="D7" i="89" s="1"/>
  <c r="G7" i="89" s="1"/>
  <c r="M9" i="87"/>
  <c r="J13" i="75" l="1"/>
  <c r="J14" i="75" s="1"/>
  <c r="D5" i="89" s="1"/>
  <c r="G5" i="89" s="1"/>
  <c r="J8" i="75"/>
  <c r="J9" i="75" s="1"/>
  <c r="D4" i="89" s="1"/>
  <c r="G4" i="89" s="1"/>
  <c r="H252" i="85"/>
  <c r="F253" i="85"/>
  <c r="H260" i="85"/>
  <c r="H261" i="85" s="1"/>
  <c r="H204" i="85"/>
  <c r="H174" i="85"/>
  <c r="H209" i="85" s="1"/>
  <c r="H186" i="85"/>
  <c r="H210" i="85" s="1"/>
  <c r="H132" i="85"/>
  <c r="H149" i="85" s="1"/>
  <c r="H144" i="85"/>
  <c r="H32" i="85"/>
  <c r="G33" i="85" s="1"/>
  <c r="H119" i="85"/>
  <c r="H120" i="85" s="1"/>
  <c r="H62" i="85"/>
  <c r="H99" i="85" s="1"/>
  <c r="H25" i="85"/>
  <c r="H39" i="85" s="1"/>
  <c r="H75" i="85"/>
  <c r="H100" i="85" s="1"/>
  <c r="H94" i="85"/>
  <c r="F95" i="85" s="1"/>
  <c r="H262" i="85" l="1"/>
  <c r="H263" i="85"/>
  <c r="H264" i="85" s="1"/>
  <c r="F254" i="85"/>
  <c r="F255" i="85"/>
  <c r="F205" i="85"/>
  <c r="F206" i="85" s="1"/>
  <c r="F207" i="85" s="1"/>
  <c r="H211" i="85"/>
  <c r="H212" i="85" s="1"/>
  <c r="H213" i="85" s="1"/>
  <c r="H214" i="85" s="1"/>
  <c r="H215" i="85" s="1"/>
  <c r="H40" i="85"/>
  <c r="H151" i="85"/>
  <c r="H152" i="85" s="1"/>
  <c r="H153" i="85" s="1"/>
  <c r="H154" i="85" s="1"/>
  <c r="H155" i="85" s="1"/>
  <c r="H156" i="85" s="1"/>
  <c r="H157" i="85" s="1"/>
  <c r="F145" i="85"/>
  <c r="F146" i="85" s="1"/>
  <c r="F147" i="85" s="1"/>
  <c r="H41" i="85"/>
  <c r="H42" i="85" s="1"/>
  <c r="H43" i="85" s="1"/>
  <c r="H44" i="85" s="1"/>
  <c r="H45" i="85" s="1"/>
  <c r="H101" i="85"/>
  <c r="H102" i="85" s="1"/>
  <c r="H103" i="85" s="1"/>
  <c r="H104" i="85" s="1"/>
  <c r="H105" i="85" s="1"/>
  <c r="F96" i="85"/>
  <c r="F97" i="85" s="1"/>
  <c r="G34" i="85"/>
  <c r="G35" i="85" s="1"/>
  <c r="M8" i="87" l="1"/>
  <c r="H265" i="85" s="1"/>
  <c r="H266" i="85" s="1"/>
  <c r="E10" i="89" s="1"/>
  <c r="G10" i="89" s="1"/>
  <c r="J19" i="75" l="1"/>
  <c r="J16" i="75"/>
  <c r="J20" i="75" l="1"/>
  <c r="C5" i="90" l="1"/>
  <c r="G5" i="90" s="1"/>
  <c r="J21" i="75"/>
  <c r="D6" i="89" s="1"/>
  <c r="A1" i="75"/>
  <c r="A1" i="85" s="1"/>
  <c r="E8" i="90" l="1"/>
  <c r="G10" i="90" l="1"/>
  <c r="G8" i="90" l="1"/>
  <c r="G14" i="90" l="1"/>
  <c r="C9" i="90"/>
  <c r="G9" i="90" s="1"/>
  <c r="C6" i="90" l="1"/>
  <c r="G6" i="90" s="1"/>
  <c r="G11" i="90" l="1"/>
  <c r="G17" i="89"/>
  <c r="G12" i="90" l="1"/>
  <c r="G16" i="89" s="1"/>
  <c r="G13" i="90"/>
  <c r="G15" i="89" s="1"/>
  <c r="G14" i="89"/>
  <c r="K7" i="87" l="1"/>
  <c r="J7" i="87"/>
  <c r="G7" i="87"/>
  <c r="M6" i="87"/>
  <c r="G111" i="85" l="1"/>
  <c r="H111" i="85" s="1"/>
  <c r="G220" i="85"/>
  <c r="H220" i="85" s="1"/>
  <c r="M7" i="87"/>
  <c r="G112" i="85" l="1"/>
  <c r="H112" i="85" s="1"/>
  <c r="G221" i="85"/>
  <c r="H221" i="85" s="1"/>
  <c r="H223" i="85"/>
  <c r="H224" i="85" s="1"/>
  <c r="E9" i="89" s="1"/>
  <c r="G9" i="89" s="1"/>
  <c r="H113" i="85"/>
  <c r="H114" i="85" s="1"/>
  <c r="E6" i="89" s="1"/>
  <c r="G6" i="89" s="1"/>
  <c r="G11" i="89" s="1"/>
  <c r="G12" i="89" l="1"/>
  <c r="G13" i="89"/>
  <c r="G18" i="89" l="1"/>
  <c r="G19" i="89" s="1"/>
  <c r="G21" i="89" s="1"/>
  <c r="D3" i="91" s="1"/>
  <c r="G22" i="89" l="1"/>
  <c r="H18" i="88" l="1"/>
</calcChain>
</file>

<file path=xl/sharedStrings.xml><?xml version="1.0" encoding="utf-8"?>
<sst xmlns="http://schemas.openxmlformats.org/spreadsheetml/2006/main" count="875" uniqueCount="346">
  <si>
    <t>cum</t>
  </si>
  <si>
    <t>sqm</t>
  </si>
  <si>
    <t>Unit</t>
  </si>
  <si>
    <t>Quantity</t>
  </si>
  <si>
    <t>in Rs.</t>
  </si>
  <si>
    <t>Rs:</t>
  </si>
  <si>
    <t>Description</t>
  </si>
  <si>
    <t>work inspector</t>
  </si>
  <si>
    <t>Day</t>
  </si>
  <si>
    <t>mazdoor</t>
  </si>
  <si>
    <t>labour component/unit qty</t>
  </si>
  <si>
    <t>Add contractor's profit and overhead charges</t>
  </si>
  <si>
    <t>labour component/unit qty (including contractor's profit)</t>
  </si>
  <si>
    <t>D. Add for contractor's profit and overheads on (A+B+C)</t>
  </si>
  <si>
    <t>Total cost for</t>
  </si>
  <si>
    <t>Rs.</t>
  </si>
  <si>
    <t>Hour</t>
  </si>
  <si>
    <t>Particulars</t>
  </si>
  <si>
    <t>kg</t>
  </si>
  <si>
    <t>Rs</t>
  </si>
  <si>
    <t>Crew for Concrete mixer</t>
  </si>
  <si>
    <t>Mazdoor</t>
  </si>
  <si>
    <t>IRR-CCDW-1-2</t>
  </si>
  <si>
    <t>RATE ANALYSIS</t>
  </si>
  <si>
    <t>UNIT :</t>
  </si>
  <si>
    <t>A. MATERIALS:</t>
  </si>
  <si>
    <t>Coarse aggregate 40-20 mm</t>
  </si>
  <si>
    <t>Coarse aggregate 20-10 mm</t>
  </si>
  <si>
    <t>Coarse aggregate 10 mm below</t>
  </si>
  <si>
    <t>Total cost of Materials</t>
  </si>
  <si>
    <t>B. MACHINERY:</t>
  </si>
  <si>
    <t>Fuel / Energy charges</t>
  </si>
  <si>
    <t>Total hire charges of Machinery</t>
  </si>
  <si>
    <t>C. LABOUR:</t>
  </si>
  <si>
    <t>Crew for Pump</t>
  </si>
  <si>
    <t>Mason Class-I</t>
  </si>
  <si>
    <t>for loading mortar pans</t>
  </si>
  <si>
    <t>for laying</t>
  </si>
  <si>
    <t>for conveying concrete</t>
  </si>
  <si>
    <t>Total cost of Labour</t>
  </si>
  <si>
    <t>ABSTRACT:</t>
  </si>
  <si>
    <t>B. Hire charges of Machinery</t>
  </si>
  <si>
    <t xml:space="preserve">Hydraulic excavator 1.0 cum bucket capacity </t>
  </si>
  <si>
    <t>hour</t>
  </si>
  <si>
    <t>Fuel/ Energy charges</t>
  </si>
  <si>
    <t>Total in Rs.</t>
  </si>
  <si>
    <t>day</t>
  </si>
  <si>
    <t>crew for excavator</t>
  </si>
  <si>
    <t>Abstract</t>
  </si>
  <si>
    <t>a) Material</t>
  </si>
  <si>
    <t>b) Machinery</t>
  </si>
  <si>
    <t>c) Labour</t>
  </si>
  <si>
    <t xml:space="preserve">Total </t>
  </si>
  <si>
    <t>Breadth</t>
  </si>
  <si>
    <t>A. Cost of Materials</t>
  </si>
  <si>
    <t xml:space="preserve">Rate </t>
  </si>
  <si>
    <t>Description of Item</t>
  </si>
  <si>
    <t>TOTAL</t>
  </si>
  <si>
    <t>Description of item</t>
  </si>
  <si>
    <t>Rate</t>
  </si>
  <si>
    <t>Amount</t>
  </si>
  <si>
    <t>x</t>
  </si>
  <si>
    <t>Cement</t>
  </si>
  <si>
    <t>Cum</t>
  </si>
  <si>
    <t>Total</t>
  </si>
  <si>
    <t>Depth</t>
  </si>
  <si>
    <t>Nos</t>
  </si>
  <si>
    <t>Length</t>
  </si>
  <si>
    <t>Sl No</t>
  </si>
  <si>
    <t xml:space="preserve">CERTIFICATES </t>
  </si>
  <si>
    <t>C. Cost of Labour</t>
  </si>
  <si>
    <t>Or say</t>
  </si>
  <si>
    <t>A. Materials:</t>
  </si>
  <si>
    <t>Crew for Needle vibrator</t>
  </si>
  <si>
    <t>Excavation for Structures- Mechanical Means (Data adopted from MORTH )   Earth work in excavation in all kinds of foundation of structures as per drawing and technical specification including setting out. Construction of shoring and bracing, removal of stumps and other deleterious matter, dressing of sides and bottom and backfilling with approved material depth upto 3 meters)</t>
  </si>
  <si>
    <t>Sl.
No.</t>
  </si>
  <si>
    <t>Name of Material</t>
  </si>
  <si>
    <t>Name of Source</t>
  </si>
  <si>
    <t>Up to 5 Kms Lead</t>
  </si>
  <si>
    <t xml:space="preserve"> for Every km beyond 5 km upto 30 km</t>
  </si>
  <si>
    <t xml:space="preserve"> for Every km beyond 30 km</t>
  </si>
  <si>
    <t>Total Rs.</t>
  </si>
  <si>
    <t>STANDARD DATA</t>
  </si>
  <si>
    <t>Distance</t>
  </si>
  <si>
    <t>Total Distance</t>
  </si>
  <si>
    <t>Initial Lead upto 1km</t>
  </si>
  <si>
    <t>For Every 1 km after 5 km</t>
  </si>
  <si>
    <t>MR</t>
  </si>
  <si>
    <t>CT</t>
  </si>
  <si>
    <t>Local</t>
  </si>
  <si>
    <t>1 MT</t>
  </si>
  <si>
    <t>-</t>
  </si>
  <si>
    <t>Fine Aggregate/ Sand</t>
  </si>
  <si>
    <t>1 Cum</t>
  </si>
  <si>
    <t>Appanapeta</t>
  </si>
  <si>
    <t>Certified that the leads furnished above are correct to the best of my knowledge</t>
  </si>
  <si>
    <t>Certified that the blasting is necessary to obtain rubble and metal.</t>
  </si>
  <si>
    <t>Certified that the leads are taken from the shortest route from the work spot.</t>
  </si>
  <si>
    <t>Sand</t>
  </si>
  <si>
    <t>Metal</t>
  </si>
  <si>
    <t>SMET @ 2%</t>
  </si>
  <si>
    <t>DMF @ 30%</t>
  </si>
  <si>
    <t>Rate per</t>
  </si>
  <si>
    <t xml:space="preserve">IRR-CCDW-2-3 </t>
  </si>
  <si>
    <t>Cement for mix</t>
  </si>
  <si>
    <t>Cement for incidentals @ 3 kg / cum</t>
  </si>
  <si>
    <t>Fine aggregate (Un-Screened)</t>
  </si>
  <si>
    <t>Super Plasticizer</t>
  </si>
  <si>
    <t>Use rate of shuttering for 40 uses</t>
  </si>
  <si>
    <t>Scaffolding @  of shuttering</t>
  </si>
  <si>
    <t>Sundries</t>
  </si>
  <si>
    <t>LS</t>
  </si>
  <si>
    <t>Concrete mixer 300/200 ltr ( diesel )</t>
  </si>
  <si>
    <t>5 hp pump ( diesel )</t>
  </si>
  <si>
    <t>Water tanker 8000 ltr</t>
  </si>
  <si>
    <t>Needle vibrator 40 mm dia ( petrol )</t>
  </si>
  <si>
    <t>Crew for Water tanker</t>
  </si>
  <si>
    <t>for batching materials</t>
  </si>
  <si>
    <t>for cleaning/ washing/ curing</t>
  </si>
  <si>
    <t>Labour cost for shuttering</t>
  </si>
  <si>
    <t xml:space="preserve">Labour cost for scaffolding @ </t>
  </si>
  <si>
    <t>Cement for incidentals @ 5 kg / cum</t>
  </si>
  <si>
    <t>Crew for Vibrator</t>
  </si>
  <si>
    <t>for laying including lifting</t>
  </si>
  <si>
    <t>Total      Rs:</t>
  </si>
  <si>
    <t>Appannapeta metal quarry</t>
  </si>
  <si>
    <t>Musi River for sand</t>
  </si>
  <si>
    <t xml:space="preserve">
</t>
  </si>
  <si>
    <t>Proposed site</t>
  </si>
  <si>
    <t xml:space="preserve">Nalgonda to </t>
  </si>
  <si>
    <t>Miryalaguda to Huzurnagar road</t>
  </si>
  <si>
    <t>Nalgonda</t>
  </si>
  <si>
    <t>Miryalaguda</t>
  </si>
  <si>
    <t>Lead in KM</t>
  </si>
  <si>
    <r>
      <rPr>
        <u/>
        <sz val="11"/>
        <color theme="1"/>
        <rFont val="Times New Roman"/>
        <family val="1"/>
      </rPr>
      <t>Note:</t>
    </r>
    <r>
      <rPr>
        <sz val="11"/>
        <color theme="1"/>
        <rFont val="Times New Roman"/>
        <family val="1"/>
      </rPr>
      <t xml:space="preserve"> Map not to scale</t>
    </r>
  </si>
  <si>
    <t>GOVERNMENT OF  
TELANGANA</t>
  </si>
  <si>
    <t>IRRIGATION &amp; CAD DEPARTMENT</t>
  </si>
  <si>
    <t>NAME OF WORK :</t>
  </si>
  <si>
    <t>AMOUNT OF ESTIMATE</t>
  </si>
  <si>
    <t xml:space="preserve">, </t>
  </si>
  <si>
    <t xml:space="preserve">Rs </t>
  </si>
  <si>
    <t xml:space="preserve">Lakhs </t>
  </si>
  <si>
    <t>ABSTRACT ESTIMATE</t>
  </si>
  <si>
    <t>S.No</t>
  </si>
  <si>
    <t>Item Code</t>
  </si>
  <si>
    <t>QTY</t>
  </si>
  <si>
    <t>Unit Rate</t>
  </si>
  <si>
    <t>E.C.V</t>
  </si>
  <si>
    <t>L.S</t>
  </si>
  <si>
    <t>Provision for Labour Cess @ 1%</t>
  </si>
  <si>
    <t>Provision for  NAC @ 0.1%</t>
  </si>
  <si>
    <t>Provision for  seignorage charges</t>
  </si>
  <si>
    <t>Provision For DMF @ 30% on Seigniorage Charges</t>
  </si>
  <si>
    <t>Provision For SMET @ 2% on Seigniorage Charges</t>
  </si>
  <si>
    <t>Provision towards other miscellaneous items</t>
  </si>
  <si>
    <t>(A+B+C+D)/15.38</t>
  </si>
  <si>
    <t xml:space="preserve">Coarse Aggregate </t>
  </si>
  <si>
    <t>Angle dozer 90 hp</t>
  </si>
  <si>
    <t>Crew for Dozer</t>
  </si>
  <si>
    <t>Crew for Tipper</t>
  </si>
  <si>
    <t xml:space="preserve">Gravel </t>
  </si>
  <si>
    <t>C.Memo.No.146/Cement&amp;Steel/T3/2024-25  Dated: 27.11.2024</t>
  </si>
  <si>
    <t>LOCAL</t>
  </si>
  <si>
    <t>CUM</t>
  </si>
  <si>
    <t>NIL</t>
  </si>
  <si>
    <t xml:space="preserve">Providing and laying insitu vibrated M-15 ( 28 days cube compressive strength not less than 15 N /sq mm ) grade cement concrete using 40 mm down size approved, clean, hard, gradedaggregates for foundation filling including cost of all materials, machinery, labour, formwork,cleaning, batching, mixing, placing in position, levelling, vibrating, finishing, curing etc.,complete with initial lead upto 50 m and all lifts. </t>
  </si>
  <si>
    <t>Providing and laying insitu vibrated M-15 ( 28 days cube compressive strength not less than15 N / sq mm ) grade cement concrete using 40 mm down size approved, clean, hard, gradedaggregates for sub-structure / super- structure works including cost of all materials,machinery, labour, formwork, scaffolding, cleaning, batching, mixing, placing in position,levelling, vibrating, finishing, curing etc., complete with initial lead upto 50 m and all lifts.</t>
  </si>
  <si>
    <t>Provision towards GST @ 18%</t>
  </si>
  <si>
    <t xml:space="preserve"> Permit Fee Payable</t>
  </si>
  <si>
    <t xml:space="preserve">Item of Work </t>
  </si>
  <si>
    <t xml:space="preserve">Qty </t>
  </si>
  <si>
    <t xml:space="preserve">Amount of Deduction </t>
  </si>
  <si>
    <t>M15 Bed</t>
  </si>
  <si>
    <t xml:space="preserve">Sand </t>
  </si>
  <si>
    <t>M-15 Sup</t>
  </si>
  <si>
    <t xml:space="preserve">Metal </t>
  </si>
  <si>
    <t>:</t>
  </si>
  <si>
    <t>CHECK SLIP ACCOMPANYING THE PROJECT/SCHEME/WORK ESTIMATE</t>
  </si>
  <si>
    <t>Name of the Project /Scheme/Work</t>
  </si>
  <si>
    <t>Estimate Amount Rs.</t>
  </si>
  <si>
    <t>Category of Project /Scheme /Work</t>
  </si>
  <si>
    <t>Location /District /Mandal /Village</t>
  </si>
  <si>
    <t>Scope of work in brief</t>
  </si>
  <si>
    <t>Ayacut proposed - Wet/ID</t>
  </si>
  <si>
    <t>Wet and ID</t>
  </si>
  <si>
    <t>Cropping pattern</t>
  </si>
  <si>
    <t>paddy/Cotton</t>
  </si>
  <si>
    <t>Source /River basin /Sub-basin /Sub-Minor basin</t>
  </si>
  <si>
    <t>Availability of water at the site</t>
  </si>
  <si>
    <t>Allocation of water /utilization</t>
  </si>
  <si>
    <t>Reference in which Hydrological clearance was accorded by the competent authority</t>
  </si>
  <si>
    <t>Cost per Acre Rs.</t>
  </si>
  <si>
    <t>B.C. Ratio</t>
  </si>
  <si>
    <t>Whether the report accompanying the estimate, detailed estimate  and abstreact estimate are enclosed</t>
  </si>
  <si>
    <t>YES</t>
  </si>
  <si>
    <t>Whether salient features are enclosed</t>
  </si>
  <si>
    <t>ENCLOSED</t>
  </si>
  <si>
    <t>Whether commanded area plan/index plan enclosed</t>
  </si>
  <si>
    <t>Whether the approved Designs /Drawings /Hydraulic particulars /Cross sections are enclosed</t>
  </si>
  <si>
    <t>Whether C.C. lining thickness Grade of concrete and CNS layer thickness proposed are with reference to the relevant to IS codes</t>
  </si>
  <si>
    <t>--</t>
  </si>
  <si>
    <t>Whether the data enclosed is based on the current SSR with year</t>
  </si>
  <si>
    <t>Whether latest cement /Steel rates are adopted</t>
  </si>
  <si>
    <t>Whether the quotations for non SSR items are enclosed</t>
  </si>
  <si>
    <t>Whether the lead statemet with certificates is enclosed</t>
  </si>
  <si>
    <t>Contd..2</t>
  </si>
  <si>
    <t>Page  No.2</t>
  </si>
  <si>
    <t>Whether Barrow area /quarry mapsare enclosed</t>
  </si>
  <si>
    <t>Whether the amount of labour component and certificate of L.A. &amp; L.I. furnished</t>
  </si>
  <si>
    <t>Not required</t>
  </si>
  <si>
    <t>Whether geological and foundation investigations carried out</t>
  </si>
  <si>
    <t>Whether the extent of L.A./forest lands is furnished</t>
  </si>
  <si>
    <t>Are the rates of L.A. adopted based on the certificate issued by the Revenue Authorities.</t>
  </si>
  <si>
    <t>Whether provision for compensatory afforestration and NPV isprovided in consultation with Forest dept.</t>
  </si>
  <si>
    <t>Whether the cost for CM &amp; CD works in based on costcurves updated with current SSR</t>
  </si>
  <si>
    <t>Whether provision for distributaries and filed channels is based on the estimate prepared for a model block covering 10% of the command</t>
  </si>
  <si>
    <t>Whether provisions made for dewatering and other LS provisions are reasonable</t>
  </si>
  <si>
    <t>Whether the provision for formation of road, NH crossing, railway crossing and other road crossings isbased on their specification and standards.</t>
  </si>
  <si>
    <t>Whether the site was inspected by the competent authority beforesubmitting the estimates asindicated below.  If so furnishthedate of inspection and confirm whether the estimate is prepared keeping in view the observations.</t>
  </si>
  <si>
    <t>i)</t>
  </si>
  <si>
    <t>Upto Rs.10.00 Lakhs EE</t>
  </si>
  <si>
    <t>ii)</t>
  </si>
  <si>
    <t>Rs.10.00 Lakhs to Rs.50.00 Lakhs</t>
  </si>
  <si>
    <t>iii)</t>
  </si>
  <si>
    <t>Above 50.00 Lakhs ENC/CE</t>
  </si>
  <si>
    <t>Are the provisions examined /Abstract estimatechecked in CEs Office</t>
  </si>
  <si>
    <t>Whether all officers upto CE signed</t>
  </si>
  <si>
    <t>Construction programe of the Project/Scheme/work</t>
  </si>
  <si>
    <t>Q.C. check authority proposed for this work</t>
  </si>
  <si>
    <t xml:space="preserve"> </t>
  </si>
  <si>
    <t>at UT @Km 8.388 Abutment</t>
  </si>
  <si>
    <t>IRR-CCDW-2-9</t>
  </si>
  <si>
    <t>Use rate of shuttering</t>
  </si>
  <si>
    <t>(A+B+C+D)/15.0</t>
  </si>
  <si>
    <t>nill</t>
  </si>
  <si>
    <t>shovel 0.85 cum capacity</t>
  </si>
  <si>
    <t>Tippers 5.00 cum capacity 5Nos</t>
  </si>
  <si>
    <t>Crew for shoval</t>
  </si>
  <si>
    <t>(A+B+C+D)/807</t>
  </si>
  <si>
    <t>Lead Charges for  Graval</t>
  </si>
  <si>
    <t>or say</t>
  </si>
  <si>
    <t>at UT  @ Km 8.388 Protection wall</t>
  </si>
  <si>
    <t>(1.20+0.30)/2</t>
  </si>
  <si>
    <t>(1.20+1.5)/2</t>
  </si>
  <si>
    <t>(1.20+1.50)/2</t>
  </si>
  <si>
    <t>IRR-CCDW-2-3</t>
  </si>
  <si>
    <t>Fine aggregate</t>
  </si>
  <si>
    <t>A. Cost of Materials including seignorage charges</t>
  </si>
  <si>
    <t>Correction for Cement rate</t>
  </si>
  <si>
    <t>Present</t>
  </si>
  <si>
    <t>SSR</t>
  </si>
  <si>
    <t>Difference of cement price</t>
  </si>
  <si>
    <t>Contractors profit and over head charges 13.615%</t>
  </si>
  <si>
    <t>Conveyance charges for Fine Aggregate</t>
  </si>
  <si>
    <t>Conveyance charges for Coarse Aggregate</t>
  </si>
  <si>
    <t>Rate per Cum</t>
  </si>
  <si>
    <t>or say Rs.</t>
  </si>
  <si>
    <t>Deduct Difference of cement price</t>
  </si>
  <si>
    <t>Conveyance charges for Fine Aggregate for 25 km</t>
  </si>
  <si>
    <t>Conveyance charges for Coarse Aggregate for 25km</t>
  </si>
  <si>
    <t xml:space="preserve">Providing and laying insitu vibrated M-15 ( 28 days cube compressive strength not less than 15 N /sq mm ) grade cement concrete using 40 mm down size approved, clean, hard, graded aggregates for foundation filling including cost of all materials, machinery, labour, formwork,cleaning, batching, mixing, placing in position, levelling, vibrating, finishing, curing etc.,complete with initial lead upto 50 m and all lifts. </t>
  </si>
  <si>
    <r>
      <t xml:space="preserve">Providing </t>
    </r>
    <r>
      <rPr>
        <sz val="12"/>
        <color indexed="8"/>
        <rFont val="Times New Roman"/>
        <family val="1"/>
      </rPr>
      <t>casing embankment using semi-pervious soil available from excavation in layers of 25 to 30 cmbefore compaction including cost of all materials, machinery, labour, all other operations such as re-excavation, sorting out, transportation, spreading in layers of specified thickness, breaking clods, sectioning, watering, compacting to specified density control of not less than 95 percent using Sheep footroller / Vibratory roller/ 8 to 10 tonne power roller   as  stipulated etc.,complete with initial lead upto 1 km and all lifts.</t>
    </r>
  </si>
  <si>
    <t>(SSR 2026-27)</t>
  </si>
  <si>
    <t>at UT @ Km 8.388 wing walls at bank toe</t>
  </si>
  <si>
    <t>RCC Pipes</t>
  </si>
  <si>
    <t>Cherlapalli Nalgonda</t>
  </si>
  <si>
    <t>_</t>
  </si>
  <si>
    <t>RMT</t>
  </si>
  <si>
    <t>SOR page no.647 of 806</t>
  </si>
  <si>
    <t>Add lead Charges</t>
  </si>
  <si>
    <t>IRR-CCDW-6-1</t>
  </si>
  <si>
    <t>Joints</t>
  </si>
  <si>
    <t>Sand (Screened)</t>
  </si>
  <si>
    <t>Hemp yarn</t>
  </si>
  <si>
    <t>Mason Cl- II</t>
  </si>
  <si>
    <t>Rate per Joint</t>
  </si>
  <si>
    <t>(A+B+C+D)/10.0</t>
  </si>
  <si>
    <t>For NP3 Class - 10% extra over the rates of NP2 Class</t>
  </si>
  <si>
    <t>Total cost for NP3</t>
  </si>
  <si>
    <t>Manufacture and supply &amp; delivery of RCC socket and spigot pipes conforming to BIS 458/ 2003 at expactory (Rate per meter of effective length ) excluding transportion taxes and duties 300 mm dia NP2 pipes</t>
  </si>
  <si>
    <t>X</t>
  </si>
  <si>
    <t>Rmt</t>
  </si>
  <si>
    <t>Laying and jointing 300 mm dia. NP- 2 class or IRC standard hume pipes in CM 1 : 2
proportion by volume including cost of all materials ( excluding pipes and collars ), machinery,
labour, aligning, packing joints with hemp, finishing, curing etc., complete with initial lead upto
50 m and all lifts.
(Cement content: 9.9 kg / joint, FA : 0.01cum/joint, Hemp Yarn : 0.091kg/joint)</t>
  </si>
  <si>
    <t>Dismantling Stone masonry in cement mortar</t>
  </si>
  <si>
    <t xml:space="preserve">Dismantling of Stone masonry in cement mortar for UT walls at inlet/ outlet and Damaged Protection walls </t>
  </si>
  <si>
    <t>UT walls at inlet/ outlet</t>
  </si>
  <si>
    <t>Damaged Protection walls</t>
  </si>
  <si>
    <t>DATA</t>
  </si>
  <si>
    <t>Rate Rs.</t>
  </si>
  <si>
    <t>Amount in Rs.</t>
  </si>
  <si>
    <t>Add contractors Profit and overheads on Material 13.615%</t>
  </si>
  <si>
    <t>Total cost</t>
  </si>
  <si>
    <t>TBSC-U.I-01 (Item No 1129)</t>
  </si>
  <si>
    <t>Total cost per 1 Cum</t>
  </si>
  <si>
    <t xml:space="preserve">Earth work in excavation in all kinds of soils of foundation of structures as per drawing and technical
specification, including setting out, construction of shoring and bracing, removal of stumps and other
deleterious matter, dressing of sides and bottom and backfilling with approved material.
Depth upto 3 m
</t>
  </si>
  <si>
    <t>Providing and laying insitu vibrated M-15 ( 28 days cube compressive strength not less than 15 N /sq mm ) grade cement concrete using 40 mm down size approved, clean, hard, graded aggregates for foundation filling including cost of all materials, machinery, labour, formwork,cleaning, batching, mixing, placing in position, levelling, vibrating, finishing, curing etc.,complete with initial lead upto 50 m and all lifts.
(Cement content: 260 kg / cum with use of super plasticiser(0.4% by wt. of cement),CA : 0.90cum, Blending Ratio of CA--50:30:20, FA : 0.40 cum)</t>
  </si>
  <si>
    <t xml:space="preserve">UNIT </t>
  </si>
  <si>
    <t>B.Machinery:</t>
  </si>
  <si>
    <t>C.Labour:</t>
  </si>
  <si>
    <t>Manufacture and supply &amp; delivery of RCC socket and spigot pipes conforming to BIS 458/ 2003 at expactory (Rate per meter of effective length ) excluding transportion taxes and duties 300 mm dia NP3 pipes</t>
  </si>
  <si>
    <t>Manufacture and supply &amp; delivery of RCC socket and spigot pipes</t>
  </si>
  <si>
    <t>RM</t>
  </si>
  <si>
    <t>Total cost per 1 RM</t>
  </si>
  <si>
    <t>Laying and jointing 300 mm dia. NP- 2 class or IRC standard hume pipes in CM 1 : 2 proportion by volume including cost of all materials ( excluding pipes and collars ), machinery,labour, aligning, packing joints with hemp, finishing, curing etc., complete with initial lead upto 50 m and all lifts.(Cement content: 9.9 kg / joint, FA : 0.01cum/joint, Hemp Yarn : 0.091kg/joint)</t>
  </si>
  <si>
    <t>Nil (Manual Mixing)</t>
  </si>
  <si>
    <t>Joint</t>
  </si>
  <si>
    <t>Providing and laying insitu vibrated M-15 ( 28 days cube compressive strength not less than15 N / sq mm) grade cement concrete using 40 mm down size approved, clean, hard, graded aggregates for  sub-structure/ super structure works(Abutment&amp; return walls), including cost of all materials, machinery, labour, formwork, scaffolding, cleaning, batching, mixing, placing in position, levelling, vibrating, finishing, curing etc.,complete with initial lead upto 50 m and all lifts.(Cement content: 280 kg / cum with use of super plasticiser(0.4% by wt. of cement),CA : 0.90cum, Blending Ratio of CA--50:30:20, FA : 0.40 cum)</t>
  </si>
  <si>
    <t>IRR-PMW-3-17</t>
  </si>
  <si>
    <t>Providing homogeneous embankment using soil from approved borrow area in layers of 25 to 30 cm
Before compaction including cost of all materials, machinery, labour, all operations such as excavation,
sorting out, transportation, spreading soil in layer of specified thickness, breaking clods, sectioning,etc.,
complete with initial lead upto 1 km and all lifts.</t>
  </si>
  <si>
    <t>0.8*(4264.65+7107.75+3159)</t>
  </si>
  <si>
    <t xml:space="preserve"> Seignioprage Charges  </t>
  </si>
  <si>
    <t>coefficient</t>
  </si>
  <si>
    <t>Item code</t>
  </si>
  <si>
    <t>supply &amp; delivery of RCC socket and spigot pipes at the outer ends of the UT to replace the damaged one</t>
  </si>
  <si>
    <t>Laying and jointing 300 mm dia. NP- 3 class or IRC standard hume pipes in CM 1 : 2 proportion by volume including cost of all materials ( excluding pipes and collars ), machinery, labour, aligning, packing joints with hemp, finishing, curing etc., complete with initial lead upto 50 m and all lifts.</t>
  </si>
  <si>
    <t>Laying and jointing 300 mm dia. NP- 3 class</t>
  </si>
  <si>
    <t>Major Irrigation (NSP)</t>
  </si>
  <si>
    <t>Nalgonda  Dist,Miryalaguda Mandal,Alagadapa Village.</t>
  </si>
  <si>
    <t>Dismantling of collapsed SM wing walls and protection wall; reconstruction of wing walls (2 x 2 x 5.00 m) and protection wall (37.00 m) in CC M-15 over CC M-15 foundation; replacement of damaged 300 mm RCC pipes at both ends; bank restoration by casing embankment</t>
  </si>
  <si>
    <t>Nagarjuna Sagar Project</t>
  </si>
  <si>
    <t>2026-27</t>
  </si>
  <si>
    <t>NA</t>
  </si>
  <si>
    <t>Are the detailed estimates /DATAs checked in Ses office</t>
  </si>
  <si>
    <t xml:space="preserve">Whether the check slip for Admn.approval is enclosed </t>
  </si>
  <si>
    <t>3 months</t>
  </si>
  <si>
    <t xml:space="preserve">LEAD STATEMENT </t>
  </si>
  <si>
    <t>Tahadakamalla (Musi)</t>
  </si>
  <si>
    <t>Certified that the extra seigniorage charges added in the estimate as per G.O.Ms.No.14 Dt.08.07.2025 Insudsties and Commerce</t>
  </si>
  <si>
    <t>UT at 8.388 on Mulkala Kaluva Major</t>
  </si>
  <si>
    <t>Pipes</t>
  </si>
  <si>
    <t>Site inspected by me; estimate prepared on actual site conditions and measurements taken at site</t>
  </si>
  <si>
    <t>Rates as per Standard Data and Common SoR in force; latest cement and steel rates adopted</t>
  </si>
  <si>
    <t>Seigniorage allowed as per G.O.s in force; DMF, SMET and permit fee provided at prescribed percentages</t>
  </si>
  <si>
    <t>Nearest sources adopted for lead; sufficient quantity available at quarry; shortest route</t>
  </si>
  <si>
    <t>No departmental material proposed to be issued</t>
  </si>
  <si>
    <t>Provisions adequate; no provision made in any other estimate for the same work</t>
  </si>
  <si>
    <t>Work is essential to restore the U.T. and protect the canal bank from further damage</t>
  </si>
  <si>
    <t>Quantities in the detailed estimate are correct and as per  drawings/designs enclosed</t>
  </si>
  <si>
    <t>Name of Work : Repairs and Reconstruction of the Protection Wall and Inlet/Outlet Wing Walls of the U.T. at Km 8.388 of Mulkalakalva Major of NSLBC, Block-IV, at Alagadapa (V), Miryalaguda (M), Nalgonda District.</t>
  </si>
  <si>
    <t>Name of Work :Repairs and Reconstruction of the Protection Wall and Inlet/Outlet Wing Walls of the U.T. at Km 8.388 of Mulkalakalva Major of NSLBC, Block-IV, at Alagadapa (V), Miryalaguda (M), Nalgonda District.</t>
  </si>
  <si>
    <t>Total Amount In Lakhs</t>
  </si>
  <si>
    <t>Protection wall</t>
  </si>
  <si>
    <t>at inlet and oout let of the UT</t>
  </si>
  <si>
    <t>Cut off beam</t>
  </si>
  <si>
    <t>Earth</t>
  </si>
  <si>
    <t xml:space="preserve">Detailed Estimate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</si>
</sst>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_(&quot;$&quot;* #,##0.00_);_(&quot;$&quot;* \(#,##0.00\);_(&quot;$&quot;* &quot;-&quot;??_);_(@_)"/>
    <numFmt numFmtId="165" formatCode="_(* #,##0.00_);_(* \(#,##0.00\);_(* &quot;-&quot;??_);_(@_)"/>
    <numFmt numFmtId="166" formatCode="0.000"/>
    <numFmt numFmtId="167" formatCode="0.0"/>
    <numFmt numFmtId="168" formatCode="0.00_);\(0.00\)"/>
    <numFmt numFmtId="169" formatCode="0.000%"/>
    <numFmt numFmtId="170" formatCode="0.00;[Red]0.00"/>
    <numFmt numFmtId="171" formatCode="_([$€-2]* #,##0.00_);_([$€-2]* \(#,##0.00\);_([$€-2]* &quot;-&quot;??_)"/>
    <numFmt numFmtId="172" formatCode="#,##0.0_);\(#,##0.0\)"/>
    <numFmt numFmtId="173" formatCode="_-* #,##0\ _F_-;\-* #,##0\ _F_-;_-* &quot;-&quot;\ _F_-;_-@_-"/>
    <numFmt numFmtId="174" formatCode="_-* #,##0.00\ _F_-;\-* #,##0.00\ _F_-;_-* &quot;-&quot;??\ _F_-;_-@_-"/>
    <numFmt numFmtId="175" formatCode="_-* #,##0\ &quot;F&quot;_-;\-* #,##0\ &quot;F&quot;_-;_-* &quot;-&quot;\ &quot;F&quot;_-;_-@_-"/>
    <numFmt numFmtId="176" formatCode="_-* #,##0.00\ &quot;F&quot;_-;\-* #,##0.00\ &quot;F&quot;_-;_-* &quot;-&quot;??\ &quot;F&quot;_-;_-@_-"/>
    <numFmt numFmtId="177" formatCode="&quot;$&quot;#,##0;\-&quot;$&quot;#,##0"/>
    <numFmt numFmtId="178" formatCode="mm/dd/yy"/>
    <numFmt numFmtId="179" formatCode="_ * #,##0.00_ ;_ * \-#,##0.00_ ;_ * &quot;-&quot;??_ ;_ @_ "/>
    <numFmt numFmtId="180" formatCode="_ * #,##0.00_ ;_ * \-#,##0.00_ ;_ * \-??_ ;_ @_ "/>
    <numFmt numFmtId="181" formatCode="_(* #,##0.00_);_(* \(#,##0.00\);_(* \-??_);_(@_)"/>
    <numFmt numFmtId="182" formatCode="0.0%"/>
    <numFmt numFmtId="183" formatCode="_(&quot;$&quot;* #,##0.00_);_(&quot;$&quot;* \(#,##0.00\);_(&quot;$&quot;* \-??_);_(@_)"/>
    <numFmt numFmtId="184" formatCode="0.00_)"/>
    <numFmt numFmtId="185" formatCode="0.00000"/>
  </numFmts>
  <fonts count="1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Arial"/>
      <family val="2"/>
    </font>
    <font>
      <sz val="9"/>
      <name val="Arial"/>
      <family val="2"/>
    </font>
    <font>
      <b/>
      <sz val="9"/>
      <name val="Arial"/>
      <family val="2"/>
    </font>
    <font>
      <sz val="10"/>
      <name val="Arial"/>
      <family val="2"/>
    </font>
    <font>
      <b/>
      <sz val="12"/>
      <name val="Arial"/>
      <family val="2"/>
    </font>
    <font>
      <sz val="10"/>
      <color indexed="8"/>
      <name val="Arial"/>
      <family val="2"/>
    </font>
    <font>
      <u/>
      <sz val="10"/>
      <color theme="10"/>
      <name val="Arial"/>
      <family val="2"/>
    </font>
    <font>
      <sz val="10"/>
      <name val="Times New Roman"/>
      <family val="1"/>
    </font>
    <font>
      <sz val="10"/>
      <name val="Verdana"/>
      <family val="2"/>
    </font>
    <font>
      <sz val="10"/>
      <name val="MS Serif"/>
      <family val="1"/>
    </font>
    <font>
      <sz val="10"/>
      <color indexed="16"/>
      <name val="MS Serif"/>
      <family val="1"/>
    </font>
    <font>
      <sz val="11"/>
      <color indexed="8"/>
      <name val="Calibri"/>
      <family val="2"/>
    </font>
    <font>
      <sz val="8"/>
      <name val="Helv"/>
      <family val="2"/>
    </font>
    <font>
      <b/>
      <sz val="8"/>
      <color indexed="8"/>
      <name val="Helv"/>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1"/>
      <name val="Times New Roman"/>
      <family val="1"/>
    </font>
    <font>
      <sz val="11"/>
      <color indexed="8"/>
      <name val="Calibri"/>
      <family val="2"/>
      <charset val="1"/>
    </font>
    <font>
      <sz val="11"/>
      <color indexed="9"/>
      <name val="Calibri"/>
      <family val="2"/>
      <charset val="1"/>
    </font>
    <font>
      <sz val="11"/>
      <color indexed="20"/>
      <name val="Calibri"/>
      <family val="2"/>
      <charset val="1"/>
    </font>
    <font>
      <b/>
      <sz val="11"/>
      <color indexed="52"/>
      <name val="Calibri"/>
      <family val="2"/>
      <charset val="1"/>
    </font>
    <font>
      <b/>
      <sz val="11"/>
      <color indexed="9"/>
      <name val="Calibri"/>
      <family val="2"/>
      <charset val="1"/>
    </font>
    <font>
      <i/>
      <sz val="11"/>
      <color indexed="23"/>
      <name val="Calibri"/>
      <family val="2"/>
      <charset val="1"/>
    </font>
    <font>
      <sz val="11"/>
      <color indexed="17"/>
      <name val="Calibri"/>
      <family val="2"/>
      <charset val="1"/>
    </font>
    <font>
      <b/>
      <sz val="15"/>
      <color indexed="56"/>
      <name val="Calibri"/>
      <family val="2"/>
      <charset val="1"/>
    </font>
    <font>
      <b/>
      <sz val="13"/>
      <color indexed="56"/>
      <name val="Calibri"/>
      <family val="2"/>
      <charset val="1"/>
    </font>
    <font>
      <b/>
      <sz val="11"/>
      <color indexed="56"/>
      <name val="Calibri"/>
      <family val="2"/>
      <charset val="1"/>
    </font>
    <font>
      <sz val="11"/>
      <color indexed="62"/>
      <name val="Calibri"/>
      <family val="2"/>
      <charset val="1"/>
    </font>
    <font>
      <sz val="11"/>
      <color indexed="52"/>
      <name val="Calibri"/>
      <family val="2"/>
      <charset val="1"/>
    </font>
    <font>
      <sz val="11"/>
      <color indexed="60"/>
      <name val="Calibri"/>
      <family val="2"/>
      <charset val="1"/>
    </font>
    <font>
      <b/>
      <sz val="11"/>
      <color indexed="63"/>
      <name val="Calibri"/>
      <family val="2"/>
      <charset val="1"/>
    </font>
    <font>
      <b/>
      <sz val="18"/>
      <color indexed="56"/>
      <name val="Cambria"/>
      <family val="2"/>
      <charset val="1"/>
    </font>
    <font>
      <b/>
      <sz val="11"/>
      <color indexed="8"/>
      <name val="Calibri"/>
      <family val="2"/>
      <charset val="1"/>
    </font>
    <font>
      <sz val="11"/>
      <color indexed="10"/>
      <name val="Calibri"/>
      <family val="2"/>
      <charset val="1"/>
    </font>
    <font>
      <b/>
      <u/>
      <sz val="18"/>
      <name val="Times New Roman"/>
      <family val="1"/>
    </font>
    <font>
      <sz val="18"/>
      <name val="Times New Roman"/>
      <family val="1"/>
    </font>
    <font>
      <b/>
      <sz val="12"/>
      <name val="Times New Roman"/>
      <family val="1"/>
    </font>
    <font>
      <sz val="14"/>
      <name val="Times New Roman"/>
      <family val="1"/>
    </font>
    <font>
      <b/>
      <i/>
      <sz val="11"/>
      <name val="Times New Roman"/>
      <family val="1"/>
    </font>
    <font>
      <sz val="11"/>
      <name val="Times New Roman"/>
      <family val="1"/>
    </font>
    <font>
      <b/>
      <u/>
      <sz val="12"/>
      <name val="Times New Roman"/>
      <family val="1"/>
    </font>
    <font>
      <sz val="11"/>
      <color theme="1"/>
      <name val="Calibri"/>
      <family val="2"/>
      <charset val="238"/>
      <scheme val="minor"/>
    </font>
    <font>
      <sz val="11"/>
      <color theme="1"/>
      <name val="Tahoma"/>
      <family val="2"/>
    </font>
    <font>
      <b/>
      <sz val="11"/>
      <color theme="1"/>
      <name val="Calibri"/>
      <family val="2"/>
      <scheme val="minor"/>
    </font>
    <font>
      <b/>
      <sz val="10"/>
      <name val="Times New Roman"/>
      <family val="1"/>
    </font>
    <font>
      <sz val="11"/>
      <color theme="1"/>
      <name val="Times New Roman"/>
      <family val="1"/>
    </font>
    <font>
      <b/>
      <sz val="10"/>
      <color theme="1"/>
      <name val="Times New Roman"/>
      <family val="1"/>
    </font>
    <font>
      <sz val="11"/>
      <color rgb="FF000000"/>
      <name val="Calibri"/>
      <family val="2"/>
      <scheme val="minor"/>
    </font>
    <font>
      <b/>
      <sz val="11"/>
      <color theme="1"/>
      <name val="Times New Roman"/>
      <family val="1"/>
    </font>
    <font>
      <u/>
      <sz val="11"/>
      <color theme="1"/>
      <name val="Times New Roman"/>
      <family val="1"/>
    </font>
    <font>
      <sz val="16"/>
      <name val="Times New Roman"/>
      <family val="1"/>
    </font>
    <font>
      <b/>
      <sz val="24"/>
      <name val="Bernard MT Condensed"/>
      <family val="1"/>
    </font>
    <font>
      <b/>
      <sz val="26"/>
      <name val="Times New Roman"/>
      <family val="1"/>
    </font>
    <font>
      <b/>
      <sz val="36"/>
      <name val="Times New Roman"/>
      <family val="1"/>
    </font>
    <font>
      <b/>
      <sz val="28"/>
      <color indexed="17"/>
      <name val="Swis721 BlkOul BT"/>
      <family val="5"/>
    </font>
    <font>
      <b/>
      <sz val="20"/>
      <color indexed="18"/>
      <name val="Arial"/>
      <family val="2"/>
    </font>
    <font>
      <b/>
      <sz val="20"/>
      <color indexed="18"/>
      <name val="Stencil Std"/>
      <family val="3"/>
    </font>
    <font>
      <b/>
      <sz val="16"/>
      <color theme="8"/>
      <name val="Arial Narrow"/>
      <family val="2"/>
    </font>
    <font>
      <b/>
      <sz val="18"/>
      <color indexed="18"/>
      <name val="Arial Narrow"/>
      <family val="2"/>
    </font>
    <font>
      <sz val="16"/>
      <name val="Times"/>
      <family val="1"/>
    </font>
    <font>
      <sz val="20"/>
      <color indexed="18"/>
      <name val="Bernard MT Condensed"/>
      <family val="1"/>
    </font>
    <font>
      <sz val="26"/>
      <name val="Vineta BT"/>
      <family val="5"/>
    </font>
    <font>
      <b/>
      <sz val="16"/>
      <name val="Modern"/>
      <family val="3"/>
      <charset val="255"/>
    </font>
    <font>
      <sz val="10"/>
      <name val="CityBlueprint"/>
      <charset val="2"/>
    </font>
    <font>
      <b/>
      <sz val="12"/>
      <name val="Garamond"/>
      <family val="1"/>
    </font>
    <font>
      <sz val="22"/>
      <color indexed="58"/>
      <name val="Vineta BT"/>
      <family val="5"/>
    </font>
    <font>
      <b/>
      <sz val="16"/>
      <color indexed="61"/>
      <name val="Garamond"/>
      <family val="1"/>
    </font>
    <font>
      <b/>
      <sz val="18"/>
      <name val="Engravers MT"/>
      <family val="1"/>
    </font>
    <font>
      <b/>
      <sz val="16"/>
      <color indexed="18"/>
      <name val="Garamond"/>
      <family val="1"/>
    </font>
    <font>
      <b/>
      <sz val="14"/>
      <color indexed="18"/>
      <name val="Garamond"/>
      <family val="1"/>
    </font>
    <font>
      <b/>
      <sz val="10"/>
      <color theme="1"/>
      <name val="Calibri"/>
      <family val="2"/>
      <scheme val="minor"/>
    </font>
    <font>
      <sz val="22"/>
      <name val="Arial Narrow"/>
      <family val="2"/>
    </font>
    <font>
      <b/>
      <sz val="10"/>
      <color theme="1"/>
      <name val="Arial"/>
      <family val="2"/>
    </font>
    <font>
      <b/>
      <sz val="16"/>
      <name val="Cambria"/>
      <family val="1"/>
    </font>
    <font>
      <sz val="8"/>
      <name val="Times New Roman"/>
      <family val="1"/>
    </font>
    <font>
      <sz val="10"/>
      <name val="Courier"/>
      <family val="2"/>
    </font>
    <font>
      <u/>
      <sz val="11"/>
      <color theme="10"/>
      <name val="Calibri"/>
      <family val="2"/>
    </font>
    <font>
      <sz val="12"/>
      <name val="Helv"/>
      <family val="2"/>
    </font>
    <font>
      <sz val="12"/>
      <color indexed="9"/>
      <name val="Helv"/>
      <family val="2"/>
    </font>
    <font>
      <b/>
      <sz val="16"/>
      <name val="Arial"/>
      <family val="2"/>
    </font>
    <font>
      <sz val="7"/>
      <name val="Small Fonts"/>
      <family val="2"/>
    </font>
    <font>
      <sz val="10"/>
      <name val="Tms Rmn"/>
      <family val="2"/>
    </font>
    <font>
      <sz val="10"/>
      <name val="MS Sans Serif"/>
      <family val="2"/>
    </font>
    <font>
      <sz val="8"/>
      <name val="Helv"/>
    </font>
    <font>
      <b/>
      <sz val="12"/>
      <name val="MS Sans Serif"/>
      <family val="2"/>
    </font>
    <font>
      <sz val="12"/>
      <name val="MS Sans Serif"/>
      <family val="2"/>
    </font>
    <font>
      <b/>
      <sz val="8"/>
      <color indexed="8"/>
      <name val="Helv"/>
    </font>
    <font>
      <sz val="11"/>
      <color theme="1"/>
      <name val="Calibri"/>
      <family val="2"/>
      <scheme val="minor"/>
    </font>
    <font>
      <b/>
      <i/>
      <sz val="12"/>
      <name val="Times New Roman"/>
      <family val="1"/>
    </font>
    <font>
      <b/>
      <i/>
      <u/>
      <sz val="12"/>
      <name val="Times New Roman"/>
      <family val="1"/>
    </font>
    <font>
      <sz val="11"/>
      <color rgb="FF000000"/>
      <name val="Calibri"/>
      <family val="2"/>
    </font>
    <font>
      <sz val="11"/>
      <color rgb="FFFFFFFF"/>
      <name val="Calibri"/>
      <family val="2"/>
    </font>
    <font>
      <b/>
      <sz val="11"/>
      <color rgb="FF000000"/>
      <name val="Calibri"/>
      <family val="2"/>
    </font>
    <font>
      <u/>
      <sz val="11"/>
      <color rgb="FF0000FF"/>
      <name val="Calibri"/>
      <family val="2"/>
    </font>
    <font>
      <u/>
      <sz val="10"/>
      <color rgb="FF0000FF"/>
      <name val="Arial"/>
      <family val="2"/>
    </font>
    <font>
      <u/>
      <sz val="18"/>
      <color rgb="FF0000FF"/>
      <name val="Times New Roman"/>
      <family val="1"/>
    </font>
    <font>
      <sz val="11"/>
      <color rgb="FF000000"/>
      <name val="Tahoma"/>
      <family val="2"/>
    </font>
    <font>
      <sz val="11"/>
      <name val="Calibri"/>
      <family val="2"/>
    </font>
    <font>
      <b/>
      <sz val="18"/>
      <color rgb="FF333399"/>
      <name val="Cambria"/>
      <family val="1"/>
    </font>
    <font>
      <u/>
      <sz val="11"/>
      <color indexed="12"/>
      <name val="Calibri"/>
      <family val="2"/>
    </font>
    <font>
      <sz val="12"/>
      <color theme="1"/>
      <name val="Times New Roman"/>
      <family val="1"/>
    </font>
    <font>
      <sz val="12"/>
      <color indexed="8"/>
      <name val="Times New Roman"/>
      <family val="1"/>
    </font>
    <font>
      <sz val="11"/>
      <color indexed="8"/>
      <name val="Times New Roman"/>
      <family val="1"/>
    </font>
    <font>
      <b/>
      <sz val="12"/>
      <color theme="1"/>
      <name val="Times New Roman"/>
      <family val="1"/>
    </font>
    <font>
      <sz val="11"/>
      <color indexed="30"/>
      <name val="Times New Roman"/>
      <family val="1"/>
    </font>
    <font>
      <sz val="11"/>
      <color indexed="12"/>
      <name val="Times New Roman"/>
      <family val="1"/>
    </font>
    <font>
      <b/>
      <sz val="11"/>
      <color indexed="8"/>
      <name val="Times New Roman"/>
      <family val="1"/>
    </font>
    <font>
      <b/>
      <u/>
      <sz val="11"/>
      <name val="Times New Roman"/>
      <family val="1"/>
    </font>
    <font>
      <sz val="10"/>
      <name val="Arial"/>
      <family val="2"/>
    </font>
    <font>
      <sz val="11"/>
      <name val="Times New Roman"/>
      <family val="1"/>
      <charset val="1"/>
    </font>
    <font>
      <b/>
      <sz val="11"/>
      <name val="Times New Roman"/>
      <family val="1"/>
      <charset val="1"/>
    </font>
    <font>
      <sz val="11"/>
      <name val="Arial"/>
      <family val="2"/>
      <charset val="1"/>
    </font>
    <font>
      <sz val="22"/>
      <name val="Times New Roman"/>
      <family val="1"/>
    </font>
    <font>
      <b/>
      <sz val="26"/>
      <color indexed="18"/>
      <name val="Times New Roman"/>
      <family val="1"/>
    </font>
    <font>
      <b/>
      <sz val="22"/>
      <name val="Times New Roman"/>
      <family val="1"/>
    </font>
    <font>
      <b/>
      <sz val="28"/>
      <name val="Times New Roman"/>
      <family val="1"/>
    </font>
    <font>
      <sz val="28"/>
      <name val="Times New Roman"/>
      <family val="1"/>
    </font>
    <font>
      <b/>
      <sz val="28"/>
      <color indexed="61"/>
      <name val="Times New Roman"/>
      <family val="1"/>
    </font>
  </fonts>
  <fills count="56">
    <fill>
      <patternFill patternType="none"/>
    </fill>
    <fill>
      <patternFill patternType="gray125"/>
    </fill>
    <fill>
      <patternFill patternType="solid">
        <fgColor indexed="22"/>
        <bgColor indexed="31"/>
      </patternFill>
    </fill>
    <fill>
      <patternFill patternType="solid">
        <fgColor indexed="26"/>
        <bgColor indexed="9"/>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
      <patternFill patternType="solid">
        <fgColor indexed="31"/>
      </patternFill>
    </fill>
    <fill>
      <patternFill patternType="solid">
        <fgColor indexed="46"/>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bgColor indexed="64"/>
      </patternFill>
    </fill>
    <fill>
      <patternFill patternType="solid">
        <fgColor rgb="FFFFFF00"/>
        <bgColor indexed="64"/>
      </patternFill>
    </fill>
    <fill>
      <patternFill patternType="solid">
        <fgColor indexed="15"/>
        <bgColor indexed="64"/>
      </patternFill>
    </fill>
    <fill>
      <patternFill patternType="solid">
        <fgColor indexed="12"/>
        <bgColor indexed="64"/>
      </patternFill>
    </fill>
    <fill>
      <patternFill patternType="solid">
        <fgColor indexed="9"/>
        <bgColor indexed="9"/>
      </patternFill>
    </fill>
    <fill>
      <patternFill patternType="solid">
        <fgColor rgb="FFCCCCFF"/>
        <bgColor rgb="FFCFCFCF"/>
      </patternFill>
    </fill>
    <fill>
      <patternFill patternType="solid">
        <fgColor rgb="FF99CCFF"/>
        <bgColor rgb="FFCCCCFF"/>
      </patternFill>
    </fill>
    <fill>
      <patternFill patternType="solid">
        <fgColor rgb="FFFFFFCC"/>
        <bgColor rgb="FFFFFFFF"/>
      </patternFill>
    </fill>
    <fill>
      <patternFill patternType="solid">
        <fgColor rgb="FFC0C0C0"/>
        <bgColor rgb="FFCFCFCF"/>
      </patternFill>
    </fill>
    <fill>
      <patternFill patternType="solid">
        <fgColor rgb="FF969696"/>
        <bgColor rgb="FF808080"/>
      </patternFill>
    </fill>
    <fill>
      <patternFill patternType="solid">
        <fgColor rgb="FFCCFFCC"/>
        <bgColor rgb="FFCCFFFF"/>
      </patternFill>
    </fill>
    <fill>
      <patternFill patternType="solid">
        <fgColor rgb="FFCCFFFF"/>
        <bgColor rgb="FFCCFFCC"/>
      </patternFill>
    </fill>
    <fill>
      <patternFill patternType="solid">
        <fgColor rgb="FFFFCC99"/>
        <bgColor rgb="FFCFCFCF"/>
      </patternFill>
    </fill>
    <fill>
      <patternFill patternType="solid">
        <fgColor rgb="FFB0B0B0"/>
        <bgColor rgb="FFC0C0C0"/>
      </patternFill>
    </fill>
    <fill>
      <patternFill patternType="solid">
        <fgColor rgb="FFFF9F9F"/>
        <bgColor rgb="FFFF8080"/>
      </patternFill>
    </fill>
    <fill>
      <patternFill patternType="solid">
        <fgColor rgb="FFCFCFCF"/>
        <bgColor rgb="FFC0C0C0"/>
      </patternFill>
    </fill>
    <fill>
      <patternFill patternType="solid">
        <fgColor indexed="13"/>
        <bgColor indexed="13"/>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top style="medium">
        <color indexed="8"/>
      </top>
      <bottom style="medium">
        <color indexed="8"/>
      </bottom>
      <diagonal/>
    </border>
    <border>
      <left/>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s>
  <cellStyleXfs count="1426">
    <xf numFmtId="0" fontId="0" fillId="0" borderId="0"/>
    <xf numFmtId="0" fontId="15" fillId="0" borderId="0"/>
    <xf numFmtId="0" fontId="15" fillId="0" borderId="0"/>
    <xf numFmtId="0" fontId="15" fillId="0" borderId="0"/>
    <xf numFmtId="0" fontId="10" fillId="0" borderId="0"/>
    <xf numFmtId="0" fontId="17" fillId="0" borderId="0" applyFill="0" applyBorder="0" applyAlignment="0"/>
    <xf numFmtId="165" fontId="15" fillId="0" borderId="0" applyFont="0" applyFill="0" applyBorder="0" applyAlignment="0" applyProtection="0"/>
    <xf numFmtId="165" fontId="15" fillId="0" borderId="0" applyFont="0" applyFill="0" applyBorder="0" applyAlignment="0" applyProtection="0"/>
    <xf numFmtId="0" fontId="21" fillId="0" borderId="0" applyNumberFormat="0" applyAlignment="0"/>
    <xf numFmtId="0" fontId="22" fillId="0" borderId="0" applyNumberFormat="0" applyAlignment="0"/>
    <xf numFmtId="0" fontId="11" fillId="2" borderId="0" applyNumberFormat="0" applyBorder="0" applyAlignment="0" applyProtection="0"/>
    <xf numFmtId="0" fontId="16" fillId="0" borderId="7" applyNumberFormat="0" applyAlignment="0" applyProtection="0"/>
    <xf numFmtId="0" fontId="16" fillId="0" borderId="8">
      <alignment horizontal="left" vertical="center"/>
    </xf>
    <xf numFmtId="0" fontId="11" fillId="3" borderId="0" applyNumberFormat="0" applyBorder="0" applyAlignment="0" applyProtection="0"/>
    <xf numFmtId="0" fontId="23" fillId="0" borderId="0"/>
    <xf numFmtId="0" fontId="9" fillId="0" borderId="0"/>
    <xf numFmtId="0" fontId="15" fillId="0" borderId="0"/>
    <xf numFmtId="0" fontId="15" fillId="0" borderId="0"/>
    <xf numFmtId="0" fontId="9" fillId="0" borderId="0"/>
    <xf numFmtId="0" fontId="15" fillId="0" borderId="0"/>
    <xf numFmtId="0" fontId="15" fillId="0" borderId="0"/>
    <xf numFmtId="0" fontId="15" fillId="0" borderId="0"/>
    <xf numFmtId="0" fontId="23" fillId="0" borderId="0"/>
    <xf numFmtId="10" fontId="20" fillId="0" borderId="0" applyFill="0" applyBorder="0" applyAlignment="0" applyProtection="0"/>
    <xf numFmtId="0" fontId="24" fillId="0" borderId="0" applyNumberFormat="0" applyFill="0" applyBorder="0" applyAlignment="0" applyProtection="0"/>
    <xf numFmtId="40" fontId="25" fillId="0" borderId="0" applyBorder="0">
      <alignment horizontal="right"/>
    </xf>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2"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29" fillId="4" borderId="9"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0" fillId="18" borderId="10"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6" fillId="5" borderId="9" applyNumberFormat="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7" fillId="0" borderId="14" applyNumberFormat="0" applyFill="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23" fillId="0" borderId="0"/>
    <xf numFmtId="0" fontId="15" fillId="0" borderId="0"/>
    <xf numFmtId="0" fontId="15" fillId="0" borderId="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15" fillId="6" borderId="15" applyNumberFormat="0" applyFon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39" fillId="4" borderId="16"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1" fillId="0" borderId="17"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5" fillId="0" borderId="0"/>
    <xf numFmtId="0" fontId="44" fillId="20" borderId="0" applyNumberFormat="0" applyBorder="0" applyAlignment="0" applyProtection="0"/>
    <xf numFmtId="0" fontId="44" fillId="17" borderId="0" applyNumberFormat="0" applyBorder="0" applyAlignment="0" applyProtection="0"/>
    <xf numFmtId="0" fontId="44" fillId="19" borderId="0" applyNumberFormat="0" applyBorder="0" applyAlignment="0" applyProtection="0"/>
    <xf numFmtId="0" fontId="44" fillId="21" borderId="0" applyNumberFormat="0" applyBorder="0" applyAlignment="0" applyProtection="0"/>
    <xf numFmtId="0" fontId="44" fillId="7" borderId="0" applyNumberFormat="0" applyBorder="0" applyAlignment="0" applyProtection="0"/>
    <xf numFmtId="0" fontId="44" fillId="5" borderId="0" applyNumberFormat="0" applyBorder="0" applyAlignment="0" applyProtection="0"/>
    <xf numFmtId="0" fontId="44" fillId="11" borderId="0" applyNumberFormat="0" applyBorder="0" applyAlignment="0" applyProtection="0"/>
    <xf numFmtId="0" fontId="44" fillId="9" borderId="0" applyNumberFormat="0" applyBorder="0" applyAlignment="0" applyProtection="0"/>
    <xf numFmtId="0" fontId="44" fillId="22" borderId="0" applyNumberFormat="0" applyBorder="0" applyAlignment="0" applyProtection="0"/>
    <xf numFmtId="0" fontId="44" fillId="21" borderId="0" applyNumberFormat="0" applyBorder="0" applyAlignment="0" applyProtection="0"/>
    <xf numFmtId="0" fontId="44" fillId="11" borderId="0" applyNumberFormat="0" applyBorder="0" applyAlignment="0" applyProtection="0"/>
    <xf numFmtId="0" fontId="44" fillId="23" borderId="0" applyNumberFormat="0" applyBorder="0" applyAlignment="0" applyProtection="0"/>
    <xf numFmtId="0" fontId="45" fillId="24" borderId="0" applyNumberFormat="0" applyBorder="0" applyAlignment="0" applyProtection="0"/>
    <xf numFmtId="0" fontId="45" fillId="9" borderId="0" applyNumberFormat="0" applyBorder="0" applyAlignment="0" applyProtection="0"/>
    <xf numFmtId="0" fontId="45" fillId="22" borderId="0" applyNumberFormat="0" applyBorder="0" applyAlignment="0" applyProtection="0"/>
    <xf numFmtId="0" fontId="45" fillId="25" borderId="0" applyNumberFormat="0" applyBorder="0" applyAlignment="0" applyProtection="0"/>
    <xf numFmtId="0" fontId="45" fillId="12" borderId="0" applyNumberFormat="0" applyBorder="0" applyAlignment="0" applyProtection="0"/>
    <xf numFmtId="0" fontId="45" fillId="26" borderId="0" applyNumberFormat="0" applyBorder="0" applyAlignment="0" applyProtection="0"/>
    <xf numFmtId="0" fontId="45" fillId="27"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25" borderId="0" applyNumberFormat="0" applyBorder="0" applyAlignment="0" applyProtection="0"/>
    <xf numFmtId="0" fontId="45" fillId="12" borderId="0" applyNumberFormat="0" applyBorder="0" applyAlignment="0" applyProtection="0"/>
    <xf numFmtId="0" fontId="45" fillId="16" borderId="0" applyNumberFormat="0" applyBorder="0" applyAlignment="0" applyProtection="0"/>
    <xf numFmtId="0" fontId="46" fillId="17" borderId="0" applyNumberFormat="0" applyBorder="0" applyAlignment="0" applyProtection="0"/>
    <xf numFmtId="0" fontId="47" fillId="8" borderId="9" applyNumberFormat="0" applyAlignment="0" applyProtection="0"/>
    <xf numFmtId="0" fontId="48" fillId="18" borderId="10" applyNumberFormat="0" applyAlignment="0" applyProtection="0"/>
    <xf numFmtId="165" fontId="15" fillId="0" borderId="0" applyFont="0" applyFill="0" applyBorder="0" applyAlignment="0" applyProtection="0"/>
    <xf numFmtId="0" fontId="49" fillId="0" borderId="0" applyNumberFormat="0" applyFill="0" applyBorder="0" applyAlignment="0" applyProtection="0"/>
    <xf numFmtId="0" fontId="50" fillId="19" borderId="0" applyNumberFormat="0" applyBorder="0" applyAlignment="0" applyProtection="0"/>
    <xf numFmtId="0" fontId="51" fillId="0" borderId="18" applyNumberFormat="0" applyFill="0" applyAlignment="0" applyProtection="0"/>
    <xf numFmtId="0" fontId="52" fillId="0" borderId="12" applyNumberFormat="0" applyFill="0" applyAlignment="0" applyProtection="0"/>
    <xf numFmtId="0" fontId="53" fillId="0" borderId="19" applyNumberFormat="0" applyFill="0" applyAlignment="0" applyProtection="0"/>
    <xf numFmtId="0" fontId="53" fillId="0" borderId="0" applyNumberFormat="0" applyFill="0" applyBorder="0" applyAlignment="0" applyProtection="0"/>
    <xf numFmtId="0" fontId="54" fillId="5" borderId="9" applyNumberFormat="0" applyAlignment="0" applyProtection="0"/>
    <xf numFmtId="0" fontId="55" fillId="0" borderId="14" applyNumberFormat="0" applyFill="0" applyAlignment="0" applyProtection="0"/>
    <xf numFmtId="0" fontId="56" fillId="10"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15" fillId="0" borderId="0"/>
    <xf numFmtId="0" fontId="15" fillId="0" borderId="0"/>
    <xf numFmtId="0" fontId="15" fillId="0" borderId="0"/>
    <xf numFmtId="0" fontId="15" fillId="0" borderId="0"/>
    <xf numFmtId="0" fontId="8" fillId="0" borderId="0"/>
    <xf numFmtId="0" fontId="15" fillId="0" borderId="0"/>
    <xf numFmtId="0" fontId="8" fillId="0" borderId="0"/>
    <xf numFmtId="0" fontId="8" fillId="0" borderId="0"/>
    <xf numFmtId="0" fontId="8" fillId="0" borderId="0"/>
    <xf numFmtId="0" fontId="15" fillId="6" borderId="15" applyNumberFormat="0" applyFont="0" applyAlignment="0" applyProtection="0"/>
    <xf numFmtId="0" fontId="57" fillId="8" borderId="16" applyNumberFormat="0" applyAlignment="0" applyProtection="0"/>
    <xf numFmtId="0" fontId="58" fillId="0" borderId="0" applyNumberFormat="0" applyFill="0" applyBorder="0" applyAlignment="0" applyProtection="0"/>
    <xf numFmtId="0" fontId="59" fillId="0" borderId="20" applyNumberFormat="0" applyFill="0" applyAlignment="0" applyProtection="0"/>
    <xf numFmtId="0" fontId="60" fillId="0" borderId="0" applyNumberFormat="0" applyFill="0" applyBorder="0" applyAlignment="0" applyProtection="0"/>
    <xf numFmtId="0" fontId="7" fillId="0" borderId="0"/>
    <xf numFmtId="0" fontId="6" fillId="0" borderId="0"/>
    <xf numFmtId="0" fontId="5" fillId="0" borderId="0"/>
    <xf numFmtId="0" fontId="23" fillId="28" borderId="0" applyNumberFormat="0" applyBorder="0" applyAlignment="0" applyProtection="0"/>
    <xf numFmtId="0" fontId="23" fillId="28" borderId="0" applyNumberFormat="0" applyBorder="0" applyAlignment="0" applyProtection="0"/>
    <xf numFmtId="0" fontId="27"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27" fillId="32" borderId="0" applyNumberFormat="0" applyBorder="0" applyAlignment="0" applyProtection="0"/>
    <xf numFmtId="0" fontId="23" fillId="30" borderId="0" applyNumberFormat="0" applyBorder="0" applyAlignment="0" applyProtection="0"/>
    <xf numFmtId="0" fontId="23" fillId="33" borderId="0" applyNumberFormat="0" applyBorder="0" applyAlignment="0" applyProtection="0"/>
    <xf numFmtId="0" fontId="27" fillId="31" borderId="0" applyNumberFormat="0" applyBorder="0" applyAlignment="0" applyProtection="0"/>
    <xf numFmtId="0" fontId="23" fillId="28" borderId="0" applyNumberFormat="0" applyBorder="0" applyAlignment="0" applyProtection="0"/>
    <xf numFmtId="0" fontId="23" fillId="31" borderId="0" applyNumberFormat="0" applyBorder="0" applyAlignment="0" applyProtection="0"/>
    <xf numFmtId="0" fontId="27" fillId="31" borderId="0" applyNumberFormat="0" applyBorder="0" applyAlignment="0" applyProtection="0"/>
    <xf numFmtId="0" fontId="23" fillId="34" borderId="0" applyNumberFormat="0" applyBorder="0" applyAlignment="0" applyProtection="0"/>
    <xf numFmtId="0" fontId="23" fillId="28" borderId="0" applyNumberFormat="0" applyBorder="0" applyAlignment="0" applyProtection="0"/>
    <xf numFmtId="0" fontId="27" fillId="29" borderId="0" applyNumberFormat="0" applyBorder="0" applyAlignment="0" applyProtection="0"/>
    <xf numFmtId="0" fontId="23" fillId="30" borderId="0" applyNumberFormat="0" applyBorder="0" applyAlignment="0" applyProtection="0"/>
    <xf numFmtId="0" fontId="23" fillId="35" borderId="0" applyNumberFormat="0" applyBorder="0" applyAlignment="0" applyProtection="0"/>
    <xf numFmtId="0" fontId="27" fillId="35"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165" fontId="15" fillId="0" borderId="0" applyFont="0" applyFill="0" applyBorder="0" applyAlignment="0" applyProtection="0"/>
    <xf numFmtId="170"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4" fontId="5" fillId="0" borderId="0" applyFont="0" applyFill="0" applyBorder="0" applyAlignment="0" applyProtection="0"/>
    <xf numFmtId="164" fontId="15" fillId="0" borderId="0" applyFont="0" applyFill="0" applyBorder="0" applyAlignment="0" applyProtection="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171" fontId="15" fillId="0" borderId="0" applyFont="0" applyFill="0" applyBorder="0" applyAlignment="0" applyProtection="0"/>
    <xf numFmtId="0" fontId="23" fillId="0" borderId="0"/>
    <xf numFmtId="0" fontId="18" fillId="0" borderId="0" applyNumberFormat="0" applyFill="0" applyBorder="0" applyAlignment="0" applyProtection="0">
      <alignment vertical="top"/>
      <protection locked="0"/>
    </xf>
    <xf numFmtId="0" fontId="15" fillId="0" borderId="0"/>
    <xf numFmtId="0" fontId="15" fillId="0" borderId="0"/>
    <xf numFmtId="0" fontId="15" fillId="0" borderId="0"/>
    <xf numFmtId="0" fontId="5" fillId="0" borderId="0"/>
    <xf numFmtId="0" fontId="5" fillId="0" borderId="0"/>
    <xf numFmtId="0" fontId="5" fillId="0" borderId="0"/>
    <xf numFmtId="0" fontId="5" fillId="0" borderId="0"/>
    <xf numFmtId="0" fontId="23" fillId="0" borderId="0"/>
    <xf numFmtId="0" fontId="5" fillId="0" borderId="0"/>
    <xf numFmtId="0" fontId="15" fillId="0" borderId="0"/>
    <xf numFmtId="0" fontId="68" fillId="0" borderId="0"/>
    <xf numFmtId="0" fontId="15" fillId="0" borderId="0"/>
    <xf numFmtId="0" fontId="26" fillId="0" borderId="0"/>
    <xf numFmtId="0" fontId="23" fillId="0" borderId="0"/>
    <xf numFmtId="0" fontId="15" fillId="0" borderId="0"/>
    <xf numFmtId="0" fontId="26" fillId="0" borderId="0"/>
    <xf numFmtId="0" fontId="69" fillId="0" borderId="0"/>
    <xf numFmtId="0" fontId="5" fillId="0" borderId="0"/>
    <xf numFmtId="0" fontId="15" fillId="0" borderId="0"/>
    <xf numFmtId="0" fontId="5" fillId="0" borderId="0"/>
    <xf numFmtId="0" fontId="15" fillId="0" borderId="0"/>
    <xf numFmtId="0" fontId="26" fillId="0" borderId="0"/>
    <xf numFmtId="0" fontId="15" fillId="0" borderId="0"/>
    <xf numFmtId="0" fontId="15" fillId="0" borderId="0"/>
    <xf numFmtId="0" fontId="5" fillId="0" borderId="0"/>
    <xf numFmtId="0" fontId="15" fillId="0" borderId="0"/>
    <xf numFmtId="0" fontId="23" fillId="0" borderId="0"/>
    <xf numFmtId="0" fontId="5" fillId="0" borderId="0"/>
    <xf numFmtId="0" fontId="5" fillId="0" borderId="0"/>
    <xf numFmtId="9" fontId="15" fillId="0" borderId="0" applyFont="0" applyFill="0" applyBorder="0" applyAlignment="0" applyProtection="0"/>
    <xf numFmtId="9" fontId="15" fillId="0" borderId="0" applyFont="0" applyFill="0" applyBorder="0" applyAlignment="0" applyProtection="0"/>
    <xf numFmtId="0" fontId="40" fillId="0" borderId="0" applyNumberFormat="0" applyFill="0" applyBorder="0" applyAlignment="0" applyProtection="0"/>
    <xf numFmtId="0" fontId="4" fillId="0" borderId="0"/>
    <xf numFmtId="0" fontId="15" fillId="0" borderId="0"/>
    <xf numFmtId="0" fontId="15" fillId="0" borderId="0"/>
    <xf numFmtId="0" fontId="3" fillId="0" borderId="0"/>
    <xf numFmtId="0" fontId="15" fillId="0" borderId="0" applyFont="0" applyFill="0" applyBorder="0" applyAlignment="0" applyProtection="0"/>
    <xf numFmtId="0" fontId="101" fillId="0" borderId="0">
      <alignment horizontal="center" wrapText="1"/>
      <protection locked="0"/>
    </xf>
    <xf numFmtId="0" fontId="17" fillId="0" borderId="0" applyFill="0" applyBorder="0" applyAlignment="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21" fillId="0" borderId="0" applyNumberFormat="0" applyAlignment="0">
      <alignment horizontal="left"/>
    </xf>
    <xf numFmtId="0" fontId="102" fillId="0" borderId="0" applyNumberFormat="0" applyAlignment="0"/>
    <xf numFmtId="0" fontId="22" fillId="0" borderId="0" applyNumberFormat="0" applyAlignment="0">
      <alignment horizontal="left"/>
    </xf>
    <xf numFmtId="2" fontId="15" fillId="0" borderId="0" applyFont="0" applyFill="0" applyBorder="0" applyAlignment="0" applyProtection="0"/>
    <xf numFmtId="1" fontId="15" fillId="0" borderId="0"/>
    <xf numFmtId="0" fontId="103" fillId="0" borderId="0" applyNumberFormat="0" applyFill="0" applyBorder="0" applyAlignment="0" applyProtection="0">
      <alignment vertical="top"/>
      <protection locked="0"/>
    </xf>
    <xf numFmtId="172" fontId="104" fillId="41" borderId="0"/>
    <xf numFmtId="172" fontId="105" fillId="42" borderId="0"/>
    <xf numFmtId="0" fontId="106" fillId="0" borderId="0" applyProtection="0">
      <alignment horizontal="center" vertical="center"/>
    </xf>
    <xf numFmtId="0" fontId="19" fillId="0" borderId="21"/>
    <xf numFmtId="167" fontId="71" fillId="0" borderId="6">
      <alignment horizontal="right"/>
    </xf>
    <xf numFmtId="173" fontId="15" fillId="0" borderId="0" applyFont="0" applyFill="0" applyBorder="0" applyAlignment="0" applyProtection="0"/>
    <xf numFmtId="174" fontId="15" fillId="0" borderId="0" applyFont="0" applyFill="0" applyBorder="0" applyAlignment="0" applyProtection="0"/>
    <xf numFmtId="175" fontId="15" fillId="0" borderId="0" applyFont="0" applyFill="0" applyBorder="0" applyAlignment="0" applyProtection="0"/>
    <xf numFmtId="176" fontId="15" fillId="0" borderId="0" applyFont="0" applyFill="0" applyBorder="0" applyAlignment="0" applyProtection="0"/>
    <xf numFmtId="37" fontId="107" fillId="0" borderId="0"/>
    <xf numFmtId="0" fontId="15" fillId="0" borderId="0"/>
    <xf numFmtId="0" fontId="15" fillId="0" borderId="0"/>
    <xf numFmtId="0" fontId="15" fillId="0" borderId="0"/>
    <xf numFmtId="0" fontId="66" fillId="0" borderId="0"/>
    <xf numFmtId="0" fontId="2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 fillId="0" borderId="0"/>
    <xf numFmtId="0" fontId="15" fillId="0" borderId="0"/>
    <xf numFmtId="0" fontId="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 fillId="0" borderId="0"/>
    <xf numFmtId="0" fontId="3" fillId="0" borderId="0"/>
    <xf numFmtId="0" fontId="3" fillId="0" borderId="0"/>
    <xf numFmtId="0" fontId="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3" fillId="0" borderId="0"/>
    <xf numFmtId="43" fontId="15" fillId="0" borderId="0" applyFont="0" applyFill="0" applyBorder="0" applyAlignment="0" applyProtection="0"/>
    <xf numFmtId="41" fontId="15" fillId="0" borderId="0" applyFont="0" applyFill="0" applyBorder="0" applyAlignment="0" applyProtection="0"/>
    <xf numFmtId="14" fontId="101" fillId="0" borderId="0">
      <alignment horizontal="center" wrapText="1"/>
      <protection locked="0"/>
    </xf>
    <xf numFmtId="9" fontId="15" fillId="0" borderId="0" applyFont="0" applyFill="0" applyBorder="0" applyAlignment="0" applyProtection="0"/>
    <xf numFmtId="9" fontId="23"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7" fontId="108" fillId="0" borderId="0"/>
    <xf numFmtId="0" fontId="109" fillId="0" borderId="0" applyNumberFormat="0" applyFont="0" applyFill="0" applyBorder="0" applyAlignment="0" applyProtection="0">
      <alignment horizontal="left"/>
    </xf>
    <xf numFmtId="178" fontId="110" fillId="0" borderId="0" applyNumberFormat="0" applyFill="0" applyBorder="0" applyAlignment="0" applyProtection="0">
      <alignment horizontal="left"/>
    </xf>
    <xf numFmtId="0" fontId="111" fillId="0" borderId="1">
      <alignment horizontal="center"/>
    </xf>
    <xf numFmtId="0" fontId="111" fillId="0" borderId="0">
      <alignment horizontal="center" vertical="center"/>
    </xf>
    <xf numFmtId="0" fontId="112" fillId="43" borderId="0" applyNumberFormat="0" applyFill="0">
      <alignment horizontal="left" vertical="center"/>
    </xf>
    <xf numFmtId="40" fontId="113" fillId="0" borderId="0" applyBorder="0">
      <alignment horizontal="right"/>
    </xf>
    <xf numFmtId="41" fontId="15" fillId="0" borderId="0" applyFont="0" applyFill="0" applyBorder="0" applyAlignment="0" applyProtection="0"/>
    <xf numFmtId="0" fontId="15" fillId="0" borderId="0"/>
    <xf numFmtId="40" fontId="43" fillId="0" borderId="0"/>
    <xf numFmtId="0" fontId="15" fillId="0" borderId="5">
      <alignment horizontal="center"/>
    </xf>
    <xf numFmtId="0" fontId="114" fillId="0" borderId="0"/>
    <xf numFmtId="0" fontId="117" fillId="44" borderId="0" applyBorder="0" applyProtection="0"/>
    <xf numFmtId="0" fontId="117" fillId="44" borderId="0" applyBorder="0" applyProtection="0"/>
    <xf numFmtId="0" fontId="118" fillId="45" borderId="0" applyBorder="0" applyProtection="0"/>
    <xf numFmtId="0" fontId="117" fillId="46" borderId="0" applyBorder="0" applyProtection="0"/>
    <xf numFmtId="0" fontId="117" fillId="47" borderId="0" applyBorder="0" applyProtection="0"/>
    <xf numFmtId="0" fontId="118" fillId="48" borderId="0" applyBorder="0" applyProtection="0"/>
    <xf numFmtId="0" fontId="117" fillId="46" borderId="0" applyBorder="0" applyProtection="0"/>
    <xf numFmtId="0" fontId="117" fillId="49" borderId="0" applyBorder="0" applyProtection="0"/>
    <xf numFmtId="0" fontId="118" fillId="47" borderId="0" applyBorder="0" applyProtection="0"/>
    <xf numFmtId="0" fontId="117" fillId="44" borderId="0" applyBorder="0" applyProtection="0"/>
    <xf numFmtId="0" fontId="117" fillId="47" borderId="0" applyBorder="0" applyProtection="0"/>
    <xf numFmtId="0" fontId="118" fillId="47" borderId="0" applyBorder="0" applyProtection="0"/>
    <xf numFmtId="0" fontId="117" fillId="50" borderId="0" applyBorder="0" applyProtection="0"/>
    <xf numFmtId="0" fontId="117" fillId="44" borderId="0" applyBorder="0" applyProtection="0"/>
    <xf numFmtId="0" fontId="118" fillId="45" borderId="0" applyBorder="0" applyProtection="0"/>
    <xf numFmtId="0" fontId="117" fillId="46" borderId="0" applyBorder="0" applyProtection="0"/>
    <xf numFmtId="0" fontId="117" fillId="51" borderId="0" applyBorder="0" applyProtection="0"/>
    <xf numFmtId="0" fontId="118" fillId="51"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2" fillId="0" borderId="0" applyFont="0" applyFill="0" applyBorder="0" applyAlignment="0" applyProtection="0"/>
    <xf numFmtId="179" fontId="2" fillId="0" borderId="0" applyFont="0" applyFill="0" applyBorder="0" applyAlignment="0" applyProtection="0"/>
    <xf numFmtId="180" fontId="117" fillId="0" borderId="0" applyBorder="0" applyProtection="0"/>
    <xf numFmtId="181" fontId="117" fillId="0" borderId="0" applyBorder="0" applyProtection="0"/>
    <xf numFmtId="165" fontId="2" fillId="0" borderId="0" applyFont="0" applyFill="0" applyBorder="0" applyAlignment="0" applyProtection="0"/>
    <xf numFmtId="179" fontId="2" fillId="0" borderId="0" applyFont="0" applyFill="0" applyBorder="0" applyAlignment="0" applyProtection="0"/>
    <xf numFmtId="180" fontId="117" fillId="0" borderId="0" applyBorder="0" applyProtection="0"/>
    <xf numFmtId="181" fontId="117" fillId="0" borderId="0" applyBorder="0" applyProtection="0"/>
    <xf numFmtId="165" fontId="2" fillId="0" borderId="0" applyFont="0" applyFill="0" applyBorder="0" applyAlignment="0" applyProtection="0"/>
    <xf numFmtId="179" fontId="2" fillId="0" borderId="0" applyFont="0" applyFill="0" applyBorder="0" applyAlignment="0" applyProtection="0"/>
    <xf numFmtId="180" fontId="117" fillId="0" borderId="0" applyBorder="0" applyProtection="0"/>
    <xf numFmtId="181" fontId="117" fillId="0" borderId="0" applyBorder="0" applyProtection="0"/>
    <xf numFmtId="165" fontId="2" fillId="0" borderId="0" applyFont="0" applyFill="0" applyBorder="0" applyAlignment="0" applyProtection="0"/>
    <xf numFmtId="179" fontId="2" fillId="0" borderId="0" applyFont="0" applyFill="0" applyBorder="0" applyAlignment="0" applyProtection="0"/>
    <xf numFmtId="180" fontId="117" fillId="0" borderId="0" applyBorder="0" applyProtection="0"/>
    <xf numFmtId="181" fontId="117" fillId="0" borderId="0" applyBorder="0" applyProtection="0"/>
    <xf numFmtId="181" fontId="117" fillId="0" borderId="0" applyBorder="0" applyProtection="0"/>
    <xf numFmtId="181" fontId="117" fillId="0" borderId="0" applyBorder="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79" fontId="15" fillId="0" borderId="0" applyFont="0" applyFill="0" applyBorder="0" applyAlignment="0" applyProtection="0"/>
    <xf numFmtId="180" fontId="117" fillId="0" borderId="0" applyBorder="0" applyProtection="0"/>
    <xf numFmtId="182" fontId="15" fillId="0" borderId="0" applyBorder="0" applyProtection="0"/>
    <xf numFmtId="182" fontId="15" fillId="0" borderId="0" applyFill="0" applyBorder="0" applyAlignment="0" applyProtection="0"/>
    <xf numFmtId="182" fontId="15" fillId="0" borderId="0" applyBorder="0" applyProtection="0"/>
    <xf numFmtId="182" fontId="15" fillId="0" borderId="0" applyFill="0" applyBorder="0" applyAlignment="0" applyProtection="0"/>
    <xf numFmtId="182" fontId="15" fillId="0" borderId="0" applyBorder="0" applyProtection="0"/>
    <xf numFmtId="182" fontId="15" fillId="0" borderId="0" applyFill="0" applyBorder="0" applyAlignment="0" applyProtection="0"/>
    <xf numFmtId="182" fontId="15" fillId="0" borderId="0" applyBorder="0" applyProtection="0"/>
    <xf numFmtId="182" fontId="15" fillId="0" borderId="0" applyFill="0" applyBorder="0" applyAlignment="0" applyProtection="0"/>
    <xf numFmtId="182" fontId="15" fillId="0" borderId="0" applyBorder="0" applyProtection="0"/>
    <xf numFmtId="182" fontId="15" fillId="0" borderId="0" applyBorder="0" applyProtection="0"/>
    <xf numFmtId="182" fontId="15"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65" fontId="15" fillId="0" borderId="0" applyFont="0" applyFill="0" applyBorder="0" applyAlignment="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80" fontId="117" fillId="0" borderId="0" applyBorder="0" applyProtection="0"/>
    <xf numFmtId="180" fontId="117" fillId="0" borderId="0" applyBorder="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79" fontId="15" fillId="0" borderId="0" applyFont="0" applyFill="0" applyBorder="0" applyAlignment="0" applyProtection="0"/>
    <xf numFmtId="180" fontId="117" fillId="0" borderId="0" applyBorder="0" applyProtection="0"/>
    <xf numFmtId="181" fontId="117" fillId="0" borderId="0" applyBorder="0" applyProtection="0"/>
    <xf numFmtId="180" fontId="117" fillId="0" borderId="0" applyBorder="0" applyProtection="0"/>
    <xf numFmtId="181" fontId="117" fillId="0" borderId="0" applyBorder="0" applyProtection="0"/>
    <xf numFmtId="183" fontId="117" fillId="0" borderId="0" applyBorder="0" applyProtection="0"/>
    <xf numFmtId="0" fontId="119" fillId="52" borderId="0" applyBorder="0" applyProtection="0"/>
    <xf numFmtId="0" fontId="119" fillId="53" borderId="0" applyBorder="0" applyProtection="0"/>
    <xf numFmtId="0" fontId="119" fillId="54" borderId="0" applyBorder="0" applyProtection="0"/>
    <xf numFmtId="0" fontId="120" fillId="0" borderId="0">
      <alignment vertical="top"/>
      <protection locked="0"/>
    </xf>
    <xf numFmtId="0" fontId="121" fillId="0" borderId="0" applyBorder="0" applyProtection="0"/>
    <xf numFmtId="0" fontId="122" fillId="0" borderId="0" applyBorder="0" applyProtection="0"/>
    <xf numFmtId="0" fontId="117" fillId="0" borderId="0"/>
    <xf numFmtId="0" fontId="15" fillId="0" borderId="0"/>
    <xf numFmtId="0" fontId="15" fillId="0" borderId="0"/>
    <xf numFmtId="0" fontId="15" fillId="0" borderId="0"/>
    <xf numFmtId="0" fontId="15" fillId="0" borderId="0"/>
    <xf numFmtId="0" fontId="15" fillId="0" borderId="0"/>
    <xf numFmtId="0" fontId="117" fillId="0" borderId="0"/>
    <xf numFmtId="0" fontId="15" fillId="0" borderId="0"/>
    <xf numFmtId="0" fontId="15" fillId="0" borderId="0"/>
    <xf numFmtId="0" fontId="15" fillId="0" borderId="0"/>
    <xf numFmtId="0" fontId="15" fillId="0" borderId="0"/>
    <xf numFmtId="0" fontId="15" fillId="0" borderId="0"/>
    <xf numFmtId="0" fontId="69" fillId="0" borderId="0"/>
    <xf numFmtId="0" fontId="123" fillId="0" borderId="0"/>
    <xf numFmtId="0" fontId="2" fillId="0" borderId="0"/>
    <xf numFmtId="0" fontId="117" fillId="0" borderId="0"/>
    <xf numFmtId="0" fontId="15" fillId="0" borderId="0"/>
    <xf numFmtId="0" fontId="66" fillId="0" borderId="0">
      <protection locked="0"/>
    </xf>
    <xf numFmtId="0" fontId="66" fillId="0" borderId="0">
      <protection locked="0"/>
    </xf>
    <xf numFmtId="0" fontId="15" fillId="0" borderId="0"/>
    <xf numFmtId="0" fontId="15" fillId="0" borderId="0"/>
    <xf numFmtId="0" fontId="15" fillId="0" borderId="0"/>
    <xf numFmtId="0" fontId="117" fillId="0" borderId="0"/>
    <xf numFmtId="0" fontId="23"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7" fillId="0" borderId="0"/>
    <xf numFmtId="0" fontId="15" fillId="0" borderId="0"/>
    <xf numFmtId="0" fontId="15" fillId="0" borderId="0"/>
    <xf numFmtId="0" fontId="15" fillId="0" borderId="0"/>
    <xf numFmtId="0" fontId="15" fillId="0" borderId="0">
      <protection locked="0"/>
    </xf>
    <xf numFmtId="0" fontId="15" fillId="0" borderId="0">
      <protection locked="0"/>
    </xf>
    <xf numFmtId="0" fontId="15" fillId="0" borderId="0"/>
    <xf numFmtId="0" fontId="15" fillId="0" borderId="0">
      <protection locked="0"/>
    </xf>
    <xf numFmtId="0" fontId="2" fillId="0" borderId="0"/>
    <xf numFmtId="0" fontId="117"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7" fillId="0" borderId="0"/>
    <xf numFmtId="0" fontId="15" fillId="0" borderId="0"/>
    <xf numFmtId="0" fontId="15" fillId="0" borderId="0"/>
    <xf numFmtId="0" fontId="15" fillId="0" borderId="0"/>
    <xf numFmtId="0" fontId="15" fillId="0" borderId="0"/>
    <xf numFmtId="0" fontId="2" fillId="0" borderId="0"/>
    <xf numFmtId="0" fontId="117" fillId="0" borderId="0"/>
    <xf numFmtId="0" fontId="2" fillId="0" borderId="0"/>
    <xf numFmtId="0" fontId="117" fillId="0" borderId="0"/>
    <xf numFmtId="0" fontId="2" fillId="0" borderId="0"/>
    <xf numFmtId="0" fontId="117" fillId="0" borderId="0"/>
    <xf numFmtId="0" fontId="2" fillId="0" borderId="0"/>
    <xf numFmtId="0" fontId="117" fillId="0" borderId="0"/>
    <xf numFmtId="0" fontId="15" fillId="0" borderId="0"/>
    <xf numFmtId="0" fontId="2" fillId="0" borderId="0"/>
    <xf numFmtId="0" fontId="117" fillId="0" borderId="0"/>
    <xf numFmtId="0" fontId="117" fillId="0" borderId="0"/>
    <xf numFmtId="0" fontId="15" fillId="0" borderId="0"/>
    <xf numFmtId="0" fontId="123" fillId="0" borderId="0"/>
    <xf numFmtId="0" fontId="123" fillId="0" borderId="0">
      <protection locked="0"/>
    </xf>
    <xf numFmtId="0" fontId="123" fillId="0" borderId="0">
      <protection locked="0"/>
    </xf>
    <xf numFmtId="0" fontId="123" fillId="0" borderId="0"/>
    <xf numFmtId="0" fontId="123" fillId="0" borderId="0">
      <protection locked="0"/>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 fillId="0" borderId="0"/>
    <xf numFmtId="0" fontId="117" fillId="0" borderId="0"/>
    <xf numFmtId="0" fontId="15" fillId="0" borderId="0"/>
    <xf numFmtId="0" fontId="15" fillId="0" borderId="0"/>
    <xf numFmtId="0" fontId="117" fillId="0" borderId="0"/>
    <xf numFmtId="0" fontId="117" fillId="0" borderId="0"/>
    <xf numFmtId="0" fontId="15" fillId="0" borderId="0"/>
    <xf numFmtId="0" fontId="15" fillId="0" borderId="0"/>
    <xf numFmtId="2" fontId="15" fillId="0" borderId="0"/>
    <xf numFmtId="0" fontId="23" fillId="0" borderId="0"/>
    <xf numFmtId="0" fontId="117" fillId="0" borderId="0"/>
    <xf numFmtId="2" fontId="15" fillId="0" borderId="0"/>
    <xf numFmtId="0" fontId="117" fillId="0" borderId="0"/>
    <xf numFmtId="0" fontId="15" fillId="0" borderId="0"/>
    <xf numFmtId="0" fontId="15" fillId="0" borderId="0"/>
    <xf numFmtId="0" fontId="117" fillId="0" borderId="0"/>
    <xf numFmtId="2" fontId="15" fillId="0" borderId="0"/>
    <xf numFmtId="0" fontId="117" fillId="0" borderId="0"/>
    <xf numFmtId="0" fontId="117" fillId="0" borderId="0"/>
    <xf numFmtId="0" fontId="117" fillId="0" borderId="0"/>
    <xf numFmtId="0" fontId="15" fillId="0" borderId="0"/>
    <xf numFmtId="0" fontId="15" fillId="0" borderId="0"/>
    <xf numFmtId="0" fontId="15" fillId="0" borderId="0"/>
    <xf numFmtId="0" fontId="124" fillId="0" borderId="0">
      <alignment vertical="center"/>
    </xf>
    <xf numFmtId="2" fontId="15" fillId="0" borderId="0"/>
    <xf numFmtId="0" fontId="2" fillId="0" borderId="0"/>
    <xf numFmtId="0" fontId="2" fillId="0" borderId="0"/>
    <xf numFmtId="0" fontId="2" fillId="0" borderId="0"/>
    <xf numFmtId="0" fontId="117" fillId="0" borderId="0"/>
    <xf numFmtId="0" fontId="2" fillId="0" borderId="0"/>
    <xf numFmtId="0" fontId="2" fillId="0" borderId="0"/>
    <xf numFmtId="0" fontId="2" fillId="0" borderId="0"/>
    <xf numFmtId="0" fontId="117" fillId="0" borderId="0"/>
    <xf numFmtId="0" fontId="117" fillId="0" borderId="0"/>
    <xf numFmtId="0" fontId="2" fillId="0" borderId="0"/>
    <xf numFmtId="0" fontId="117" fillId="0" borderId="0"/>
    <xf numFmtId="0" fontId="117" fillId="0" borderId="0"/>
    <xf numFmtId="0" fontId="2" fillId="0" borderId="0"/>
    <xf numFmtId="0" fontId="117" fillId="0" borderId="0"/>
    <xf numFmtId="0" fontId="117" fillId="0" borderId="0"/>
    <xf numFmtId="0" fontId="117" fillId="0" borderId="0">
      <protection locked="0"/>
    </xf>
    <xf numFmtId="0" fontId="117" fillId="0" borderId="0">
      <protection locked="0"/>
    </xf>
    <xf numFmtId="0" fontId="117" fillId="0" borderId="0"/>
    <xf numFmtId="0" fontId="117" fillId="0" borderId="0">
      <protection locked="0"/>
    </xf>
    <xf numFmtId="2" fontId="15" fillId="0" borderId="0"/>
    <xf numFmtId="0" fontId="15" fillId="0" borderId="0"/>
    <xf numFmtId="0" fontId="15" fillId="0" borderId="0"/>
    <xf numFmtId="0" fontId="15" fillId="0" borderId="0"/>
    <xf numFmtId="0" fontId="15" fillId="0" borderId="0">
      <protection locked="0"/>
    </xf>
    <xf numFmtId="0" fontId="15" fillId="0" borderId="0">
      <protection locked="0"/>
    </xf>
    <xf numFmtId="0" fontId="15" fillId="0" borderId="0"/>
    <xf numFmtId="0" fontId="15" fillId="0" borderId="0"/>
    <xf numFmtId="0" fontId="15" fillId="0" borderId="0"/>
    <xf numFmtId="0" fontId="23" fillId="0" borderId="0"/>
    <xf numFmtId="0" fontId="117" fillId="0" borderId="0"/>
    <xf numFmtId="0" fontId="23" fillId="0" borderId="0"/>
    <xf numFmtId="0" fontId="117" fillId="0" borderId="0"/>
    <xf numFmtId="2" fontId="15" fillId="0" borderId="0"/>
    <xf numFmtId="0" fontId="15" fillId="0" borderId="0">
      <alignment vertical="center"/>
    </xf>
    <xf numFmtId="0" fontId="117" fillId="0" borderId="0"/>
    <xf numFmtId="0" fontId="15" fillId="0" borderId="0"/>
    <xf numFmtId="0" fontId="15" fillId="0" borderId="0"/>
    <xf numFmtId="0" fontId="15" fillId="0" borderId="0"/>
    <xf numFmtId="0" fontId="15" fillId="0" borderId="0">
      <protection locked="0"/>
    </xf>
    <xf numFmtId="0" fontId="15" fillId="0" borderId="0"/>
    <xf numFmtId="0" fontId="15" fillId="0" borderId="0">
      <protection locked="0"/>
    </xf>
    <xf numFmtId="0" fontId="117" fillId="0" borderId="0"/>
    <xf numFmtId="0" fontId="15" fillId="0" borderId="0"/>
    <xf numFmtId="0" fontId="117" fillId="0" borderId="0"/>
    <xf numFmtId="0" fontId="2" fillId="0" borderId="0"/>
    <xf numFmtId="0" fontId="117" fillId="0" borderId="0"/>
    <xf numFmtId="0" fontId="2" fillId="0" borderId="0"/>
    <xf numFmtId="0" fontId="117" fillId="0" borderId="0"/>
    <xf numFmtId="0" fontId="2" fillId="0" borderId="0"/>
    <xf numFmtId="0" fontId="117" fillId="0" borderId="0"/>
    <xf numFmtId="0" fontId="2" fillId="0" borderId="0"/>
    <xf numFmtId="0" fontId="117" fillId="0" borderId="0"/>
    <xf numFmtId="0" fontId="117" fillId="0" borderId="0"/>
    <xf numFmtId="9" fontId="15" fillId="0" borderId="0" applyFont="0" applyFill="0" applyBorder="0" applyAlignment="0" applyProtection="0"/>
    <xf numFmtId="9" fontId="117" fillId="0" borderId="0" applyBorder="0" applyProtection="0"/>
    <xf numFmtId="9" fontId="15" fillId="0" borderId="0" applyFont="0" applyFill="0" applyBorder="0" applyAlignment="0" applyProtection="0"/>
    <xf numFmtId="9" fontId="117" fillId="0" borderId="0" applyBorder="0" applyProtection="0"/>
    <xf numFmtId="9" fontId="15" fillId="0" borderId="0" applyFont="0" applyFill="0" applyBorder="0" applyAlignment="0" applyProtection="0"/>
    <xf numFmtId="9" fontId="117" fillId="0" borderId="0" applyBorder="0" applyProtection="0"/>
    <xf numFmtId="9" fontId="15" fillId="0" borderId="0" applyFont="0" applyFill="0" applyBorder="0" applyAlignment="0" applyProtection="0"/>
    <xf numFmtId="9" fontId="117" fillId="0" borderId="0" applyBorder="0" applyProtection="0"/>
    <xf numFmtId="9" fontId="15" fillId="0" borderId="0" applyFont="0" applyFill="0" applyBorder="0" applyAlignment="0" applyProtection="0"/>
    <xf numFmtId="9" fontId="117" fillId="0" borderId="0" applyBorder="0" applyProtection="0"/>
    <xf numFmtId="9" fontId="117" fillId="0" borderId="0" applyBorder="0" applyProtection="0"/>
    <xf numFmtId="9" fontId="117" fillId="0" borderId="0" applyBorder="0" applyProtection="0"/>
    <xf numFmtId="0" fontId="125" fillId="0" borderId="0" applyBorder="0" applyProtection="0"/>
    <xf numFmtId="2" fontId="15" fillId="0" borderId="0">
      <alignment horizontal="center" vertical="center"/>
    </xf>
    <xf numFmtId="2" fontId="15" fillId="0" borderId="0">
      <alignment horizontal="center" vertical="center"/>
    </xf>
    <xf numFmtId="0" fontId="1" fillId="0" borderId="0"/>
    <xf numFmtId="0" fontId="126" fillId="0" borderId="0">
      <alignment vertical="top"/>
      <protection locked="0"/>
    </xf>
    <xf numFmtId="184" fontId="14" fillId="0" borderId="22">
      <protection locked="0"/>
    </xf>
    <xf numFmtId="0" fontId="1" fillId="0" borderId="0"/>
    <xf numFmtId="0" fontId="117" fillId="0" borderId="0"/>
    <xf numFmtId="43" fontId="135" fillId="0" borderId="0" applyFont="0" applyFill="0" applyBorder="0" applyAlignment="0" applyProtection="0"/>
  </cellStyleXfs>
  <cellXfs count="462">
    <xf numFmtId="0" fontId="0" fillId="0" borderId="0" xfId="0"/>
    <xf numFmtId="0" fontId="12" fillId="0" borderId="0" xfId="0" applyFont="1"/>
    <xf numFmtId="0" fontId="13" fillId="0" borderId="0" xfId="0" applyFont="1" applyAlignment="1">
      <alignment horizontal="center" vertical="top"/>
    </xf>
    <xf numFmtId="0" fontId="13" fillId="0" borderId="0" xfId="0" applyFont="1" applyAlignment="1">
      <alignment vertical="center" wrapText="1"/>
    </xf>
    <xf numFmtId="2" fontId="13" fillId="0" borderId="0" xfId="0" applyNumberFormat="1" applyFont="1" applyAlignment="1">
      <alignment vertical="center" wrapText="1"/>
    </xf>
    <xf numFmtId="166" fontId="13" fillId="0" borderId="0" xfId="0" applyNumberFormat="1" applyFont="1" applyAlignment="1">
      <alignment vertical="center" wrapText="1"/>
    </xf>
    <xf numFmtId="0" fontId="12" fillId="0" borderId="0" xfId="1" applyFont="1"/>
    <xf numFmtId="0" fontId="12" fillId="0" borderId="0" xfId="1" applyFont="1" applyAlignment="1">
      <alignment vertical="top" wrapText="1"/>
    </xf>
    <xf numFmtId="2" fontId="12" fillId="0" borderId="0" xfId="1" applyNumberFormat="1" applyFont="1" applyAlignment="1">
      <alignment vertical="top" wrapText="1"/>
    </xf>
    <xf numFmtId="0" fontId="62" fillId="0" borderId="0" xfId="747" applyFont="1" applyAlignment="1">
      <alignment vertical="center" wrapText="1"/>
    </xf>
    <xf numFmtId="0" fontId="43" fillId="0" borderId="0" xfId="747" applyFont="1" applyAlignment="1">
      <alignment horizontal="center" vertical="center" wrapText="1"/>
    </xf>
    <xf numFmtId="0" fontId="26" fillId="0" borderId="0" xfId="747" applyFont="1" applyAlignment="1">
      <alignment vertical="center" wrapText="1"/>
    </xf>
    <xf numFmtId="0" fontId="26" fillId="0" borderId="0" xfId="747" applyFont="1" applyAlignment="1">
      <alignment horizontal="center" vertical="center" wrapText="1"/>
    </xf>
    <xf numFmtId="0" fontId="15" fillId="0" borderId="0" xfId="1"/>
    <xf numFmtId="0" fontId="19" fillId="0" borderId="0" xfId="984" applyFont="1" applyAlignment="1">
      <alignment vertical="center"/>
    </xf>
    <xf numFmtId="0" fontId="61" fillId="0" borderId="0" xfId="984" applyFont="1" applyAlignment="1">
      <alignment vertical="center"/>
    </xf>
    <xf numFmtId="0" fontId="66" fillId="0" borderId="0" xfId="984" applyFont="1" applyAlignment="1">
      <alignment horizontal="left" vertical="center" shrinkToFit="1"/>
    </xf>
    <xf numFmtId="0" fontId="66" fillId="0" borderId="0" xfId="984" applyFont="1" applyAlignment="1">
      <alignment vertical="center"/>
    </xf>
    <xf numFmtId="0" fontId="66" fillId="0" borderId="0" xfId="984" applyFont="1" applyAlignment="1">
      <alignment horizontal="left" vertical="center"/>
    </xf>
    <xf numFmtId="0" fontId="72" fillId="0" borderId="0" xfId="2" applyFont="1"/>
    <xf numFmtId="0" fontId="73" fillId="0" borderId="0" xfId="2" applyFont="1" applyAlignment="1">
      <alignment horizontal="left" vertical="justify"/>
    </xf>
    <xf numFmtId="0" fontId="74" fillId="0" borderId="0" xfId="984" applyFont="1" applyAlignment="1">
      <alignment horizontal="center" vertical="center"/>
    </xf>
    <xf numFmtId="0" fontId="72" fillId="0" borderId="0" xfId="2" applyFont="1" applyAlignment="1">
      <alignment horizontal="justify" vertical="justify"/>
    </xf>
    <xf numFmtId="0" fontId="72" fillId="0" borderId="0" xfId="2" applyFont="1" applyAlignment="1">
      <alignment vertical="justify"/>
    </xf>
    <xf numFmtId="0" fontId="72" fillId="0" borderId="1" xfId="2" applyFont="1" applyBorder="1"/>
    <xf numFmtId="2" fontId="72" fillId="0" borderId="1" xfId="2" applyNumberFormat="1" applyFont="1" applyBorder="1" applyAlignment="1">
      <alignment horizontal="center"/>
    </xf>
    <xf numFmtId="0" fontId="15" fillId="0" borderId="0" xfId="2"/>
    <xf numFmtId="0" fontId="4" fillId="0" borderId="0" xfId="984"/>
    <xf numFmtId="0" fontId="64" fillId="0" borderId="0" xfId="747" applyFont="1" applyAlignment="1">
      <alignment horizontal="center" vertical="center" wrapText="1"/>
    </xf>
    <xf numFmtId="0" fontId="15" fillId="0" borderId="0" xfId="985"/>
    <xf numFmtId="0" fontId="15" fillId="0" borderId="0" xfId="16"/>
    <xf numFmtId="0" fontId="78" fillId="0" borderId="0" xfId="985" applyFont="1" applyAlignment="1">
      <alignment horizontal="center" vertical="center"/>
    </xf>
    <xf numFmtId="0" fontId="79" fillId="0" borderId="0" xfId="985" applyFont="1" applyAlignment="1">
      <alignment vertical="center" wrapText="1"/>
    </xf>
    <xf numFmtId="0" fontId="81" fillId="0" borderId="0" xfId="985" applyFont="1" applyAlignment="1">
      <alignment horizontal="center" vertical="center" wrapText="1"/>
    </xf>
    <xf numFmtId="0" fontId="82" fillId="0" borderId="0" xfId="985" applyFont="1" applyAlignment="1">
      <alignment vertical="center" wrapText="1"/>
    </xf>
    <xf numFmtId="0" fontId="83" fillId="0" borderId="0" xfId="985" applyFont="1" applyAlignment="1">
      <alignment horizontal="center" vertical="top" wrapText="1"/>
    </xf>
    <xf numFmtId="49" fontId="84" fillId="0" borderId="0" xfId="985" applyNumberFormat="1" applyFont="1" applyAlignment="1">
      <alignment vertical="center" wrapText="1"/>
    </xf>
    <xf numFmtId="49" fontId="85" fillId="0" borderId="0" xfId="985" applyNumberFormat="1" applyFont="1" applyAlignment="1">
      <alignment vertical="center" wrapText="1"/>
    </xf>
    <xf numFmtId="0" fontId="86" fillId="0" borderId="0" xfId="985" applyFont="1" applyAlignment="1">
      <alignment horizontal="center" vertical="center" wrapText="1"/>
    </xf>
    <xf numFmtId="0" fontId="87" fillId="0" borderId="0" xfId="985" applyFont="1" applyAlignment="1">
      <alignment horizontal="center" vertical="center" wrapText="1"/>
    </xf>
    <xf numFmtId="0" fontId="88" fillId="0" borderId="0" xfId="985" applyFont="1" applyAlignment="1">
      <alignment vertical="center" wrapText="1"/>
    </xf>
    <xf numFmtId="0" fontId="89" fillId="0" borderId="0" xfId="985" applyFont="1" applyAlignment="1">
      <alignment horizontal="center" vertical="center" wrapText="1"/>
    </xf>
    <xf numFmtId="0" fontId="90" fillId="0" borderId="0" xfId="985" applyFont="1"/>
    <xf numFmtId="0" fontId="91" fillId="0" borderId="0" xfId="985" applyFont="1" applyAlignment="1">
      <alignment horizontal="right"/>
    </xf>
    <xf numFmtId="0" fontId="91" fillId="0" borderId="0" xfId="985" applyFont="1" applyAlignment="1">
      <alignment horizontal="center"/>
    </xf>
    <xf numFmtId="0" fontId="91" fillId="0" borderId="0" xfId="985" applyFont="1" applyAlignment="1">
      <alignment horizontal="left"/>
    </xf>
    <xf numFmtId="0" fontId="92" fillId="0" borderId="0" xfId="985" applyFont="1" applyAlignment="1">
      <alignment horizontal="centerContinuous" vertical="center" wrapText="1"/>
    </xf>
    <xf numFmtId="0" fontId="93" fillId="0" borderId="0" xfId="985" applyFont="1" applyAlignment="1">
      <alignment horizontal="right" vertical="center"/>
    </xf>
    <xf numFmtId="0" fontId="92" fillId="0" borderId="0" xfId="985" applyFont="1" applyAlignment="1">
      <alignment horizontal="centerContinuous" vertical="center"/>
    </xf>
    <xf numFmtId="0" fontId="94" fillId="0" borderId="0" xfId="985" applyFont="1" applyAlignment="1">
      <alignment horizontal="center" vertical="center"/>
    </xf>
    <xf numFmtId="0" fontId="95" fillId="0" borderId="0" xfId="985" applyFont="1" applyAlignment="1">
      <alignment horizontal="center" vertical="center"/>
    </xf>
    <xf numFmtId="0" fontId="4" fillId="0" borderId="0" xfId="984" applyAlignment="1">
      <alignment horizontal="center" vertical="center"/>
    </xf>
    <xf numFmtId="0" fontId="70" fillId="0" borderId="0" xfId="984" applyFont="1" applyAlignment="1">
      <alignment horizontal="center" vertical="center" wrapText="1"/>
    </xf>
    <xf numFmtId="0" fontId="97" fillId="0" borderId="0" xfId="984" applyFont="1" applyAlignment="1">
      <alignment horizontal="center" vertical="center"/>
    </xf>
    <xf numFmtId="0" fontId="4" fillId="0" borderId="0" xfId="984" applyAlignment="1">
      <alignment horizontal="center" vertical="center" wrapText="1"/>
    </xf>
    <xf numFmtId="0" fontId="4" fillId="0" borderId="0" xfId="984" applyAlignment="1">
      <alignment horizontal="left" vertical="center"/>
    </xf>
    <xf numFmtId="0" fontId="26" fillId="0" borderId="1" xfId="747" applyFont="1" applyBorder="1" applyAlignment="1">
      <alignment vertical="center" wrapText="1"/>
    </xf>
    <xf numFmtId="0" fontId="26" fillId="0" borderId="1" xfId="747" applyFont="1" applyBorder="1" applyAlignment="1">
      <alignment horizontal="center" vertical="center" wrapText="1"/>
    </xf>
    <xf numFmtId="2" fontId="26" fillId="0" borderId="1" xfId="747" applyNumberFormat="1" applyFont="1" applyBorder="1" applyAlignment="1">
      <alignment horizontal="center" vertical="center" wrapText="1"/>
    </xf>
    <xf numFmtId="0" fontId="66" fillId="0" borderId="0" xfId="747" applyFont="1" applyAlignment="1">
      <alignment horizontal="center" vertical="center" wrapText="1"/>
    </xf>
    <xf numFmtId="2" fontId="26" fillId="0" borderId="0" xfId="747" applyNumberFormat="1" applyFont="1" applyAlignment="1">
      <alignment horizontal="center" vertical="center" wrapText="1"/>
    </xf>
    <xf numFmtId="2" fontId="66" fillId="0" borderId="0" xfId="747" applyNumberFormat="1" applyFont="1" applyAlignment="1">
      <alignment horizontal="center" vertical="center" wrapText="1"/>
    </xf>
    <xf numFmtId="0" fontId="15" fillId="0" borderId="0" xfId="0" applyFont="1" applyProtection="1">
      <protection hidden="1"/>
    </xf>
    <xf numFmtId="0" fontId="15" fillId="0" borderId="0" xfId="0" applyFont="1" applyAlignment="1" applyProtection="1">
      <alignment horizontal="right"/>
      <protection hidden="1"/>
    </xf>
    <xf numFmtId="0" fontId="99" fillId="0" borderId="0" xfId="0" applyFont="1" applyAlignment="1">
      <alignment horizontal="right"/>
    </xf>
    <xf numFmtId="0" fontId="100" fillId="0" borderId="3" xfId="987" applyFont="1" applyBorder="1" applyAlignment="1">
      <alignment vertical="center" wrapText="1"/>
    </xf>
    <xf numFmtId="0" fontId="100" fillId="0" borderId="4" xfId="987" applyFont="1" applyBorder="1" applyAlignment="1">
      <alignment vertical="center" wrapText="1"/>
    </xf>
    <xf numFmtId="0" fontId="3" fillId="0" borderId="0" xfId="987"/>
    <xf numFmtId="0" fontId="26" fillId="0" borderId="0" xfId="1093" applyFont="1" applyAlignment="1">
      <alignment horizontal="center" vertical="center" wrapText="1"/>
    </xf>
    <xf numFmtId="0" fontId="26" fillId="0" borderId="22" xfId="1093" applyFont="1" applyBorder="1" applyAlignment="1">
      <alignment horizontal="center" vertical="center" wrapText="1"/>
    </xf>
    <xf numFmtId="0" fontId="26" fillId="0" borderId="22" xfId="1093" applyFont="1" applyBorder="1" applyAlignment="1">
      <alignment horizontal="left" vertical="center" wrapText="1"/>
    </xf>
    <xf numFmtId="0" fontId="26" fillId="0" borderId="22" xfId="1093" quotePrefix="1" applyFont="1" applyBorder="1" applyAlignment="1">
      <alignment horizontal="center" vertical="center" wrapText="1"/>
    </xf>
    <xf numFmtId="0" fontId="26" fillId="0" borderId="0" xfId="1093" applyFont="1" applyAlignment="1">
      <alignment horizontal="left" vertical="center" wrapText="1"/>
    </xf>
    <xf numFmtId="0" fontId="115" fillId="0" borderId="0" xfId="1093" applyFont="1" applyAlignment="1">
      <alignment horizontal="right" vertical="center" wrapText="1"/>
    </xf>
    <xf numFmtId="0" fontId="116" fillId="0" borderId="0" xfId="1093" applyFont="1" applyAlignment="1">
      <alignment horizontal="center" vertical="center" wrapText="1"/>
    </xf>
    <xf numFmtId="0" fontId="116" fillId="0" borderId="0" xfId="1093" applyFont="1" applyAlignment="1">
      <alignment horizontal="left" vertical="center" wrapText="1"/>
    </xf>
    <xf numFmtId="0" fontId="26" fillId="0" borderId="23" xfId="1093" applyFont="1" applyBorder="1" applyAlignment="1">
      <alignment horizontal="center" vertical="center" wrapText="1"/>
    </xf>
    <xf numFmtId="0" fontId="26" fillId="0" borderId="23" xfId="1093" applyFont="1" applyBorder="1" applyAlignment="1">
      <alignment horizontal="left" vertical="center" wrapText="1"/>
    </xf>
    <xf numFmtId="0" fontId="26" fillId="0" borderId="0" xfId="1093" applyFont="1" applyAlignment="1">
      <alignment vertical="center" wrapText="1"/>
    </xf>
    <xf numFmtId="0" fontId="26" fillId="0" borderId="0" xfId="1093" applyFont="1" applyAlignment="1">
      <alignment horizontal="justify" vertical="center" wrapText="1"/>
    </xf>
    <xf numFmtId="0" fontId="43" fillId="0" borderId="0" xfId="2" applyFont="1" applyAlignment="1">
      <alignment vertical="center" wrapText="1"/>
    </xf>
    <xf numFmtId="2" fontId="26" fillId="0" borderId="22" xfId="1264" applyNumberFormat="1" applyFont="1" applyBorder="1" applyAlignment="1">
      <alignment horizontal="center" vertical="center" wrapText="1"/>
    </xf>
    <xf numFmtId="0" fontId="26" fillId="0" borderId="22" xfId="1264" applyFont="1" applyBorder="1" applyAlignment="1">
      <alignment horizontal="center" vertical="center" wrapText="1"/>
    </xf>
    <xf numFmtId="0" fontId="26" fillId="0" borderId="1" xfId="1" applyFont="1" applyBorder="1"/>
    <xf numFmtId="0" fontId="63" fillId="0" borderId="1" xfId="1" applyFont="1" applyBorder="1" applyAlignment="1">
      <alignment horizontal="center" vertical="center"/>
    </xf>
    <xf numFmtId="0" fontId="63" fillId="0" borderId="2" xfId="1" applyFont="1" applyBorder="1" applyAlignment="1">
      <alignment horizontal="center" vertical="center" wrapText="1"/>
    </xf>
    <xf numFmtId="0" fontId="63" fillId="0" borderId="1" xfId="1" applyFont="1" applyBorder="1" applyAlignment="1">
      <alignment horizontal="center" vertical="center" wrapText="1"/>
    </xf>
    <xf numFmtId="0" fontId="26" fillId="0" borderId="1" xfId="1" applyFont="1" applyBorder="1" applyAlignment="1">
      <alignment horizontal="center" vertical="center"/>
    </xf>
    <xf numFmtId="0" fontId="26" fillId="0" borderId="1" xfId="1" applyFont="1" applyBorder="1" applyAlignment="1">
      <alignment horizontal="center" vertical="center" wrapText="1"/>
    </xf>
    <xf numFmtId="2" fontId="26" fillId="0" borderId="1" xfId="1" applyNumberFormat="1" applyFont="1" applyBorder="1" applyAlignment="1">
      <alignment horizontal="center" vertical="center" wrapText="1"/>
    </xf>
    <xf numFmtId="2" fontId="26" fillId="0" borderId="2" xfId="1" applyNumberFormat="1" applyFont="1" applyBorder="1" applyAlignment="1">
      <alignment horizontal="center" vertical="center" wrapText="1"/>
    </xf>
    <xf numFmtId="166" fontId="26" fillId="0" borderId="1" xfId="1" applyNumberFormat="1" applyFont="1" applyBorder="1" applyAlignment="1">
      <alignment horizontal="center" vertical="center" wrapText="1"/>
    </xf>
    <xf numFmtId="0" fontId="26" fillId="0" borderId="1" xfId="1" applyFont="1" applyBorder="1" applyAlignment="1">
      <alignment vertical="top" wrapText="1"/>
    </xf>
    <xf numFmtId="0" fontId="26" fillId="0" borderId="22" xfId="1" applyFont="1" applyBorder="1" applyAlignment="1">
      <alignment horizontal="center" vertical="center"/>
    </xf>
    <xf numFmtId="0" fontId="26" fillId="0" borderId="22" xfId="1" applyFont="1" applyBorder="1" applyAlignment="1">
      <alignment vertical="top" wrapText="1"/>
    </xf>
    <xf numFmtId="0" fontId="26" fillId="0" borderId="2" xfId="1" applyFont="1" applyBorder="1" applyAlignment="1">
      <alignment vertical="top" wrapText="1"/>
    </xf>
    <xf numFmtId="0" fontId="26" fillId="0" borderId="3" xfId="1" applyFont="1" applyBorder="1" applyAlignment="1">
      <alignment vertical="top" wrapText="1"/>
    </xf>
    <xf numFmtId="0" fontId="26" fillId="0" borderId="3" xfId="1" applyFont="1" applyBorder="1" applyAlignment="1">
      <alignment horizontal="center" vertical="top" wrapText="1"/>
    </xf>
    <xf numFmtId="2" fontId="26" fillId="0" borderId="3" xfId="1" applyNumberFormat="1" applyFont="1" applyBorder="1" applyAlignment="1">
      <alignment horizontal="center" vertical="top" wrapText="1"/>
    </xf>
    <xf numFmtId="2" fontId="63" fillId="0" borderId="1" xfId="1" applyNumberFormat="1" applyFont="1" applyBorder="1" applyAlignment="1">
      <alignment horizontal="center" vertical="center" wrapText="1"/>
    </xf>
    <xf numFmtId="0" fontId="63" fillId="0" borderId="1" xfId="1" applyFont="1" applyBorder="1" applyAlignment="1">
      <alignment vertical="top" wrapText="1"/>
    </xf>
    <xf numFmtId="0" fontId="26" fillId="0" borderId="2" xfId="1" applyFont="1" applyBorder="1" applyAlignment="1">
      <alignment horizontal="center" vertical="top"/>
    </xf>
    <xf numFmtId="0" fontId="26" fillId="0" borderId="3" xfId="1" applyFont="1" applyBorder="1" applyAlignment="1">
      <alignment horizontal="left" vertical="top" wrapText="1"/>
    </xf>
    <xf numFmtId="0" fontId="26" fillId="0" borderId="25" xfId="1" applyFont="1" applyBorder="1" applyAlignment="1">
      <alignment horizontal="center" vertical="center" wrapText="1"/>
    </xf>
    <xf numFmtId="0" fontId="63" fillId="0" borderId="22" xfId="1" applyFont="1" applyBorder="1" applyAlignment="1">
      <alignment horizontal="center" vertical="center" wrapText="1"/>
    </xf>
    <xf numFmtId="0" fontId="26" fillId="0" borderId="3" xfId="1" applyFont="1" applyBorder="1" applyAlignment="1">
      <alignment horizontal="center" vertical="center" wrapText="1"/>
    </xf>
    <xf numFmtId="0" fontId="26" fillId="0" borderId="1" xfId="1" applyFont="1" applyBorder="1" applyAlignment="1">
      <alignment horizontal="left" vertical="top" wrapText="1"/>
    </xf>
    <xf numFmtId="0" fontId="26" fillId="0" borderId="22" xfId="1" applyFont="1" applyBorder="1" applyAlignment="1">
      <alignment horizontal="center" vertical="center" wrapText="1"/>
    </xf>
    <xf numFmtId="0" fontId="127" fillId="0" borderId="1" xfId="984" applyFont="1" applyBorder="1" applyAlignment="1">
      <alignment horizontal="center" vertical="center" wrapText="1"/>
    </xf>
    <xf numFmtId="2" fontId="26" fillId="0" borderId="1" xfId="984" applyNumberFormat="1" applyFont="1" applyBorder="1" applyAlignment="1">
      <alignment horizontal="center" vertical="center" wrapText="1"/>
    </xf>
    <xf numFmtId="2" fontId="127" fillId="0" borderId="1" xfId="984" applyNumberFormat="1" applyFont="1" applyBorder="1" applyAlignment="1">
      <alignment horizontal="center" vertical="center"/>
    </xf>
    <xf numFmtId="0" fontId="26" fillId="0" borderId="2" xfId="987" applyFont="1" applyBorder="1" applyAlignment="1">
      <alignment vertical="center" wrapText="1"/>
    </xf>
    <xf numFmtId="2" fontId="26" fillId="0" borderId="1" xfId="984" applyNumberFormat="1" applyFont="1" applyBorder="1" applyAlignment="1">
      <alignment horizontal="justify" vertical="center" wrapText="1"/>
    </xf>
    <xf numFmtId="2" fontId="130" fillId="0" borderId="1" xfId="984" applyNumberFormat="1" applyFont="1" applyBorder="1" applyAlignment="1">
      <alignment horizontal="center" vertical="center"/>
    </xf>
    <xf numFmtId="2" fontId="127" fillId="0" borderId="1" xfId="984" applyNumberFormat="1" applyFont="1" applyBorder="1" applyAlignment="1">
      <alignment horizontal="justify" vertical="center" wrapText="1"/>
    </xf>
    <xf numFmtId="0" fontId="127" fillId="0" borderId="1" xfId="984" applyFont="1" applyBorder="1" applyAlignment="1">
      <alignment horizontal="left" vertical="center"/>
    </xf>
    <xf numFmtId="1" fontId="130" fillId="0" borderId="1" xfId="984" applyNumberFormat="1" applyFont="1" applyBorder="1" applyAlignment="1">
      <alignment horizontal="center" vertical="center"/>
    </xf>
    <xf numFmtId="0" fontId="127" fillId="0" borderId="0" xfId="984" applyFont="1" applyAlignment="1">
      <alignment horizontal="center" vertical="center"/>
    </xf>
    <xf numFmtId="0" fontId="130" fillId="0" borderId="1" xfId="984" applyFont="1" applyBorder="1" applyAlignment="1">
      <alignment horizontal="center" vertical="center" wrapText="1"/>
    </xf>
    <xf numFmtId="0" fontId="130" fillId="0" borderId="0" xfId="984" applyFont="1" applyAlignment="1">
      <alignment horizontal="center" vertical="center" wrapText="1"/>
    </xf>
    <xf numFmtId="0" fontId="130" fillId="0" borderId="0" xfId="984" applyFont="1" applyAlignment="1">
      <alignment horizontal="center" vertical="center"/>
    </xf>
    <xf numFmtId="0" fontId="127" fillId="0" borderId="1" xfId="984" applyFont="1" applyBorder="1" applyAlignment="1">
      <alignment horizontal="center" vertical="center"/>
    </xf>
    <xf numFmtId="0" fontId="127" fillId="0" borderId="1" xfId="984" applyFont="1" applyBorder="1" applyAlignment="1">
      <alignment horizontal="center" vertical="center" textRotation="90" wrapText="1"/>
    </xf>
    <xf numFmtId="0" fontId="127" fillId="0" borderId="1" xfId="984" applyFont="1" applyBorder="1" applyAlignment="1">
      <alignment horizontal="right" vertical="center" wrapText="1"/>
    </xf>
    <xf numFmtId="0" fontId="130" fillId="0" borderId="1" xfId="984" applyFont="1" applyBorder="1" applyAlignment="1">
      <alignment vertical="center"/>
    </xf>
    <xf numFmtId="1" fontId="127" fillId="0" borderId="0" xfId="984" applyNumberFormat="1" applyFont="1" applyAlignment="1">
      <alignment horizontal="center" vertical="center"/>
    </xf>
    <xf numFmtId="0" fontId="127" fillId="0" borderId="0" xfId="984" applyFont="1" applyAlignment="1">
      <alignment horizontal="center" vertical="center" wrapText="1"/>
    </xf>
    <xf numFmtId="0" fontId="127" fillId="0" borderId="0" xfId="984" applyFont="1" applyAlignment="1">
      <alignment horizontal="left" vertical="center"/>
    </xf>
    <xf numFmtId="0" fontId="26" fillId="0" borderId="1" xfId="1" applyFont="1" applyBorder="1" applyAlignment="1">
      <alignment horizontal="left" vertical="center" wrapText="1"/>
    </xf>
    <xf numFmtId="0" fontId="127" fillId="0" borderId="1" xfId="0" applyFont="1" applyBorder="1" applyAlignment="1">
      <alignment horizontal="left" vertical="center" wrapText="1"/>
    </xf>
    <xf numFmtId="0" fontId="66" fillId="0" borderId="27" xfId="2" applyFont="1" applyBorder="1" applyAlignment="1" applyProtection="1">
      <alignment horizontal="center" vertical="center"/>
      <protection hidden="1"/>
    </xf>
    <xf numFmtId="0" fontId="43" fillId="0" borderId="27" xfId="2" applyFont="1" applyBorder="1" applyAlignment="1" applyProtection="1">
      <alignment horizontal="center" vertical="center"/>
      <protection hidden="1"/>
    </xf>
    <xf numFmtId="2" fontId="66" fillId="0" borderId="0" xfId="2" applyNumberFormat="1" applyFont="1" applyAlignment="1" applyProtection="1">
      <alignment horizontal="center" vertical="center"/>
      <protection hidden="1"/>
    </xf>
    <xf numFmtId="0" fontId="26" fillId="0" borderId="27" xfId="747" applyFont="1" applyBorder="1" applyAlignment="1">
      <alignment vertical="center" wrapText="1"/>
    </xf>
    <xf numFmtId="0" fontId="26" fillId="0" borderId="27" xfId="747" applyFont="1" applyBorder="1" applyAlignment="1">
      <alignment horizontal="center" vertical="center" wrapText="1"/>
    </xf>
    <xf numFmtId="2" fontId="26" fillId="0" borderId="27" xfId="747" applyNumberFormat="1" applyFont="1" applyBorder="1" applyAlignment="1">
      <alignment horizontal="center" vertical="center" wrapText="1"/>
    </xf>
    <xf numFmtId="0" fontId="127" fillId="0" borderId="27" xfId="984" applyFont="1" applyBorder="1" applyAlignment="1">
      <alignment horizontal="center" vertical="center"/>
    </xf>
    <xf numFmtId="0" fontId="127" fillId="0" borderId="27" xfId="984" applyFont="1" applyBorder="1" applyAlignment="1">
      <alignment horizontal="center" vertical="center" textRotation="90" wrapText="1"/>
    </xf>
    <xf numFmtId="0" fontId="127" fillId="0" borderId="27" xfId="0" applyFont="1" applyBorder="1" applyAlignment="1">
      <alignment horizontal="left" vertical="center" wrapText="1"/>
    </xf>
    <xf numFmtId="0" fontId="66" fillId="0" borderId="27" xfId="1" applyFont="1" applyBorder="1" applyAlignment="1">
      <alignment horizontal="center" vertical="center"/>
    </xf>
    <xf numFmtId="0" fontId="43" fillId="0" borderId="27" xfId="1" applyFont="1" applyBorder="1" applyAlignment="1">
      <alignment horizontal="center" vertical="center" wrapText="1"/>
    </xf>
    <xf numFmtId="0" fontId="66" fillId="0" borderId="27" xfId="1" applyFont="1" applyBorder="1" applyAlignment="1">
      <alignment horizontal="center" vertical="center" wrapText="1"/>
    </xf>
    <xf numFmtId="0" fontId="66" fillId="0" borderId="27" xfId="1" applyFont="1" applyBorder="1" applyAlignment="1">
      <alignment horizontal="right" vertical="center" wrapText="1"/>
    </xf>
    <xf numFmtId="0" fontId="65" fillId="0" borderId="27" xfId="984" applyFont="1" applyBorder="1" applyAlignment="1">
      <alignment horizontal="center" vertical="center" wrapText="1"/>
    </xf>
    <xf numFmtId="0" fontId="43" fillId="0" borderId="27" xfId="984" applyFont="1" applyBorder="1" applyAlignment="1" applyProtection="1">
      <alignment horizontal="left" vertical="top"/>
      <protection hidden="1"/>
    </xf>
    <xf numFmtId="0" fontId="43" fillId="0" borderId="27" xfId="1219" applyFont="1" applyBorder="1" applyAlignment="1" applyProtection="1">
      <alignment horizontal="left" vertical="top" wrapText="1"/>
      <protection hidden="1"/>
    </xf>
    <xf numFmtId="0" fontId="66" fillId="0" borderId="27" xfId="1219" applyFont="1" applyBorder="1" applyAlignment="1" applyProtection="1">
      <alignment horizontal="center" vertical="top" wrapText="1"/>
      <protection hidden="1"/>
    </xf>
    <xf numFmtId="168" fontId="66" fillId="0" borderId="27" xfId="1219" applyNumberFormat="1" applyFont="1" applyBorder="1" applyAlignment="1" applyProtection="1">
      <alignment horizontal="right" vertical="top"/>
      <protection hidden="1"/>
    </xf>
    <xf numFmtId="0" fontId="66" fillId="0" borderId="27" xfId="1219" applyFont="1" applyBorder="1" applyAlignment="1" applyProtection="1">
      <alignment horizontal="center"/>
      <protection hidden="1"/>
    </xf>
    <xf numFmtId="0" fontId="43" fillId="0" borderId="27" xfId="1219" applyFont="1" applyBorder="1" applyAlignment="1" applyProtection="1">
      <alignment horizontal="left" vertical="top"/>
      <protection hidden="1"/>
    </xf>
    <xf numFmtId="0" fontId="66" fillId="0" borderId="27" xfId="1219" applyFont="1" applyBorder="1" applyAlignment="1" applyProtection="1">
      <alignment horizontal="left" vertical="top" wrapText="1"/>
      <protection hidden="1"/>
    </xf>
    <xf numFmtId="168" fontId="66" fillId="0" borderId="27" xfId="1219" applyNumberFormat="1" applyFont="1" applyBorder="1" applyAlignment="1" applyProtection="1">
      <alignment horizontal="center" vertical="center"/>
      <protection hidden="1"/>
    </xf>
    <xf numFmtId="167" fontId="43" fillId="0" borderId="27" xfId="1219" applyNumberFormat="1" applyFont="1" applyBorder="1" applyAlignment="1" applyProtection="1">
      <alignment horizontal="center" vertical="top" wrapText="1"/>
      <protection hidden="1"/>
    </xf>
    <xf numFmtId="168" fontId="43" fillId="0" borderId="27" xfId="1219" applyNumberFormat="1" applyFont="1" applyBorder="1" applyAlignment="1" applyProtection="1">
      <alignment horizontal="center" vertical="center"/>
      <protection hidden="1"/>
    </xf>
    <xf numFmtId="0" fontId="66" fillId="0" borderId="27" xfId="1219" applyFont="1" applyBorder="1" applyAlignment="1" applyProtection="1">
      <alignment horizontal="center" vertical="center"/>
      <protection hidden="1"/>
    </xf>
    <xf numFmtId="0" fontId="66" fillId="0" borderId="27" xfId="1219" applyFont="1" applyBorder="1" applyAlignment="1" applyProtection="1">
      <alignment horizontal="center" vertical="center" textRotation="90"/>
      <protection hidden="1"/>
    </xf>
    <xf numFmtId="2" fontId="43" fillId="0" borderId="27" xfId="1219" applyNumberFormat="1" applyFont="1" applyBorder="1" applyAlignment="1" applyProtection="1">
      <alignment horizontal="left"/>
      <protection hidden="1"/>
    </xf>
    <xf numFmtId="0" fontId="66" fillId="0" borderId="27" xfId="1219" applyFont="1" applyBorder="1" applyAlignment="1" applyProtection="1">
      <alignment vertical="top"/>
      <protection hidden="1"/>
    </xf>
    <xf numFmtId="0" fontId="43" fillId="0" borderId="27" xfId="1219" applyFont="1" applyBorder="1" applyAlignment="1">
      <alignment horizontal="left"/>
    </xf>
    <xf numFmtId="0" fontId="66" fillId="0" borderId="27" xfId="1219" applyFont="1" applyBorder="1" applyAlignment="1">
      <alignment horizontal="left"/>
    </xf>
    <xf numFmtId="0" fontId="66" fillId="0" borderId="27" xfId="1219" applyFont="1" applyBorder="1"/>
    <xf numFmtId="0" fontId="66" fillId="0" borderId="27" xfId="1219" applyFont="1" applyBorder="1" applyAlignment="1">
      <alignment horizontal="center" vertical="center" textRotation="90"/>
    </xf>
    <xf numFmtId="0" fontId="43" fillId="0" borderId="27" xfId="1219" applyFont="1" applyBorder="1" applyAlignment="1" applyProtection="1">
      <alignment horizontal="center" vertical="center" wrapText="1"/>
      <protection hidden="1"/>
    </xf>
    <xf numFmtId="169" fontId="43" fillId="0" borderId="27" xfId="1219" applyNumberFormat="1" applyFont="1" applyBorder="1" applyAlignment="1" applyProtection="1">
      <alignment horizontal="center" vertical="center"/>
      <protection hidden="1"/>
    </xf>
    <xf numFmtId="0" fontId="43" fillId="0" borderId="27" xfId="1219" applyFont="1" applyBorder="1" applyAlignment="1" applyProtection="1">
      <alignment wrapText="1"/>
      <protection hidden="1"/>
    </xf>
    <xf numFmtId="0" fontId="43" fillId="0" borderId="27" xfId="1219" applyFont="1" applyBorder="1" applyAlignment="1" applyProtection="1">
      <alignment horizontal="center" vertical="center"/>
      <protection hidden="1"/>
    </xf>
    <xf numFmtId="2" fontId="43" fillId="0" borderId="27" xfId="1219" applyNumberFormat="1" applyFont="1" applyBorder="1" applyAlignment="1" applyProtection="1">
      <alignment horizontal="center" vertical="center"/>
      <protection hidden="1"/>
    </xf>
    <xf numFmtId="2" fontId="43" fillId="0" borderId="27" xfId="1219" applyNumberFormat="1" applyFont="1" applyBorder="1" applyProtection="1">
      <protection hidden="1"/>
    </xf>
    <xf numFmtId="0" fontId="66" fillId="0" borderId="27" xfId="984" applyFont="1" applyBorder="1" applyAlignment="1" applyProtection="1">
      <alignment horizontal="left" vertical="top" wrapText="1"/>
      <protection hidden="1"/>
    </xf>
    <xf numFmtId="0" fontId="66" fillId="0" borderId="27" xfId="1219" applyFont="1" applyBorder="1" applyAlignment="1" applyProtection="1">
      <alignment horizontal="left" wrapText="1"/>
      <protection hidden="1"/>
    </xf>
    <xf numFmtId="0" fontId="43" fillId="0" borderId="27" xfId="1219" applyFont="1" applyBorder="1" applyAlignment="1">
      <alignment horizontal="center" vertical="center" wrapText="1"/>
    </xf>
    <xf numFmtId="0" fontId="66" fillId="0" borderId="27" xfId="1219" applyFont="1" applyBorder="1" applyAlignment="1">
      <alignment horizontal="center" vertical="center" wrapText="1"/>
    </xf>
    <xf numFmtId="0" fontId="66" fillId="0" borderId="27" xfId="1219" applyFont="1" applyBorder="1" applyAlignment="1">
      <alignment wrapText="1"/>
    </xf>
    <xf numFmtId="0" fontId="66" fillId="0" borderId="0" xfId="984" applyFont="1" applyAlignment="1">
      <alignment vertical="center" wrapText="1"/>
    </xf>
    <xf numFmtId="0" fontId="19" fillId="0" borderId="0" xfId="984" applyFont="1" applyAlignment="1">
      <alignment vertical="center" wrapText="1"/>
    </xf>
    <xf numFmtId="0" fontId="66" fillId="0" borderId="27" xfId="984" applyFont="1" applyBorder="1" applyAlignment="1" applyProtection="1">
      <alignment horizontal="center" vertical="center" wrapText="1"/>
      <protection hidden="1"/>
    </xf>
    <xf numFmtId="168" fontId="66" fillId="0" borderId="27" xfId="984" applyNumberFormat="1" applyFont="1" applyBorder="1" applyAlignment="1" applyProtection="1">
      <alignment horizontal="center" vertical="center"/>
      <protection hidden="1"/>
    </xf>
    <xf numFmtId="0" fontId="66" fillId="0" borderId="27" xfId="1219" applyFont="1" applyBorder="1" applyAlignment="1" applyProtection="1">
      <alignment horizontal="center" vertical="center" wrapText="1"/>
      <protection hidden="1"/>
    </xf>
    <xf numFmtId="168" fontId="131" fillId="0" borderId="27" xfId="1219" applyNumberFormat="1" applyFont="1" applyBorder="1" applyAlignment="1" applyProtection="1">
      <alignment horizontal="center" vertical="center"/>
      <protection hidden="1"/>
    </xf>
    <xf numFmtId="185" fontId="66" fillId="0" borderId="27" xfId="1219" applyNumberFormat="1" applyFont="1" applyBorder="1" applyAlignment="1" applyProtection="1">
      <alignment horizontal="center" vertical="center"/>
      <protection hidden="1"/>
    </xf>
    <xf numFmtId="0" fontId="134" fillId="0" borderId="27" xfId="984" applyFont="1" applyBorder="1" applyAlignment="1">
      <alignment vertical="center"/>
    </xf>
    <xf numFmtId="0" fontId="75" fillId="0" borderId="27" xfId="0" applyFont="1" applyBorder="1" applyAlignment="1">
      <alignment horizontal="center" vertical="center" wrapText="1"/>
    </xf>
    <xf numFmtId="0" fontId="72" fillId="0" borderId="27" xfId="0" applyFont="1" applyBorder="1" applyAlignment="1">
      <alignment vertical="top" wrapText="1"/>
    </xf>
    <xf numFmtId="0" fontId="72" fillId="0" borderId="27" xfId="0" applyFont="1" applyBorder="1" applyAlignment="1">
      <alignment horizontal="center" vertical="center" wrapText="1"/>
    </xf>
    <xf numFmtId="0" fontId="72" fillId="0" borderId="27" xfId="0" applyFont="1" applyBorder="1" applyAlignment="1">
      <alignment horizontal="center" vertical="top" wrapText="1"/>
    </xf>
    <xf numFmtId="2" fontId="72" fillId="0" borderId="27" xfId="0" applyNumberFormat="1" applyFont="1" applyBorder="1" applyAlignment="1">
      <alignment horizontal="center" vertical="center" wrapText="1"/>
    </xf>
    <xf numFmtId="2" fontId="75" fillId="0" borderId="27" xfId="0" applyNumberFormat="1" applyFont="1" applyBorder="1" applyAlignment="1">
      <alignment horizontal="center" vertical="center" wrapText="1"/>
    </xf>
    <xf numFmtId="0" fontId="134" fillId="0" borderId="27" xfId="984" applyFont="1" applyBorder="1" applyAlignment="1">
      <alignment horizontal="center" vertical="center"/>
    </xf>
    <xf numFmtId="0" fontId="43" fillId="0" borderId="27" xfId="0" applyFont="1" applyBorder="1" applyAlignment="1" applyProtection="1">
      <alignment horizontal="center"/>
      <protection hidden="1"/>
    </xf>
    <xf numFmtId="2" fontId="43" fillId="0" borderId="27" xfId="0" applyNumberFormat="1" applyFont="1" applyBorder="1" applyAlignment="1" applyProtection="1">
      <alignment horizontal="center"/>
      <protection hidden="1"/>
    </xf>
    <xf numFmtId="2" fontId="43" fillId="0" borderId="27" xfId="1246" applyNumberFormat="1" applyFont="1" applyBorder="1" applyAlignment="1">
      <alignment horizontal="right" vertical="center"/>
    </xf>
    <xf numFmtId="2" fontId="43" fillId="0" borderId="27" xfId="1246" applyNumberFormat="1" applyFont="1" applyBorder="1" applyAlignment="1">
      <alignment horizontal="center" vertical="center"/>
    </xf>
    <xf numFmtId="0" fontId="43" fillId="0" borderId="27" xfId="2" applyFont="1" applyBorder="1" applyAlignment="1" applyProtection="1">
      <alignment horizontal="center" vertical="center" wrapText="1"/>
      <protection hidden="1"/>
    </xf>
    <xf numFmtId="2" fontId="43" fillId="0" borderId="27" xfId="2" applyNumberFormat="1" applyFont="1" applyBorder="1" applyAlignment="1" applyProtection="1">
      <alignment horizontal="center" vertical="center"/>
      <protection hidden="1"/>
    </xf>
    <xf numFmtId="2" fontId="43" fillId="0" borderId="0" xfId="2" applyNumberFormat="1" applyFont="1" applyAlignment="1" applyProtection="1">
      <alignment horizontal="center" vertical="center"/>
      <protection hidden="1"/>
    </xf>
    <xf numFmtId="0" fontId="65" fillId="0" borderId="28" xfId="984" applyFont="1" applyBorder="1" applyAlignment="1">
      <alignment horizontal="center" vertical="center" wrapText="1"/>
    </xf>
    <xf numFmtId="0" fontId="75" fillId="0" borderId="28" xfId="0" applyFont="1" applyBorder="1" applyAlignment="1">
      <alignment horizontal="center" vertical="center" wrapText="1"/>
    </xf>
    <xf numFmtId="0" fontId="66" fillId="0" borderId="28" xfId="2" applyFont="1" applyBorder="1" applyAlignment="1" applyProtection="1">
      <alignment horizontal="center" vertical="center"/>
      <protection hidden="1"/>
    </xf>
    <xf numFmtId="0" fontId="43" fillId="0" borderId="28" xfId="2" applyFont="1" applyBorder="1" applyAlignment="1" applyProtection="1">
      <alignment horizontal="center" vertical="center"/>
      <protection hidden="1"/>
    </xf>
    <xf numFmtId="0" fontId="66" fillId="0" borderId="28" xfId="2" applyFont="1" applyBorder="1" applyAlignment="1" applyProtection="1">
      <alignment horizontal="center" vertical="center" wrapText="1"/>
      <protection hidden="1"/>
    </xf>
    <xf numFmtId="2" fontId="66" fillId="0" borderId="28" xfId="2" applyNumberFormat="1" applyFont="1" applyBorder="1" applyAlignment="1" applyProtection="1">
      <alignment horizontal="center" vertical="center"/>
      <protection hidden="1"/>
    </xf>
    <xf numFmtId="0" fontId="43" fillId="39" borderId="27" xfId="2" applyFont="1" applyFill="1" applyBorder="1" applyAlignment="1" applyProtection="1">
      <alignment horizontal="left"/>
      <protection hidden="1"/>
    </xf>
    <xf numFmtId="0" fontId="66" fillId="39" borderId="27" xfId="2" applyFont="1" applyFill="1" applyBorder="1" applyProtection="1">
      <protection hidden="1"/>
    </xf>
    <xf numFmtId="0" fontId="66" fillId="39" borderId="27" xfId="2" applyFont="1" applyFill="1" applyBorder="1" applyAlignment="1" applyProtection="1">
      <alignment wrapText="1"/>
      <protection hidden="1"/>
    </xf>
    <xf numFmtId="2" fontId="66" fillId="39" borderId="27" xfId="2" applyNumberFormat="1" applyFont="1" applyFill="1" applyBorder="1" applyProtection="1">
      <protection hidden="1"/>
    </xf>
    <xf numFmtId="0" fontId="66" fillId="39" borderId="27" xfId="2" applyFont="1" applyFill="1" applyBorder="1" applyAlignment="1" applyProtection="1">
      <alignment horizontal="center"/>
      <protection hidden="1"/>
    </xf>
    <xf numFmtId="0" fontId="66" fillId="39" borderId="27" xfId="2" applyFont="1" applyFill="1" applyBorder="1" applyAlignment="1" applyProtection="1">
      <alignment horizontal="left"/>
      <protection hidden="1"/>
    </xf>
    <xf numFmtId="2" fontId="66" fillId="39" borderId="27" xfId="2" applyNumberFormat="1" applyFont="1" applyFill="1" applyBorder="1" applyAlignment="1" applyProtection="1">
      <alignment horizontal="center" vertical="center"/>
      <protection hidden="1"/>
    </xf>
    <xf numFmtId="166" fontId="72" fillId="39" borderId="27" xfId="2" applyNumberFormat="1" applyFont="1" applyFill="1" applyBorder="1" applyAlignment="1" applyProtection="1">
      <alignment horizontal="center" vertical="center"/>
      <protection hidden="1"/>
    </xf>
    <xf numFmtId="0" fontId="66" fillId="39" borderId="27" xfId="2" applyFont="1" applyFill="1" applyBorder="1" applyAlignment="1" applyProtection="1">
      <alignment horizontal="left" indent="3"/>
      <protection hidden="1"/>
    </xf>
    <xf numFmtId="2" fontId="72" fillId="39" borderId="27" xfId="2" applyNumberFormat="1" applyFont="1" applyFill="1" applyBorder="1" applyAlignment="1" applyProtection="1">
      <alignment horizontal="center" vertical="center"/>
      <protection hidden="1"/>
    </xf>
    <xf numFmtId="2" fontId="72" fillId="0" borderId="27" xfId="1239" applyNumberFormat="1" applyFont="1" applyBorder="1" applyAlignment="1" applyProtection="1">
      <alignment horizontal="center" vertical="center"/>
      <protection hidden="1"/>
    </xf>
    <xf numFmtId="0" fontId="66" fillId="39" borderId="27" xfId="2" applyFont="1" applyFill="1" applyBorder="1" applyAlignment="1" applyProtection="1">
      <alignment horizontal="right"/>
      <protection hidden="1"/>
    </xf>
    <xf numFmtId="0" fontId="66" fillId="39" borderId="27" xfId="2" applyFont="1" applyFill="1" applyBorder="1" applyAlignment="1" applyProtection="1">
      <alignment horizontal="center" vertical="center"/>
      <protection hidden="1"/>
    </xf>
    <xf numFmtId="0" fontId="72" fillId="39" borderId="27" xfId="2" applyFont="1" applyFill="1" applyBorder="1" applyAlignment="1" applyProtection="1">
      <alignment horizontal="center" vertical="center"/>
      <protection hidden="1"/>
    </xf>
    <xf numFmtId="2" fontId="43" fillId="39" borderId="27" xfId="2" applyNumberFormat="1" applyFont="1" applyFill="1" applyBorder="1" applyAlignment="1" applyProtection="1">
      <alignment horizontal="center" vertical="center"/>
      <protection hidden="1"/>
    </xf>
    <xf numFmtId="2" fontId="132" fillId="39" borderId="27" xfId="2" applyNumberFormat="1" applyFont="1" applyFill="1" applyBorder="1" applyAlignment="1" applyProtection="1">
      <alignment horizontal="center" vertical="center"/>
      <protection hidden="1"/>
    </xf>
    <xf numFmtId="0" fontId="43" fillId="39" borderId="27" xfId="2" applyFont="1" applyFill="1" applyBorder="1" applyProtection="1">
      <protection hidden="1"/>
    </xf>
    <xf numFmtId="0" fontId="43" fillId="0" borderId="27" xfId="2" applyFont="1" applyBorder="1" applyProtection="1">
      <protection hidden="1"/>
    </xf>
    <xf numFmtId="0" fontId="66" fillId="0" borderId="27" xfId="2" applyFont="1" applyBorder="1" applyProtection="1">
      <protection hidden="1"/>
    </xf>
    <xf numFmtId="0" fontId="66" fillId="0" borderId="27" xfId="0" applyFont="1" applyBorder="1" applyProtection="1">
      <protection hidden="1"/>
    </xf>
    <xf numFmtId="2" fontId="66" fillId="0" borderId="27" xfId="0" applyNumberFormat="1" applyFont="1" applyBorder="1" applyProtection="1">
      <protection hidden="1"/>
    </xf>
    <xf numFmtId="0" fontId="43" fillId="0" borderId="27" xfId="0" applyFont="1" applyBorder="1"/>
    <xf numFmtId="0" fontId="66" fillId="0" borderId="27" xfId="0" applyFont="1" applyBorder="1"/>
    <xf numFmtId="0" fontId="66" fillId="0" borderId="27" xfId="0" applyFont="1" applyBorder="1" applyAlignment="1">
      <alignment horizontal="center" vertical="center"/>
    </xf>
    <xf numFmtId="2" fontId="43" fillId="0" borderId="27" xfId="0" applyNumberFormat="1" applyFont="1" applyBorder="1" applyProtection="1">
      <protection hidden="1"/>
    </xf>
    <xf numFmtId="2" fontId="66" fillId="0" borderId="27" xfId="0" applyNumberFormat="1" applyFont="1" applyBorder="1" applyAlignment="1" applyProtection="1">
      <alignment horizontal="center" vertical="center"/>
      <protection hidden="1"/>
    </xf>
    <xf numFmtId="2" fontId="66" fillId="0" borderId="27" xfId="0" applyNumberFormat="1" applyFont="1" applyBorder="1" applyAlignment="1">
      <alignment horizontal="center" vertical="center"/>
    </xf>
    <xf numFmtId="2" fontId="43" fillId="39" borderId="27" xfId="0" applyNumberFormat="1" applyFont="1" applyFill="1" applyBorder="1" applyAlignment="1">
      <alignment horizontal="center" vertical="center"/>
    </xf>
    <xf numFmtId="0" fontId="66" fillId="39" borderId="27" xfId="2" applyFont="1" applyFill="1" applyBorder="1" applyAlignment="1" applyProtection="1">
      <alignment horizontal="center" vertical="center" wrapText="1"/>
      <protection hidden="1"/>
    </xf>
    <xf numFmtId="9" fontId="66" fillId="39" borderId="27" xfId="2" applyNumberFormat="1" applyFont="1" applyFill="1" applyBorder="1" applyAlignment="1" applyProtection="1">
      <alignment horizontal="center" vertical="center" wrapText="1"/>
      <protection hidden="1"/>
    </xf>
    <xf numFmtId="185" fontId="66" fillId="39" borderId="27" xfId="2" applyNumberFormat="1" applyFont="1" applyFill="1" applyBorder="1" applyAlignment="1" applyProtection="1">
      <alignment horizontal="center" vertical="center" wrapText="1"/>
      <protection hidden="1"/>
    </xf>
    <xf numFmtId="169" fontId="43" fillId="39" borderId="27" xfId="2" applyNumberFormat="1" applyFont="1" applyFill="1" applyBorder="1" applyAlignment="1" applyProtection="1">
      <alignment horizontal="center" vertical="center"/>
      <protection hidden="1"/>
    </xf>
    <xf numFmtId="2" fontId="43" fillId="0" borderId="27" xfId="2" applyNumberFormat="1" applyFont="1" applyBorder="1" applyAlignment="1" applyProtection="1">
      <alignment horizontal="center" vertical="center" wrapText="1"/>
      <protection hidden="1"/>
    </xf>
    <xf numFmtId="0" fontId="66" fillId="0" borderId="27" xfId="0" applyFont="1" applyBorder="1" applyAlignment="1" applyProtection="1">
      <alignment horizontal="center" vertical="center" wrapText="1"/>
      <protection hidden="1"/>
    </xf>
    <xf numFmtId="0" fontId="66" fillId="0" borderId="27" xfId="0" applyFont="1" applyBorder="1" applyAlignment="1" applyProtection="1">
      <alignment horizontal="center" vertical="center"/>
      <protection hidden="1"/>
    </xf>
    <xf numFmtId="0" fontId="66" fillId="0" borderId="27" xfId="0" applyFont="1" applyBorder="1" applyAlignment="1">
      <alignment horizontal="center" vertical="center" wrapText="1"/>
    </xf>
    <xf numFmtId="2" fontId="66" fillId="40" borderId="27" xfId="0" applyNumberFormat="1" applyFont="1" applyFill="1" applyBorder="1" applyAlignment="1">
      <alignment horizontal="center" vertical="center" wrapText="1"/>
    </xf>
    <xf numFmtId="0" fontId="66" fillId="40" borderId="27" xfId="0" applyFont="1" applyFill="1" applyBorder="1" applyAlignment="1">
      <alignment horizontal="center" vertical="center"/>
    </xf>
    <xf numFmtId="0" fontId="43" fillId="39" borderId="27" xfId="0" applyFont="1" applyFill="1" applyBorder="1" applyAlignment="1">
      <alignment horizontal="center" vertical="center"/>
    </xf>
    <xf numFmtId="2" fontId="43" fillId="0" borderId="27" xfId="2" applyNumberFormat="1" applyFont="1" applyBorder="1" applyAlignment="1">
      <alignment horizontal="center" vertical="center"/>
    </xf>
    <xf numFmtId="2" fontId="43" fillId="0" borderId="27" xfId="0" applyNumberFormat="1" applyFont="1" applyBorder="1" applyAlignment="1">
      <alignment horizontal="center" vertical="center"/>
    </xf>
    <xf numFmtId="0" fontId="43" fillId="0" borderId="27" xfId="0" applyFont="1" applyBorder="1" applyAlignment="1" applyProtection="1">
      <alignment horizontal="center" vertical="center"/>
      <protection hidden="1"/>
    </xf>
    <xf numFmtId="2" fontId="43" fillId="0" borderId="27" xfId="0" applyNumberFormat="1" applyFont="1" applyBorder="1" applyAlignment="1" applyProtection="1">
      <alignment horizontal="center" vertical="center"/>
      <protection hidden="1"/>
    </xf>
    <xf numFmtId="0" fontId="43" fillId="0" borderId="27" xfId="0" applyFont="1" applyBorder="1" applyAlignment="1" applyProtection="1">
      <alignment horizontal="left"/>
      <protection hidden="1"/>
    </xf>
    <xf numFmtId="0" fontId="43" fillId="0" borderId="27" xfId="0" applyFont="1" applyBorder="1" applyAlignment="1" applyProtection="1">
      <alignment horizontal="right"/>
      <protection hidden="1"/>
    </xf>
    <xf numFmtId="0" fontId="66" fillId="0" borderId="27" xfId="0" applyFont="1" applyBorder="1" applyAlignment="1" applyProtection="1">
      <alignment wrapText="1"/>
      <protection hidden="1"/>
    </xf>
    <xf numFmtId="0" fontId="66" fillId="0" borderId="27" xfId="0" applyFont="1" applyBorder="1" applyAlignment="1" applyProtection="1">
      <alignment horizontal="right"/>
      <protection hidden="1"/>
    </xf>
    <xf numFmtId="2" fontId="43" fillId="0" borderId="27" xfId="0" applyNumberFormat="1" applyFont="1" applyBorder="1" applyAlignment="1" applyProtection="1">
      <alignment horizontal="right"/>
      <protection hidden="1"/>
    </xf>
    <xf numFmtId="0" fontId="43" fillId="0" borderId="27" xfId="0" applyFont="1" applyBorder="1" applyAlignment="1" applyProtection="1">
      <alignment horizontal="center" vertical="center" wrapText="1"/>
      <protection hidden="1"/>
    </xf>
    <xf numFmtId="0" fontId="43" fillId="0" borderId="27" xfId="0" applyFont="1" applyBorder="1" applyAlignment="1">
      <alignment horizontal="center" vertical="center" wrapText="1"/>
    </xf>
    <xf numFmtId="0" fontId="66" fillId="0" borderId="27" xfId="0" applyFont="1" applyBorder="1" applyAlignment="1" applyProtection="1">
      <alignment horizontal="center"/>
      <protection hidden="1"/>
    </xf>
    <xf numFmtId="0" fontId="66" fillId="0" borderId="27" xfId="0" applyFont="1" applyBorder="1" applyAlignment="1" applyProtection="1">
      <alignment horizontal="left"/>
      <protection hidden="1"/>
    </xf>
    <xf numFmtId="0" fontId="66" fillId="0" borderId="27" xfId="0" applyFont="1" applyBorder="1" applyAlignment="1" applyProtection="1">
      <alignment horizontal="center" wrapText="1"/>
      <protection hidden="1"/>
    </xf>
    <xf numFmtId="2" fontId="66" fillId="0" borderId="27" xfId="0" applyNumberFormat="1" applyFont="1" applyBorder="1" applyAlignment="1" applyProtection="1">
      <alignment horizontal="center"/>
      <protection hidden="1"/>
    </xf>
    <xf numFmtId="2" fontId="66" fillId="0" borderId="27" xfId="0" applyNumberFormat="1" applyFont="1" applyBorder="1" applyAlignment="1" applyProtection="1">
      <alignment horizontal="left"/>
      <protection hidden="1"/>
    </xf>
    <xf numFmtId="169" fontId="66" fillId="0" borderId="27" xfId="0" applyNumberFormat="1" applyFont="1" applyBorder="1" applyAlignment="1" applyProtection="1">
      <alignment wrapText="1"/>
      <protection hidden="1"/>
    </xf>
    <xf numFmtId="2" fontId="43" fillId="0" borderId="27" xfId="0" applyNumberFormat="1" applyFont="1" applyBorder="1" applyAlignment="1" applyProtection="1">
      <alignment horizontal="left"/>
      <protection hidden="1"/>
    </xf>
    <xf numFmtId="0" fontId="66" fillId="0" borderId="27" xfId="0" applyFont="1" applyBorder="1" applyAlignment="1" applyProtection="1">
      <alignment vertical="top"/>
      <protection hidden="1"/>
    </xf>
    <xf numFmtId="0" fontId="43" fillId="0" borderId="27" xfId="0" applyFont="1" applyBorder="1" applyProtection="1">
      <protection hidden="1"/>
    </xf>
    <xf numFmtId="169" fontId="66" fillId="0" borderId="27" xfId="0" applyNumberFormat="1" applyFont="1" applyBorder="1" applyProtection="1">
      <protection hidden="1"/>
    </xf>
    <xf numFmtId="2" fontId="66" fillId="0" borderId="27" xfId="0" applyNumberFormat="1" applyFont="1" applyBorder="1" applyAlignment="1" applyProtection="1">
      <alignment wrapText="1"/>
      <protection hidden="1"/>
    </xf>
    <xf numFmtId="0" fontId="66" fillId="0" borderId="27" xfId="908" applyFont="1" applyBorder="1" applyAlignment="1">
      <alignment vertical="center"/>
    </xf>
    <xf numFmtId="0" fontId="66" fillId="0" borderId="27" xfId="908" applyFont="1" applyBorder="1" applyAlignment="1">
      <alignment vertical="center" wrapText="1"/>
    </xf>
    <xf numFmtId="0" fontId="66" fillId="0" borderId="27" xfId="1373" applyFont="1" applyBorder="1"/>
    <xf numFmtId="0" fontId="66" fillId="0" borderId="27" xfId="1373" applyFont="1" applyBorder="1" applyAlignment="1">
      <alignment horizontal="left"/>
    </xf>
    <xf numFmtId="0" fontId="66" fillId="0" borderId="27" xfId="1373" applyFont="1" applyBorder="1" applyAlignment="1">
      <alignment wrapText="1"/>
    </xf>
    <xf numFmtId="2" fontId="129" fillId="0" borderId="27" xfId="1246" applyNumberFormat="1" applyFont="1" applyBorder="1" applyAlignment="1">
      <alignment horizontal="right" vertical="center"/>
    </xf>
    <xf numFmtId="2" fontId="129" fillId="0" borderId="27" xfId="1246" applyNumberFormat="1" applyFont="1" applyBorder="1" applyAlignment="1">
      <alignment vertical="center"/>
    </xf>
    <xf numFmtId="0" fontId="66" fillId="0" borderId="27" xfId="1373" applyFont="1" applyBorder="1" applyAlignment="1">
      <alignment horizontal="center"/>
    </xf>
    <xf numFmtId="0" fontId="72" fillId="0" borderId="27" xfId="0" applyFont="1" applyBorder="1" applyAlignment="1">
      <alignment horizontal="left"/>
    </xf>
    <xf numFmtId="0" fontId="66" fillId="0" borderId="27" xfId="1373" applyFont="1" applyBorder="1" applyAlignment="1">
      <alignment horizontal="center" vertical="center"/>
    </xf>
    <xf numFmtId="2" fontId="129" fillId="0" borderId="27" xfId="1246" applyNumberFormat="1" applyFont="1" applyBorder="1" applyAlignment="1">
      <alignment horizontal="center" vertical="center"/>
    </xf>
    <xf numFmtId="2" fontId="133" fillId="0" borderId="27" xfId="1246" applyNumberFormat="1" applyFont="1" applyBorder="1" applyAlignment="1">
      <alignment horizontal="center" vertical="center"/>
    </xf>
    <xf numFmtId="0" fontId="43" fillId="0" borderId="27" xfId="1373" applyFont="1" applyBorder="1" applyAlignment="1">
      <alignment horizontal="left"/>
    </xf>
    <xf numFmtId="0" fontId="43" fillId="0" borderId="27" xfId="1373" applyFont="1" applyBorder="1" applyAlignment="1">
      <alignment wrapText="1"/>
    </xf>
    <xf numFmtId="0" fontId="43" fillId="0" borderId="27" xfId="1373" applyFont="1" applyBorder="1"/>
    <xf numFmtId="2" fontId="133" fillId="0" borderId="27" xfId="1246" applyNumberFormat="1" applyFont="1" applyBorder="1" applyAlignment="1">
      <alignment vertical="center"/>
    </xf>
    <xf numFmtId="0" fontId="66" fillId="0" borderId="27" xfId="1373" applyFont="1" applyBorder="1" applyAlignment="1">
      <alignment horizontal="center" vertical="center" wrapText="1"/>
    </xf>
    <xf numFmtId="0" fontId="43" fillId="0" borderId="27" xfId="1373" applyFont="1" applyBorder="1" applyAlignment="1">
      <alignment horizontal="center" vertical="center" wrapText="1"/>
    </xf>
    <xf numFmtId="0" fontId="43" fillId="0" borderId="27" xfId="1373" applyFont="1" applyBorder="1" applyAlignment="1">
      <alignment horizontal="center" vertical="center"/>
    </xf>
    <xf numFmtId="0" fontId="66" fillId="0" borderId="27" xfId="1373" applyFont="1" applyBorder="1" applyAlignment="1">
      <alignment horizontal="left" wrapText="1"/>
    </xf>
    <xf numFmtId="2" fontId="66" fillId="0" borderId="27" xfId="1373" applyNumberFormat="1" applyFont="1" applyBorder="1" applyAlignment="1">
      <alignment horizontal="center" vertical="center"/>
    </xf>
    <xf numFmtId="2" fontId="133" fillId="0" borderId="27" xfId="1246" applyNumberFormat="1" applyFont="1" applyBorder="1" applyAlignment="1">
      <alignment horizontal="right" vertical="center"/>
    </xf>
    <xf numFmtId="0" fontId="43" fillId="0" borderId="27" xfId="1239" applyFont="1" applyBorder="1"/>
    <xf numFmtId="0" fontId="66" fillId="0" borderId="27" xfId="1239" applyFont="1" applyBorder="1" applyAlignment="1">
      <alignment horizontal="left"/>
    </xf>
    <xf numFmtId="0" fontId="66" fillId="0" borderId="27" xfId="1239" applyFont="1" applyBorder="1" applyAlignment="1">
      <alignment horizontal="right" wrapText="1"/>
    </xf>
    <xf numFmtId="0" fontId="66" fillId="0" borderId="27" xfId="1239" applyFont="1" applyBorder="1" applyAlignment="1">
      <alignment horizontal="right"/>
    </xf>
    <xf numFmtId="0" fontId="66" fillId="0" borderId="27" xfId="1239" applyFont="1" applyBorder="1"/>
    <xf numFmtId="2" fontId="66" fillId="55" borderId="27" xfId="1239" applyNumberFormat="1" applyFont="1" applyFill="1" applyBorder="1" applyAlignment="1">
      <alignment horizontal="center" vertical="center" wrapText="1"/>
    </xf>
    <xf numFmtId="0" fontId="66" fillId="0" borderId="27" xfId="1239" applyFont="1" applyBorder="1" applyAlignment="1">
      <alignment horizontal="center" vertical="center"/>
    </xf>
    <xf numFmtId="0" fontId="66" fillId="55" borderId="27" xfId="1239" applyFont="1" applyFill="1" applyBorder="1" applyAlignment="1">
      <alignment horizontal="center" vertical="center"/>
    </xf>
    <xf numFmtId="0" fontId="66" fillId="0" borderId="27" xfId="1239" applyFont="1" applyBorder="1" applyAlignment="1">
      <alignment horizontal="center" vertical="center" wrapText="1"/>
    </xf>
    <xf numFmtId="0" fontId="66" fillId="0" borderId="27" xfId="1239" applyFont="1" applyBorder="1" applyProtection="1">
      <protection hidden="1"/>
    </xf>
    <xf numFmtId="2" fontId="43" fillId="0" borderId="27" xfId="1239" applyNumberFormat="1" applyFont="1" applyBorder="1" applyAlignment="1" applyProtection="1">
      <alignment horizontal="left"/>
      <protection hidden="1"/>
    </xf>
    <xf numFmtId="0" fontId="66" fillId="0" borderId="27" xfId="1239" applyFont="1" applyBorder="1" applyAlignment="1" applyProtection="1">
      <alignment horizontal="center" vertical="center" wrapText="1"/>
      <protection hidden="1"/>
    </xf>
    <xf numFmtId="0" fontId="66" fillId="0" borderId="27" xfId="1239" applyFont="1" applyBorder="1" applyAlignment="1" applyProtection="1">
      <alignment horizontal="center" vertical="center"/>
      <protection hidden="1"/>
    </xf>
    <xf numFmtId="2" fontId="66" fillId="0" borderId="27" xfId="1239" applyNumberFormat="1" applyFont="1" applyBorder="1" applyAlignment="1" applyProtection="1">
      <alignment horizontal="center" vertical="center"/>
      <protection hidden="1"/>
    </xf>
    <xf numFmtId="2" fontId="66" fillId="0" borderId="27" xfId="1239" applyNumberFormat="1" applyFont="1" applyBorder="1" applyAlignment="1">
      <alignment horizontal="center" vertical="center"/>
    </xf>
    <xf numFmtId="167" fontId="66" fillId="0" borderId="27" xfId="1373" applyNumberFormat="1" applyFont="1" applyBorder="1"/>
    <xf numFmtId="10" fontId="66" fillId="0" borderId="27" xfId="1373" applyNumberFormat="1" applyFont="1" applyBorder="1" applyAlignment="1">
      <alignment wrapText="1"/>
    </xf>
    <xf numFmtId="10" fontId="66" fillId="0" borderId="27" xfId="1373" applyNumberFormat="1" applyFont="1" applyBorder="1" applyAlignment="1">
      <alignment horizontal="center" vertical="center"/>
    </xf>
    <xf numFmtId="0" fontId="43" fillId="0" borderId="27" xfId="0" applyFont="1" applyBorder="1" applyAlignment="1" applyProtection="1">
      <alignment horizontal="left" vertical="center"/>
      <protection hidden="1"/>
    </xf>
    <xf numFmtId="0" fontId="66" fillId="0" borderId="27" xfId="0" applyFont="1" applyBorder="1" applyAlignment="1" applyProtection="1">
      <alignment vertical="center"/>
      <protection hidden="1"/>
    </xf>
    <xf numFmtId="0" fontId="66" fillId="0" borderId="27" xfId="0" applyFont="1" applyBorder="1" applyAlignment="1" applyProtection="1">
      <alignment vertical="center" wrapText="1"/>
      <protection hidden="1"/>
    </xf>
    <xf numFmtId="0" fontId="66" fillId="0" borderId="27" xfId="0" applyFont="1" applyBorder="1" applyAlignment="1" applyProtection="1">
      <alignment horizontal="right" vertical="center"/>
      <protection hidden="1"/>
    </xf>
    <xf numFmtId="0" fontId="66" fillId="0" borderId="27" xfId="0" applyFont="1" applyBorder="1" applyAlignment="1" applyProtection="1">
      <alignment horizontal="left" vertical="center"/>
      <protection hidden="1"/>
    </xf>
    <xf numFmtId="2" fontId="66" fillId="0" borderId="27" xfId="0" applyNumberFormat="1" applyFont="1" applyBorder="1" applyAlignment="1" applyProtection="1">
      <alignment vertical="center"/>
      <protection hidden="1"/>
    </xf>
    <xf numFmtId="0" fontId="43" fillId="0" borderId="27" xfId="0" applyFont="1" applyBorder="1" applyAlignment="1" applyProtection="1">
      <alignment vertical="center"/>
      <protection hidden="1"/>
    </xf>
    <xf numFmtId="0" fontId="72" fillId="0" borderId="27" xfId="0" applyFont="1" applyBorder="1" applyAlignment="1">
      <alignment vertical="center"/>
    </xf>
    <xf numFmtId="0" fontId="66" fillId="0" borderId="27" xfId="0" applyFont="1" applyBorder="1" applyAlignment="1">
      <alignment horizontal="left" vertical="top"/>
    </xf>
    <xf numFmtId="169" fontId="66" fillId="0" borderId="27" xfId="0" applyNumberFormat="1" applyFont="1" applyBorder="1" applyAlignment="1" applyProtection="1">
      <alignment horizontal="center" vertical="center" wrapText="1"/>
      <protection hidden="1"/>
    </xf>
    <xf numFmtId="169" fontId="66" fillId="0" borderId="27" xfId="0" applyNumberFormat="1" applyFont="1" applyBorder="1" applyAlignment="1" applyProtection="1">
      <alignment horizontal="center" vertical="center"/>
      <protection hidden="1"/>
    </xf>
    <xf numFmtId="167" fontId="66" fillId="0" borderId="27" xfId="0" applyNumberFormat="1" applyFont="1" applyBorder="1" applyAlignment="1" applyProtection="1">
      <alignment horizontal="center" vertical="center"/>
      <protection hidden="1"/>
    </xf>
    <xf numFmtId="2" fontId="66" fillId="0" borderId="27" xfId="0" applyNumberFormat="1" applyFont="1" applyBorder="1" applyAlignment="1" applyProtection="1">
      <alignment horizontal="center" vertical="center" wrapText="1"/>
      <protection hidden="1"/>
    </xf>
    <xf numFmtId="2" fontId="72" fillId="0" borderId="27" xfId="0" applyNumberFormat="1" applyFont="1" applyBorder="1" applyAlignment="1">
      <alignment horizontal="center" vertical="center"/>
    </xf>
    <xf numFmtId="0" fontId="72" fillId="0" borderId="27" xfId="0" applyFont="1" applyBorder="1" applyAlignment="1">
      <alignment horizontal="center" vertical="center"/>
    </xf>
    <xf numFmtId="2" fontId="75" fillId="0" borderId="27" xfId="0" applyNumberFormat="1" applyFont="1" applyBorder="1" applyAlignment="1">
      <alignment horizontal="center" vertical="center"/>
    </xf>
    <xf numFmtId="0" fontId="26" fillId="0" borderId="1" xfId="747" applyFont="1" applyBorder="1" applyAlignment="1">
      <alignment horizontal="left" vertical="center" wrapText="1"/>
    </xf>
    <xf numFmtId="0" fontId="26" fillId="0" borderId="4" xfId="747" applyFont="1" applyBorder="1" applyAlignment="1">
      <alignment horizontal="center" vertical="center" wrapText="1"/>
    </xf>
    <xf numFmtId="2" fontId="26" fillId="0" borderId="3" xfId="747" applyNumberFormat="1" applyFont="1" applyBorder="1" applyAlignment="1">
      <alignment horizontal="center" vertical="center" wrapText="1"/>
    </xf>
    <xf numFmtId="0" fontId="63" fillId="0" borderId="1" xfId="747" applyFont="1" applyBorder="1" applyAlignment="1">
      <alignment horizontal="center" vertical="center" wrapText="1"/>
    </xf>
    <xf numFmtId="0" fontId="63" fillId="0" borderId="4" xfId="747" applyFont="1" applyBorder="1" applyAlignment="1">
      <alignment horizontal="center" vertical="center" wrapText="1"/>
    </xf>
    <xf numFmtId="0" fontId="63" fillId="0" borderId="1" xfId="747" applyFont="1" applyBorder="1" applyAlignment="1">
      <alignment vertical="center" wrapText="1"/>
    </xf>
    <xf numFmtId="166" fontId="26" fillId="0" borderId="1" xfId="987" applyNumberFormat="1" applyFont="1" applyBorder="1" applyAlignment="1">
      <alignment horizontal="center" vertical="center" wrapText="1"/>
    </xf>
    <xf numFmtId="2" fontId="26" fillId="0" borderId="1" xfId="987" applyNumberFormat="1" applyFont="1" applyBorder="1" applyAlignment="1">
      <alignment horizontal="center" vertical="center" wrapText="1"/>
    </xf>
    <xf numFmtId="0" fontId="26" fillId="0" borderId="1" xfId="987" applyFont="1" applyBorder="1" applyAlignment="1">
      <alignment wrapText="1"/>
    </xf>
    <xf numFmtId="0" fontId="26" fillId="0" borderId="1" xfId="987" applyFont="1" applyBorder="1" applyAlignment="1">
      <alignment horizontal="center" vertical="center" wrapText="1"/>
    </xf>
    <xf numFmtId="0" fontId="26" fillId="0" borderId="2" xfId="987" applyFont="1" applyBorder="1" applyAlignment="1">
      <alignment horizontal="center" vertical="center" wrapText="1"/>
    </xf>
    <xf numFmtId="2" fontId="26" fillId="0" borderId="1" xfId="1" applyNumberFormat="1" applyFont="1" applyBorder="1" applyAlignment="1">
      <alignment horizontal="center" vertical="center"/>
    </xf>
    <xf numFmtId="165" fontId="63" fillId="0" borderId="1" xfId="944" applyNumberFormat="1" applyFont="1" applyBorder="1" applyAlignment="1">
      <alignment horizontal="center" vertical="center"/>
    </xf>
    <xf numFmtId="0" fontId="127" fillId="0" borderId="1" xfId="987" applyFont="1" applyBorder="1" applyAlignment="1">
      <alignment horizontal="center" vertical="center"/>
    </xf>
    <xf numFmtId="2" fontId="127" fillId="0" borderId="1" xfId="987" applyNumberFormat="1" applyFont="1" applyBorder="1" applyAlignment="1">
      <alignment horizontal="center" vertical="center"/>
    </xf>
    <xf numFmtId="0" fontId="127" fillId="0" borderId="27" xfId="987" applyFont="1" applyBorder="1" applyAlignment="1">
      <alignment horizontal="center" vertical="center"/>
    </xf>
    <xf numFmtId="0" fontId="63" fillId="0" borderId="27" xfId="1" applyFont="1" applyBorder="1" applyAlignment="1">
      <alignment horizontal="center" vertical="center"/>
    </xf>
    <xf numFmtId="0" fontId="63" fillId="0" borderId="25" xfId="1" applyFont="1" applyBorder="1" applyAlignment="1">
      <alignment horizontal="center" vertical="center" wrapText="1"/>
    </xf>
    <xf numFmtId="0" fontId="63" fillId="0" borderId="24" xfId="1" applyFont="1" applyBorder="1" applyAlignment="1">
      <alignment horizontal="center" vertical="center" wrapText="1"/>
    </xf>
    <xf numFmtId="0" fontId="66" fillId="0" borderId="27" xfId="1" applyFont="1" applyBorder="1"/>
    <xf numFmtId="0" fontId="66" fillId="0" borderId="27" xfId="1" applyFont="1" applyBorder="1" applyAlignment="1">
      <alignment horizontal="center" vertical="top"/>
    </xf>
    <xf numFmtId="2" fontId="43" fillId="0" borderId="27" xfId="1" applyNumberFormat="1" applyFont="1" applyBorder="1" applyAlignment="1">
      <alignment horizontal="center" vertical="center" wrapText="1"/>
    </xf>
    <xf numFmtId="0" fontId="66" fillId="0" borderId="27" xfId="1" applyFont="1" applyBorder="1" applyAlignment="1">
      <alignment horizontal="left" vertical="center" wrapText="1"/>
    </xf>
    <xf numFmtId="0" fontId="136" fillId="0" borderId="25" xfId="1" applyFont="1" applyBorder="1"/>
    <xf numFmtId="0" fontId="137" fillId="0" borderId="25" xfId="1" applyFont="1" applyBorder="1" applyAlignment="1">
      <alignment horizontal="center" vertical="center"/>
    </xf>
    <xf numFmtId="0" fontId="136" fillId="0" borderId="27" xfId="1" applyFont="1" applyBorder="1" applyAlignment="1">
      <alignment horizontal="center" vertical="center" wrapText="1"/>
    </xf>
    <xf numFmtId="0" fontId="136" fillId="0" borderId="27" xfId="1" applyFont="1" applyBorder="1" applyAlignment="1">
      <alignment horizontal="center" vertical="center"/>
    </xf>
    <xf numFmtId="0" fontId="136" fillId="0" borderId="25" xfId="1" applyFont="1" applyBorder="1" applyAlignment="1">
      <alignment horizontal="center" vertical="center"/>
    </xf>
    <xf numFmtId="0" fontId="137" fillId="0" borderId="25" xfId="1" applyFont="1" applyBorder="1" applyAlignment="1">
      <alignment horizontal="center" vertical="center" wrapText="1"/>
    </xf>
    <xf numFmtId="0" fontId="137" fillId="0" borderId="27" xfId="1" applyFont="1" applyBorder="1" applyAlignment="1">
      <alignment horizontal="center" vertical="center"/>
    </xf>
    <xf numFmtId="0" fontId="138" fillId="0" borderId="0" xfId="1" applyFont="1"/>
    <xf numFmtId="0" fontId="43" fillId="0" borderId="26" xfId="1" applyFont="1" applyBorder="1" applyAlignment="1">
      <alignment horizontal="center" vertical="center" wrapText="1"/>
    </xf>
    <xf numFmtId="0" fontId="66" fillId="0" borderId="26" xfId="1" applyFont="1" applyBorder="1" applyAlignment="1">
      <alignment horizontal="center" vertical="center"/>
    </xf>
    <xf numFmtId="0" fontId="130" fillId="0" borderId="27" xfId="984" applyFont="1" applyBorder="1" applyAlignment="1">
      <alignment horizontal="center" vertical="center"/>
    </xf>
    <xf numFmtId="2" fontId="127" fillId="0" borderId="27" xfId="984" applyNumberFormat="1" applyFont="1" applyBorder="1" applyAlignment="1">
      <alignment horizontal="center" vertical="center"/>
    </xf>
    <xf numFmtId="0" fontId="75" fillId="0" borderId="5" xfId="2" applyFont="1" applyBorder="1" applyAlignment="1">
      <alignment horizontal="center" vertical="center"/>
    </xf>
    <xf numFmtId="0" fontId="143" fillId="0" borderId="0" xfId="985" applyFont="1"/>
    <xf numFmtId="0" fontId="143" fillId="0" borderId="0" xfId="16" applyFont="1"/>
    <xf numFmtId="0" fontId="144" fillId="0" borderId="0" xfId="985" applyFont="1" applyAlignment="1">
      <alignment horizontal="right" vertical="center"/>
    </xf>
    <xf numFmtId="43" fontId="130" fillId="0" borderId="27" xfId="1425" applyFont="1" applyBorder="1" applyAlignment="1">
      <alignment horizontal="center" vertical="center"/>
    </xf>
    <xf numFmtId="0" fontId="26" fillId="0" borderId="0" xfId="0" applyFont="1" applyAlignment="1">
      <alignment horizontal="center" vertical="center"/>
    </xf>
    <xf numFmtId="0" fontId="26" fillId="0" borderId="0" xfId="0" applyFont="1" applyAlignment="1">
      <alignment horizontal="left" vertical="center" wrapText="1"/>
    </xf>
    <xf numFmtId="0" fontId="64" fillId="0" borderId="0" xfId="0" applyFont="1" applyAlignment="1">
      <alignment horizontal="center" vertical="center"/>
    </xf>
    <xf numFmtId="0" fontId="26" fillId="0" borderId="27" xfId="1" applyFont="1" applyBorder="1" applyAlignment="1">
      <alignment horizontal="center" vertical="center" wrapText="1"/>
    </xf>
    <xf numFmtId="2" fontId="26" fillId="0" borderId="27" xfId="1" applyNumberFormat="1" applyFont="1" applyBorder="1" applyAlignment="1">
      <alignment horizontal="center" vertical="center" wrapText="1"/>
    </xf>
    <xf numFmtId="2" fontId="26" fillId="0" borderId="25" xfId="1" applyNumberFormat="1" applyFont="1" applyBorder="1" applyAlignment="1">
      <alignment horizontal="center" vertical="center" wrapText="1"/>
    </xf>
    <xf numFmtId="166" fontId="26" fillId="0" borderId="27" xfId="1" applyNumberFormat="1" applyFont="1" applyBorder="1" applyAlignment="1">
      <alignment horizontal="center" vertical="center" wrapText="1"/>
    </xf>
    <xf numFmtId="0" fontId="63" fillId="0" borderId="27" xfId="1" applyFont="1" applyBorder="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center"/>
    </xf>
    <xf numFmtId="43" fontId="63" fillId="0" borderId="22" xfId="1425" applyFont="1" applyBorder="1" applyAlignment="1">
      <alignment horizontal="center" vertical="center" wrapText="1"/>
    </xf>
    <xf numFmtId="0" fontId="26" fillId="0" borderId="0" xfId="0" applyFont="1" applyAlignment="1">
      <alignment horizontal="left" vertical="center" wrapText="1"/>
    </xf>
    <xf numFmtId="0" fontId="67" fillId="0" borderId="0" xfId="0" applyFont="1" applyAlignment="1">
      <alignment horizontal="center" vertical="center"/>
    </xf>
    <xf numFmtId="0" fontId="63" fillId="0" borderId="0" xfId="0" applyFont="1" applyAlignment="1">
      <alignment horizontal="center" vertical="center" wrapText="1"/>
    </xf>
    <xf numFmtId="0" fontId="67" fillId="0" borderId="0" xfId="1093" applyFont="1" applyAlignment="1">
      <alignment horizontal="center" vertical="center" wrapText="1"/>
    </xf>
    <xf numFmtId="0" fontId="116" fillId="0" borderId="0" xfId="1093" applyFont="1" applyAlignment="1">
      <alignment horizontal="center" vertical="center" wrapText="1"/>
    </xf>
    <xf numFmtId="0" fontId="26" fillId="0" borderId="0" xfId="1093" applyFont="1" applyAlignment="1">
      <alignment horizontal="center" vertical="center" wrapText="1"/>
    </xf>
    <xf numFmtId="0" fontId="80" fillId="0" borderId="0" xfId="985" applyFont="1" applyAlignment="1">
      <alignment horizontal="center" vertical="center" wrapText="1"/>
    </xf>
    <xf numFmtId="0" fontId="95" fillId="0" borderId="0" xfId="985" applyFont="1" applyAlignment="1">
      <alignment horizontal="center" vertical="center"/>
    </xf>
    <xf numFmtId="0" fontId="95" fillId="0" borderId="0" xfId="985" applyFont="1" applyAlignment="1">
      <alignment horizontal="left" vertical="center"/>
    </xf>
    <xf numFmtId="0" fontId="96" fillId="0" borderId="0" xfId="985" applyFont="1" applyAlignment="1">
      <alignment horizontal="center" vertical="center"/>
    </xf>
    <xf numFmtId="0" fontId="140" fillId="0" borderId="0" xfId="985" applyFont="1" applyAlignment="1">
      <alignment horizontal="center" vertical="center" wrapText="1"/>
    </xf>
    <xf numFmtId="49" fontId="141" fillId="0" borderId="0" xfId="985" applyNumberFormat="1" applyFont="1" applyAlignment="1">
      <alignment horizontal="center" vertical="center" wrapText="1"/>
    </xf>
    <xf numFmtId="49" fontId="139" fillId="0" borderId="0" xfId="985" applyNumberFormat="1" applyFont="1" applyAlignment="1">
      <alignment horizontal="left" vertical="center" wrapText="1"/>
    </xf>
    <xf numFmtId="49" fontId="98" fillId="0" borderId="0" xfId="985" applyNumberFormat="1" applyFont="1" applyAlignment="1">
      <alignment horizontal="left" vertical="center" wrapText="1"/>
    </xf>
    <xf numFmtId="0" fontId="142" fillId="0" borderId="0" xfId="985" applyFont="1" applyAlignment="1">
      <alignment horizontal="center"/>
    </xf>
    <xf numFmtId="2" fontId="144" fillId="0" borderId="0" xfId="985" applyNumberFormat="1" applyFont="1" applyAlignment="1">
      <alignment horizontal="center" vertical="center"/>
    </xf>
    <xf numFmtId="0" fontId="144" fillId="0" borderId="0" xfId="985" applyFont="1" applyAlignment="1">
      <alignment horizontal="left" vertical="center"/>
    </xf>
    <xf numFmtId="0" fontId="130" fillId="0" borderId="1" xfId="984" applyFont="1" applyBorder="1" applyAlignment="1">
      <alignment horizontal="center" vertical="center" wrapText="1"/>
    </xf>
    <xf numFmtId="0" fontId="130" fillId="0" borderId="1" xfId="984" applyFont="1" applyBorder="1" applyAlignment="1">
      <alignment horizontal="center" vertical="center"/>
    </xf>
    <xf numFmtId="49" fontId="130" fillId="0" borderId="1" xfId="984" applyNumberFormat="1" applyFont="1" applyBorder="1" applyAlignment="1">
      <alignment horizontal="center" vertical="center" wrapText="1"/>
    </xf>
    <xf numFmtId="0" fontId="130" fillId="0" borderId="25" xfId="984" applyFont="1" applyBorder="1" applyAlignment="1">
      <alignment horizontal="center" vertical="center"/>
    </xf>
    <xf numFmtId="0" fontId="130" fillId="0" borderId="24" xfId="984" applyFont="1" applyBorder="1" applyAlignment="1">
      <alignment horizontal="center" vertical="center"/>
    </xf>
    <xf numFmtId="0" fontId="130" fillId="0" borderId="26" xfId="984" applyFont="1" applyBorder="1" applyAlignment="1">
      <alignment horizontal="center" vertical="center"/>
    </xf>
    <xf numFmtId="0" fontId="26" fillId="0" borderId="2" xfId="1" applyFont="1" applyBorder="1" applyAlignment="1">
      <alignment horizontal="right" vertical="center" wrapText="1"/>
    </xf>
    <xf numFmtId="0" fontId="26" fillId="0" borderId="4" xfId="1" applyFont="1" applyBorder="1" applyAlignment="1">
      <alignment horizontal="right" vertical="center" wrapText="1"/>
    </xf>
    <xf numFmtId="0" fontId="127" fillId="0" borderId="25" xfId="0" applyFont="1" applyBorder="1" applyAlignment="1">
      <alignment horizontal="left" vertical="center" wrapText="1"/>
    </xf>
    <xf numFmtId="0" fontId="127" fillId="0" borderId="24" xfId="0" applyFont="1" applyBorder="1" applyAlignment="1">
      <alignment horizontal="left" vertical="center" wrapText="1"/>
    </xf>
    <xf numFmtId="0" fontId="127" fillId="0" borderId="26" xfId="0" applyFont="1" applyBorder="1" applyAlignment="1">
      <alignment horizontal="left" vertical="center" wrapText="1"/>
    </xf>
    <xf numFmtId="0" fontId="26" fillId="0" borderId="25" xfId="1" applyFont="1" applyBorder="1" applyAlignment="1">
      <alignment horizontal="left" vertical="center" wrapText="1"/>
    </xf>
    <xf numFmtId="0" fontId="26" fillId="0" borderId="24" xfId="1" applyFont="1" applyBorder="1" applyAlignment="1">
      <alignment horizontal="left" vertical="center" wrapText="1"/>
    </xf>
    <xf numFmtId="0" fontId="26" fillId="0" borderId="26" xfId="1" applyFont="1" applyBorder="1" applyAlignment="1">
      <alignment horizontal="left" vertical="center" wrapText="1"/>
    </xf>
    <xf numFmtId="49" fontId="63" fillId="0" borderId="25" xfId="1" applyNumberFormat="1" applyFont="1" applyBorder="1" applyAlignment="1">
      <alignment horizontal="center" vertical="center" wrapText="1"/>
    </xf>
    <xf numFmtId="49" fontId="63" fillId="0" borderId="24" xfId="1" applyNumberFormat="1" applyFont="1" applyBorder="1" applyAlignment="1">
      <alignment horizontal="center" vertical="center" wrapText="1"/>
    </xf>
    <xf numFmtId="49" fontId="63" fillId="0" borderId="26" xfId="1" applyNumberFormat="1" applyFont="1" applyBorder="1" applyAlignment="1">
      <alignment horizontal="center" vertical="center" wrapText="1"/>
    </xf>
    <xf numFmtId="49" fontId="63" fillId="0" borderId="2" xfId="1" applyNumberFormat="1" applyFont="1" applyBorder="1" applyAlignment="1">
      <alignment horizontal="center" vertical="center" wrapText="1"/>
    </xf>
    <xf numFmtId="0" fontId="63" fillId="0" borderId="3" xfId="1" applyFont="1" applyBorder="1" applyAlignment="1">
      <alignment horizontal="center" vertical="center" wrapText="1"/>
    </xf>
    <xf numFmtId="0" fontId="63" fillId="0" borderId="4" xfId="1" applyFont="1" applyBorder="1" applyAlignment="1">
      <alignment horizontal="center" vertical="center" wrapText="1"/>
    </xf>
    <xf numFmtId="0" fontId="63" fillId="0" borderId="1" xfId="1" applyFont="1" applyBorder="1" applyAlignment="1">
      <alignment horizontal="center" vertical="center" wrapText="1"/>
    </xf>
    <xf numFmtId="0" fontId="72" fillId="0" borderId="27" xfId="0" applyFont="1" applyBorder="1" applyAlignment="1">
      <alignment horizontal="left" vertical="center" wrapText="1"/>
    </xf>
    <xf numFmtId="0" fontId="66" fillId="0" borderId="27" xfId="1" applyFont="1" applyBorder="1" applyAlignment="1">
      <alignment horizontal="right" vertical="center" wrapText="1"/>
    </xf>
    <xf numFmtId="0" fontId="66" fillId="0" borderId="27" xfId="1" applyFont="1" applyBorder="1" applyAlignment="1">
      <alignment horizontal="center" vertical="center" wrapText="1"/>
    </xf>
    <xf numFmtId="0" fontId="72" fillId="0" borderId="25" xfId="0" applyFont="1" applyBorder="1" applyAlignment="1">
      <alignment horizontal="left" vertical="center" wrapText="1"/>
    </xf>
    <xf numFmtId="0" fontId="72" fillId="0" borderId="24" xfId="0" applyFont="1" applyBorder="1" applyAlignment="1">
      <alignment horizontal="left" vertical="center" wrapText="1"/>
    </xf>
    <xf numFmtId="0" fontId="72" fillId="0" borderId="26" xfId="0" applyFont="1" applyBorder="1" applyAlignment="1">
      <alignment horizontal="left" vertical="center" wrapText="1"/>
    </xf>
    <xf numFmtId="0" fontId="66" fillId="0" borderId="25" xfId="1335" applyNumberFormat="1" applyFont="1" applyBorder="1" applyAlignment="1">
      <alignment horizontal="left" vertical="center" wrapText="1"/>
    </xf>
    <xf numFmtId="0" fontId="66" fillId="0" borderId="24" xfId="1335" applyNumberFormat="1" applyFont="1" applyBorder="1" applyAlignment="1">
      <alignment horizontal="left" vertical="center" wrapText="1"/>
    </xf>
    <xf numFmtId="0" fontId="66" fillId="0" borderId="26" xfId="1335" applyNumberFormat="1" applyFont="1" applyBorder="1" applyAlignment="1">
      <alignment horizontal="left" vertical="center" wrapText="1"/>
    </xf>
    <xf numFmtId="0" fontId="72" fillId="0" borderId="27" xfId="0" applyFont="1" applyBorder="1" applyAlignment="1">
      <alignment vertical="top" wrapText="1"/>
    </xf>
    <xf numFmtId="0" fontId="43" fillId="39" borderId="25" xfId="2" applyFont="1" applyFill="1" applyBorder="1" applyAlignment="1" applyProtection="1">
      <alignment horizontal="left" vertical="center" wrapText="1"/>
      <protection hidden="1"/>
    </xf>
    <xf numFmtId="0" fontId="43" fillId="39" borderId="24" xfId="2" applyFont="1" applyFill="1" applyBorder="1" applyAlignment="1" applyProtection="1">
      <alignment horizontal="left" vertical="center" wrapText="1"/>
      <protection hidden="1"/>
    </xf>
    <xf numFmtId="0" fontId="43" fillId="39" borderId="26" xfId="2" applyFont="1" applyFill="1" applyBorder="1" applyAlignment="1" applyProtection="1">
      <alignment horizontal="left" vertical="center" wrapText="1"/>
      <protection hidden="1"/>
    </xf>
    <xf numFmtId="0" fontId="66" fillId="0" borderId="27" xfId="1219" applyFont="1" applyBorder="1" applyAlignment="1" applyProtection="1">
      <alignment horizontal="center" vertical="center"/>
      <protection hidden="1"/>
    </xf>
    <xf numFmtId="0" fontId="66" fillId="0" borderId="25" xfId="1219" applyFont="1" applyBorder="1" applyAlignment="1" applyProtection="1">
      <alignment horizontal="left" vertical="center" wrapText="1"/>
      <protection hidden="1"/>
    </xf>
    <xf numFmtId="0" fontId="66" fillId="0" borderId="26" xfId="1219" applyFont="1" applyBorder="1" applyAlignment="1" applyProtection="1">
      <alignment horizontal="left" vertical="center" wrapText="1"/>
      <protection hidden="1"/>
    </xf>
    <xf numFmtId="0" fontId="65" fillId="0" borderId="25" xfId="984" applyFont="1" applyBorder="1" applyAlignment="1">
      <alignment horizontal="center" vertical="center" wrapText="1"/>
    </xf>
    <xf numFmtId="0" fontId="65" fillId="0" borderId="24" xfId="984" applyFont="1" applyBorder="1" applyAlignment="1">
      <alignment horizontal="center" vertical="center" wrapText="1"/>
    </xf>
    <xf numFmtId="0" fontId="65" fillId="0" borderId="26" xfId="984" applyFont="1" applyBorder="1" applyAlignment="1">
      <alignment horizontal="center" vertical="center" wrapText="1"/>
    </xf>
    <xf numFmtId="49" fontId="43" fillId="0" borderId="27" xfId="984" applyNumberFormat="1" applyFont="1" applyBorder="1" applyAlignment="1">
      <alignment horizontal="center" vertical="center" wrapText="1" shrinkToFit="1"/>
    </xf>
    <xf numFmtId="0" fontId="65" fillId="0" borderId="27" xfId="984" applyFont="1" applyBorder="1" applyAlignment="1">
      <alignment horizontal="center" vertical="center" wrapText="1"/>
    </xf>
    <xf numFmtId="0" fontId="75" fillId="0" borderId="27" xfId="0" applyFont="1" applyBorder="1" applyAlignment="1">
      <alignment horizontal="center" vertical="center" wrapText="1"/>
    </xf>
    <xf numFmtId="0" fontId="43" fillId="0" borderId="27" xfId="0" applyFont="1" applyBorder="1" applyAlignment="1" applyProtection="1">
      <alignment horizontal="left" vertical="top"/>
      <protection hidden="1"/>
    </xf>
    <xf numFmtId="0" fontId="72" fillId="0" borderId="25" xfId="0" applyFont="1" applyBorder="1" applyAlignment="1">
      <alignment horizontal="left" vertical="top" wrapText="1"/>
    </xf>
    <xf numFmtId="0" fontId="72" fillId="0" borderId="26" xfId="0" applyFont="1" applyBorder="1" applyAlignment="1">
      <alignment horizontal="left" vertical="top" wrapText="1"/>
    </xf>
    <xf numFmtId="0" fontId="66" fillId="0" borderId="25" xfId="1373" applyFont="1" applyBorder="1" applyAlignment="1">
      <alignment horizontal="center" vertical="center"/>
    </xf>
    <xf numFmtId="0" fontId="66" fillId="0" borderId="24" xfId="1373" applyFont="1" applyBorder="1" applyAlignment="1">
      <alignment horizontal="center" vertical="center"/>
    </xf>
    <xf numFmtId="0" fontId="66" fillId="0" borderId="26" xfId="1373" applyFont="1" applyBorder="1" applyAlignment="1">
      <alignment horizontal="center" vertical="center"/>
    </xf>
    <xf numFmtId="0" fontId="66" fillId="0" borderId="25" xfId="1373" applyFont="1" applyBorder="1" applyAlignment="1">
      <alignment horizontal="center"/>
    </xf>
    <xf numFmtId="0" fontId="66" fillId="0" borderId="24" xfId="1373" applyFont="1" applyBorder="1" applyAlignment="1">
      <alignment horizontal="center"/>
    </xf>
    <xf numFmtId="0" fontId="66" fillId="0" borderId="26" xfId="1373" applyFont="1" applyBorder="1" applyAlignment="1">
      <alignment horizontal="center"/>
    </xf>
    <xf numFmtId="49" fontId="75" fillId="0" borderId="0" xfId="984" applyNumberFormat="1" applyFont="1" applyAlignment="1">
      <alignment horizontal="center" vertical="center" wrapText="1"/>
    </xf>
    <xf numFmtId="0" fontId="72" fillId="0" borderId="0" xfId="2" applyFont="1" applyAlignment="1">
      <alignment horizontal="center" vertical="justify"/>
    </xf>
    <xf numFmtId="0" fontId="72" fillId="0" borderId="0" xfId="2" applyFont="1" applyAlignment="1">
      <alignment horizontal="center"/>
    </xf>
    <xf numFmtId="0" fontId="72" fillId="0" borderId="0" xfId="2" applyFont="1" applyAlignment="1">
      <alignment horizontal="left"/>
    </xf>
    <xf numFmtId="0" fontId="72" fillId="0" borderId="0" xfId="2" applyFont="1" applyAlignment="1">
      <alignment horizontal="center" vertical="center" wrapText="1"/>
    </xf>
    <xf numFmtId="0" fontId="72" fillId="0" borderId="0" xfId="2" applyFont="1" applyAlignment="1">
      <alignment horizontal="right"/>
    </xf>
    <xf numFmtId="0" fontId="72" fillId="0" borderId="0" xfId="2" applyFont="1" applyAlignment="1">
      <alignment horizontal="center" wrapText="1"/>
    </xf>
    <xf numFmtId="0" fontId="77" fillId="0" borderId="0" xfId="747" applyFont="1" applyAlignment="1">
      <alignment horizontal="left" vertical="center" wrapText="1"/>
    </xf>
    <xf numFmtId="0" fontId="63" fillId="0" borderId="0" xfId="747" applyFont="1" applyAlignment="1">
      <alignment horizontal="center" vertical="center" wrapText="1"/>
    </xf>
    <xf numFmtId="0" fontId="63" fillId="0" borderId="2" xfId="747" applyFont="1" applyBorder="1" applyAlignment="1">
      <alignment horizontal="center" vertical="center" wrapText="1"/>
    </xf>
    <xf numFmtId="0" fontId="63" fillId="0" borderId="4" xfId="747" applyFont="1" applyBorder="1" applyAlignment="1">
      <alignment horizontal="center" vertical="center" wrapText="1"/>
    </xf>
    <xf numFmtId="0" fontId="26" fillId="0" borderId="2" xfId="747" applyFont="1" applyBorder="1" applyAlignment="1">
      <alignment horizontal="center" vertical="center" wrapText="1"/>
    </xf>
    <xf numFmtId="0" fontId="26" fillId="0" borderId="3" xfId="747" applyFont="1" applyBorder="1" applyAlignment="1">
      <alignment horizontal="center" vertical="center" wrapText="1"/>
    </xf>
    <xf numFmtId="0" fontId="26" fillId="0" borderId="4" xfId="747" applyFont="1" applyBorder="1" applyAlignment="1">
      <alignment horizontal="center" vertical="center" wrapText="1"/>
    </xf>
    <xf numFmtId="49" fontId="75" fillId="0" borderId="5" xfId="984" applyNumberFormat="1" applyFont="1" applyBorder="1" applyAlignment="1">
      <alignment horizontal="center" vertical="center" wrapText="1"/>
    </xf>
    <xf numFmtId="0" fontId="26" fillId="0" borderId="27" xfId="987" applyFont="1" applyBorder="1" applyAlignment="1">
      <alignment horizontal="center" vertical="center" wrapText="1"/>
    </xf>
    <xf numFmtId="0" fontId="130" fillId="0" borderId="27" xfId="987" applyFont="1" applyBorder="1" applyAlignment="1">
      <alignment horizontal="center" vertical="center" wrapText="1"/>
    </xf>
    <xf numFmtId="9" fontId="63" fillId="0" borderId="2" xfId="1" applyNumberFormat="1" applyFont="1" applyBorder="1" applyAlignment="1">
      <alignment horizontal="center" vertical="center"/>
    </xf>
    <xf numFmtId="9" fontId="63" fillId="0" borderId="4" xfId="1" applyNumberFormat="1" applyFont="1" applyBorder="1" applyAlignment="1">
      <alignment horizontal="center" vertical="center"/>
    </xf>
    <xf numFmtId="0" fontId="63" fillId="0" borderId="1" xfId="987" applyFont="1" applyBorder="1" applyAlignment="1">
      <alignment horizontal="center" vertical="center" wrapText="1"/>
    </xf>
    <xf numFmtId="0" fontId="26" fillId="0" borderId="1" xfId="987" applyFont="1" applyBorder="1" applyAlignment="1">
      <alignment horizontal="center" vertical="center" wrapText="1"/>
    </xf>
    <xf numFmtId="0" fontId="63" fillId="0" borderId="25" xfId="987" applyFont="1" applyBorder="1" applyAlignment="1">
      <alignment horizontal="center" vertical="center" wrapText="1"/>
    </xf>
    <xf numFmtId="0" fontId="63" fillId="0" borderId="24" xfId="987" applyFont="1" applyBorder="1" applyAlignment="1">
      <alignment horizontal="center" vertical="center" wrapText="1"/>
    </xf>
    <xf numFmtId="0" fontId="63" fillId="0" borderId="26" xfId="987" applyFont="1" applyBorder="1" applyAlignment="1">
      <alignment horizontal="center" vertical="center" wrapText="1"/>
    </xf>
  </cellXfs>
  <cellStyles count="1426">
    <cellStyle name="20% - Accent1 10 2" xfId="26" xr:uid="{00000000-0005-0000-0000-000000000000}"/>
    <cellStyle name="20% - Accent1 11 2" xfId="27" xr:uid="{00000000-0005-0000-0000-000001000000}"/>
    <cellStyle name="20% - Accent1 12 2" xfId="28" xr:uid="{00000000-0005-0000-0000-000002000000}"/>
    <cellStyle name="20% - Accent1 13 2" xfId="29" xr:uid="{00000000-0005-0000-0000-000003000000}"/>
    <cellStyle name="20% - Accent1 14 2" xfId="30" xr:uid="{00000000-0005-0000-0000-000004000000}"/>
    <cellStyle name="20% - Accent1 15 2" xfId="31" xr:uid="{00000000-0005-0000-0000-000005000000}"/>
    <cellStyle name="20% - Accent1 16 2" xfId="32" xr:uid="{00000000-0005-0000-0000-000006000000}"/>
    <cellStyle name="20% - Accent1 17 2" xfId="33" xr:uid="{00000000-0005-0000-0000-000007000000}"/>
    <cellStyle name="20% - Accent1 18 2" xfId="34" xr:uid="{00000000-0005-0000-0000-000008000000}"/>
    <cellStyle name="20% - Accent1 19 2" xfId="35" xr:uid="{00000000-0005-0000-0000-000009000000}"/>
    <cellStyle name="20% - Accent1 2" xfId="850" xr:uid="{00000000-0005-0000-0000-00000A000000}"/>
    <cellStyle name="20% - Accent1 2 2" xfId="36" xr:uid="{00000000-0005-0000-0000-00000B000000}"/>
    <cellStyle name="20% - Accent1 20 2" xfId="37" xr:uid="{00000000-0005-0000-0000-00000C000000}"/>
    <cellStyle name="20% - Accent1 21 2" xfId="38" xr:uid="{00000000-0005-0000-0000-00000D000000}"/>
    <cellStyle name="20% - Accent1 3 2" xfId="39" xr:uid="{00000000-0005-0000-0000-00000E000000}"/>
    <cellStyle name="20% - Accent1 4 2" xfId="40" xr:uid="{00000000-0005-0000-0000-00000F000000}"/>
    <cellStyle name="20% - Accent1 5 2" xfId="41" xr:uid="{00000000-0005-0000-0000-000010000000}"/>
    <cellStyle name="20% - Accent1 6 2" xfId="42" xr:uid="{00000000-0005-0000-0000-000011000000}"/>
    <cellStyle name="20% - Accent1 7 2" xfId="43" xr:uid="{00000000-0005-0000-0000-000012000000}"/>
    <cellStyle name="20% - Accent1 8 2" xfId="44" xr:uid="{00000000-0005-0000-0000-000013000000}"/>
    <cellStyle name="20% - Accent1 9 2" xfId="45" xr:uid="{00000000-0005-0000-0000-000014000000}"/>
    <cellStyle name="20% - Accent2 10 2" xfId="46" xr:uid="{00000000-0005-0000-0000-000015000000}"/>
    <cellStyle name="20% - Accent2 11 2" xfId="47" xr:uid="{00000000-0005-0000-0000-000016000000}"/>
    <cellStyle name="20% - Accent2 12 2" xfId="48" xr:uid="{00000000-0005-0000-0000-000017000000}"/>
    <cellStyle name="20% - Accent2 13 2" xfId="49" xr:uid="{00000000-0005-0000-0000-000018000000}"/>
    <cellStyle name="20% - Accent2 14 2" xfId="50" xr:uid="{00000000-0005-0000-0000-000019000000}"/>
    <cellStyle name="20% - Accent2 15 2" xfId="51" xr:uid="{00000000-0005-0000-0000-00001A000000}"/>
    <cellStyle name="20% - Accent2 16 2" xfId="52" xr:uid="{00000000-0005-0000-0000-00001B000000}"/>
    <cellStyle name="20% - Accent2 17 2" xfId="53" xr:uid="{00000000-0005-0000-0000-00001C000000}"/>
    <cellStyle name="20% - Accent2 18 2" xfId="54" xr:uid="{00000000-0005-0000-0000-00001D000000}"/>
    <cellStyle name="20% - Accent2 19 2" xfId="55" xr:uid="{00000000-0005-0000-0000-00001E000000}"/>
    <cellStyle name="20% - Accent2 2" xfId="851" xr:uid="{00000000-0005-0000-0000-00001F000000}"/>
    <cellStyle name="20% - Accent2 2 2" xfId="56" xr:uid="{00000000-0005-0000-0000-000020000000}"/>
    <cellStyle name="20% - Accent2 20 2" xfId="57" xr:uid="{00000000-0005-0000-0000-000021000000}"/>
    <cellStyle name="20% - Accent2 21 2" xfId="58" xr:uid="{00000000-0005-0000-0000-000022000000}"/>
    <cellStyle name="20% - Accent2 3 2" xfId="59" xr:uid="{00000000-0005-0000-0000-000023000000}"/>
    <cellStyle name="20% - Accent2 4 2" xfId="60" xr:uid="{00000000-0005-0000-0000-000024000000}"/>
    <cellStyle name="20% - Accent2 5 2" xfId="61" xr:uid="{00000000-0005-0000-0000-000025000000}"/>
    <cellStyle name="20% - Accent2 6 2" xfId="62" xr:uid="{00000000-0005-0000-0000-000026000000}"/>
    <cellStyle name="20% - Accent2 7 2" xfId="63" xr:uid="{00000000-0005-0000-0000-000027000000}"/>
    <cellStyle name="20% - Accent2 8 2" xfId="64" xr:uid="{00000000-0005-0000-0000-000028000000}"/>
    <cellStyle name="20% - Accent2 9 2" xfId="65" xr:uid="{00000000-0005-0000-0000-000029000000}"/>
    <cellStyle name="20% - Accent3 10 2" xfId="66" xr:uid="{00000000-0005-0000-0000-00002A000000}"/>
    <cellStyle name="20% - Accent3 11 2" xfId="67" xr:uid="{00000000-0005-0000-0000-00002B000000}"/>
    <cellStyle name="20% - Accent3 12 2" xfId="68" xr:uid="{00000000-0005-0000-0000-00002C000000}"/>
    <cellStyle name="20% - Accent3 13 2" xfId="69" xr:uid="{00000000-0005-0000-0000-00002D000000}"/>
    <cellStyle name="20% - Accent3 14 2" xfId="70" xr:uid="{00000000-0005-0000-0000-00002E000000}"/>
    <cellStyle name="20% - Accent3 15 2" xfId="71" xr:uid="{00000000-0005-0000-0000-00002F000000}"/>
    <cellStyle name="20% - Accent3 16 2" xfId="72" xr:uid="{00000000-0005-0000-0000-000030000000}"/>
    <cellStyle name="20% - Accent3 17 2" xfId="73" xr:uid="{00000000-0005-0000-0000-000031000000}"/>
    <cellStyle name="20% - Accent3 18 2" xfId="74" xr:uid="{00000000-0005-0000-0000-000032000000}"/>
    <cellStyle name="20% - Accent3 19 2" xfId="75" xr:uid="{00000000-0005-0000-0000-000033000000}"/>
    <cellStyle name="20% - Accent3 2" xfId="852" xr:uid="{00000000-0005-0000-0000-000034000000}"/>
    <cellStyle name="20% - Accent3 2 2" xfId="76" xr:uid="{00000000-0005-0000-0000-000035000000}"/>
    <cellStyle name="20% - Accent3 20 2" xfId="77" xr:uid="{00000000-0005-0000-0000-000036000000}"/>
    <cellStyle name="20% - Accent3 21 2" xfId="78" xr:uid="{00000000-0005-0000-0000-000037000000}"/>
    <cellStyle name="20% - Accent3 3 2" xfId="79" xr:uid="{00000000-0005-0000-0000-000038000000}"/>
    <cellStyle name="20% - Accent3 4 2" xfId="80" xr:uid="{00000000-0005-0000-0000-000039000000}"/>
    <cellStyle name="20% - Accent3 5 2" xfId="81" xr:uid="{00000000-0005-0000-0000-00003A000000}"/>
    <cellStyle name="20% - Accent3 6 2" xfId="82" xr:uid="{00000000-0005-0000-0000-00003B000000}"/>
    <cellStyle name="20% - Accent3 7 2" xfId="83" xr:uid="{00000000-0005-0000-0000-00003C000000}"/>
    <cellStyle name="20% - Accent3 8 2" xfId="84" xr:uid="{00000000-0005-0000-0000-00003D000000}"/>
    <cellStyle name="20% - Accent3 9 2" xfId="85" xr:uid="{00000000-0005-0000-0000-00003E000000}"/>
    <cellStyle name="20% - Accent4 10 2" xfId="86" xr:uid="{00000000-0005-0000-0000-00003F000000}"/>
    <cellStyle name="20% - Accent4 11 2" xfId="87" xr:uid="{00000000-0005-0000-0000-000040000000}"/>
    <cellStyle name="20% - Accent4 12 2" xfId="88" xr:uid="{00000000-0005-0000-0000-000041000000}"/>
    <cellStyle name="20% - Accent4 13 2" xfId="89" xr:uid="{00000000-0005-0000-0000-000042000000}"/>
    <cellStyle name="20% - Accent4 14 2" xfId="90" xr:uid="{00000000-0005-0000-0000-000043000000}"/>
    <cellStyle name="20% - Accent4 15 2" xfId="91" xr:uid="{00000000-0005-0000-0000-000044000000}"/>
    <cellStyle name="20% - Accent4 16 2" xfId="92" xr:uid="{00000000-0005-0000-0000-000045000000}"/>
    <cellStyle name="20% - Accent4 17 2" xfId="93" xr:uid="{00000000-0005-0000-0000-000046000000}"/>
    <cellStyle name="20% - Accent4 18 2" xfId="94" xr:uid="{00000000-0005-0000-0000-000047000000}"/>
    <cellStyle name="20% - Accent4 19 2" xfId="95" xr:uid="{00000000-0005-0000-0000-000048000000}"/>
    <cellStyle name="20% - Accent4 2" xfId="853" xr:uid="{00000000-0005-0000-0000-000049000000}"/>
    <cellStyle name="20% - Accent4 2 2" xfId="96" xr:uid="{00000000-0005-0000-0000-00004A000000}"/>
    <cellStyle name="20% - Accent4 20 2" xfId="97" xr:uid="{00000000-0005-0000-0000-00004B000000}"/>
    <cellStyle name="20% - Accent4 21 2" xfId="98" xr:uid="{00000000-0005-0000-0000-00004C000000}"/>
    <cellStyle name="20% - Accent4 3 2" xfId="99" xr:uid="{00000000-0005-0000-0000-00004D000000}"/>
    <cellStyle name="20% - Accent4 4 2" xfId="100" xr:uid="{00000000-0005-0000-0000-00004E000000}"/>
    <cellStyle name="20% - Accent4 5 2" xfId="101" xr:uid="{00000000-0005-0000-0000-00004F000000}"/>
    <cellStyle name="20% - Accent4 6 2" xfId="102" xr:uid="{00000000-0005-0000-0000-000050000000}"/>
    <cellStyle name="20% - Accent4 7 2" xfId="103" xr:uid="{00000000-0005-0000-0000-000051000000}"/>
    <cellStyle name="20% - Accent4 8 2" xfId="104" xr:uid="{00000000-0005-0000-0000-000052000000}"/>
    <cellStyle name="20% - Accent4 9 2" xfId="105" xr:uid="{00000000-0005-0000-0000-000053000000}"/>
    <cellStyle name="20% - Accent5 10 2" xfId="106" xr:uid="{00000000-0005-0000-0000-000054000000}"/>
    <cellStyle name="20% - Accent5 11 2" xfId="107" xr:uid="{00000000-0005-0000-0000-000055000000}"/>
    <cellStyle name="20% - Accent5 12 2" xfId="108" xr:uid="{00000000-0005-0000-0000-000056000000}"/>
    <cellStyle name="20% - Accent5 13 2" xfId="109" xr:uid="{00000000-0005-0000-0000-000057000000}"/>
    <cellStyle name="20% - Accent5 14 2" xfId="110" xr:uid="{00000000-0005-0000-0000-000058000000}"/>
    <cellStyle name="20% - Accent5 15 2" xfId="111" xr:uid="{00000000-0005-0000-0000-000059000000}"/>
    <cellStyle name="20% - Accent5 16 2" xfId="112" xr:uid="{00000000-0005-0000-0000-00005A000000}"/>
    <cellStyle name="20% - Accent5 17 2" xfId="113" xr:uid="{00000000-0005-0000-0000-00005B000000}"/>
    <cellStyle name="20% - Accent5 18 2" xfId="114" xr:uid="{00000000-0005-0000-0000-00005C000000}"/>
    <cellStyle name="20% - Accent5 19 2" xfId="115" xr:uid="{00000000-0005-0000-0000-00005D000000}"/>
    <cellStyle name="20% - Accent5 2" xfId="854" xr:uid="{00000000-0005-0000-0000-00005E000000}"/>
    <cellStyle name="20% - Accent5 2 2" xfId="116" xr:uid="{00000000-0005-0000-0000-00005F000000}"/>
    <cellStyle name="20% - Accent5 20 2" xfId="117" xr:uid="{00000000-0005-0000-0000-000060000000}"/>
    <cellStyle name="20% - Accent5 21 2" xfId="118" xr:uid="{00000000-0005-0000-0000-000061000000}"/>
    <cellStyle name="20% - Accent5 3 2" xfId="119" xr:uid="{00000000-0005-0000-0000-000062000000}"/>
    <cellStyle name="20% - Accent5 4 2" xfId="120" xr:uid="{00000000-0005-0000-0000-000063000000}"/>
    <cellStyle name="20% - Accent5 5 2" xfId="121" xr:uid="{00000000-0005-0000-0000-000064000000}"/>
    <cellStyle name="20% - Accent5 6 2" xfId="122" xr:uid="{00000000-0005-0000-0000-000065000000}"/>
    <cellStyle name="20% - Accent5 7 2" xfId="123" xr:uid="{00000000-0005-0000-0000-000066000000}"/>
    <cellStyle name="20% - Accent5 8 2" xfId="124" xr:uid="{00000000-0005-0000-0000-000067000000}"/>
    <cellStyle name="20% - Accent5 9 2" xfId="125" xr:uid="{00000000-0005-0000-0000-000068000000}"/>
    <cellStyle name="20% - Accent6 10 2" xfId="126" xr:uid="{00000000-0005-0000-0000-000069000000}"/>
    <cellStyle name="20% - Accent6 11 2" xfId="127" xr:uid="{00000000-0005-0000-0000-00006A000000}"/>
    <cellStyle name="20% - Accent6 12 2" xfId="128" xr:uid="{00000000-0005-0000-0000-00006B000000}"/>
    <cellStyle name="20% - Accent6 13 2" xfId="129" xr:uid="{00000000-0005-0000-0000-00006C000000}"/>
    <cellStyle name="20% - Accent6 14 2" xfId="130" xr:uid="{00000000-0005-0000-0000-00006D000000}"/>
    <cellStyle name="20% - Accent6 15 2" xfId="131" xr:uid="{00000000-0005-0000-0000-00006E000000}"/>
    <cellStyle name="20% - Accent6 16 2" xfId="132" xr:uid="{00000000-0005-0000-0000-00006F000000}"/>
    <cellStyle name="20% - Accent6 17 2" xfId="133" xr:uid="{00000000-0005-0000-0000-000070000000}"/>
    <cellStyle name="20% - Accent6 18 2" xfId="134" xr:uid="{00000000-0005-0000-0000-000071000000}"/>
    <cellStyle name="20% - Accent6 19 2" xfId="135" xr:uid="{00000000-0005-0000-0000-000072000000}"/>
    <cellStyle name="20% - Accent6 2" xfId="855" xr:uid="{00000000-0005-0000-0000-000073000000}"/>
    <cellStyle name="20% - Accent6 2 2" xfId="136" xr:uid="{00000000-0005-0000-0000-000074000000}"/>
    <cellStyle name="20% - Accent6 20 2" xfId="137" xr:uid="{00000000-0005-0000-0000-000075000000}"/>
    <cellStyle name="20% - Accent6 21 2" xfId="138" xr:uid="{00000000-0005-0000-0000-000076000000}"/>
    <cellStyle name="20% - Accent6 3 2" xfId="139" xr:uid="{00000000-0005-0000-0000-000077000000}"/>
    <cellStyle name="20% - Accent6 4 2" xfId="140" xr:uid="{00000000-0005-0000-0000-000078000000}"/>
    <cellStyle name="20% - Accent6 5 2" xfId="141" xr:uid="{00000000-0005-0000-0000-000079000000}"/>
    <cellStyle name="20% - Accent6 6 2" xfId="142" xr:uid="{00000000-0005-0000-0000-00007A000000}"/>
    <cellStyle name="20% - Accent6 7 2" xfId="143" xr:uid="{00000000-0005-0000-0000-00007B000000}"/>
    <cellStyle name="20% - Accent6 8 2" xfId="144" xr:uid="{00000000-0005-0000-0000-00007C000000}"/>
    <cellStyle name="20% - Accent6 9 2" xfId="145" xr:uid="{00000000-0005-0000-0000-00007D000000}"/>
    <cellStyle name="40% - Accent1 10 2" xfId="146" xr:uid="{00000000-0005-0000-0000-00007E000000}"/>
    <cellStyle name="40% - Accent1 11 2" xfId="147" xr:uid="{00000000-0005-0000-0000-00007F000000}"/>
    <cellStyle name="40% - Accent1 12 2" xfId="148" xr:uid="{00000000-0005-0000-0000-000080000000}"/>
    <cellStyle name="40% - Accent1 13 2" xfId="149" xr:uid="{00000000-0005-0000-0000-000081000000}"/>
    <cellStyle name="40% - Accent1 14 2" xfId="150" xr:uid="{00000000-0005-0000-0000-000082000000}"/>
    <cellStyle name="40% - Accent1 15 2" xfId="151" xr:uid="{00000000-0005-0000-0000-000083000000}"/>
    <cellStyle name="40% - Accent1 16 2" xfId="152" xr:uid="{00000000-0005-0000-0000-000084000000}"/>
    <cellStyle name="40% - Accent1 17 2" xfId="153" xr:uid="{00000000-0005-0000-0000-000085000000}"/>
    <cellStyle name="40% - Accent1 18 2" xfId="154" xr:uid="{00000000-0005-0000-0000-000086000000}"/>
    <cellStyle name="40% - Accent1 19 2" xfId="155" xr:uid="{00000000-0005-0000-0000-000087000000}"/>
    <cellStyle name="40% - Accent1 2" xfId="856" xr:uid="{00000000-0005-0000-0000-000088000000}"/>
    <cellStyle name="40% - Accent1 2 2" xfId="156" xr:uid="{00000000-0005-0000-0000-000089000000}"/>
    <cellStyle name="40% - Accent1 20 2" xfId="157" xr:uid="{00000000-0005-0000-0000-00008A000000}"/>
    <cellStyle name="40% - Accent1 21 2" xfId="158" xr:uid="{00000000-0005-0000-0000-00008B000000}"/>
    <cellStyle name="40% - Accent1 3 2" xfId="159" xr:uid="{00000000-0005-0000-0000-00008C000000}"/>
    <cellStyle name="40% - Accent1 4 2" xfId="160" xr:uid="{00000000-0005-0000-0000-00008D000000}"/>
    <cellStyle name="40% - Accent1 5 2" xfId="161" xr:uid="{00000000-0005-0000-0000-00008E000000}"/>
    <cellStyle name="40% - Accent1 6 2" xfId="162" xr:uid="{00000000-0005-0000-0000-00008F000000}"/>
    <cellStyle name="40% - Accent1 7 2" xfId="163" xr:uid="{00000000-0005-0000-0000-000090000000}"/>
    <cellStyle name="40% - Accent1 8 2" xfId="164" xr:uid="{00000000-0005-0000-0000-000091000000}"/>
    <cellStyle name="40% - Accent1 9 2" xfId="165" xr:uid="{00000000-0005-0000-0000-000092000000}"/>
    <cellStyle name="40% - Accent2 10 2" xfId="166" xr:uid="{00000000-0005-0000-0000-000093000000}"/>
    <cellStyle name="40% - Accent2 11 2" xfId="167" xr:uid="{00000000-0005-0000-0000-000094000000}"/>
    <cellStyle name="40% - Accent2 12 2" xfId="168" xr:uid="{00000000-0005-0000-0000-000095000000}"/>
    <cellStyle name="40% - Accent2 13 2" xfId="169" xr:uid="{00000000-0005-0000-0000-000096000000}"/>
    <cellStyle name="40% - Accent2 14 2" xfId="170" xr:uid="{00000000-0005-0000-0000-000097000000}"/>
    <cellStyle name="40% - Accent2 15 2" xfId="171" xr:uid="{00000000-0005-0000-0000-000098000000}"/>
    <cellStyle name="40% - Accent2 16 2" xfId="172" xr:uid="{00000000-0005-0000-0000-000099000000}"/>
    <cellStyle name="40% - Accent2 17 2" xfId="173" xr:uid="{00000000-0005-0000-0000-00009A000000}"/>
    <cellStyle name="40% - Accent2 18 2" xfId="174" xr:uid="{00000000-0005-0000-0000-00009B000000}"/>
    <cellStyle name="40% - Accent2 19 2" xfId="175" xr:uid="{00000000-0005-0000-0000-00009C000000}"/>
    <cellStyle name="40% - Accent2 2" xfId="857" xr:uid="{00000000-0005-0000-0000-00009D000000}"/>
    <cellStyle name="40% - Accent2 2 2" xfId="176" xr:uid="{00000000-0005-0000-0000-00009E000000}"/>
    <cellStyle name="40% - Accent2 20 2" xfId="177" xr:uid="{00000000-0005-0000-0000-00009F000000}"/>
    <cellStyle name="40% - Accent2 21 2" xfId="178" xr:uid="{00000000-0005-0000-0000-0000A0000000}"/>
    <cellStyle name="40% - Accent2 3 2" xfId="179" xr:uid="{00000000-0005-0000-0000-0000A1000000}"/>
    <cellStyle name="40% - Accent2 4 2" xfId="180" xr:uid="{00000000-0005-0000-0000-0000A2000000}"/>
    <cellStyle name="40% - Accent2 5 2" xfId="181" xr:uid="{00000000-0005-0000-0000-0000A3000000}"/>
    <cellStyle name="40% - Accent2 6 2" xfId="182" xr:uid="{00000000-0005-0000-0000-0000A4000000}"/>
    <cellStyle name="40% - Accent2 7 2" xfId="183" xr:uid="{00000000-0005-0000-0000-0000A5000000}"/>
    <cellStyle name="40% - Accent2 8 2" xfId="184" xr:uid="{00000000-0005-0000-0000-0000A6000000}"/>
    <cellStyle name="40% - Accent2 9 2" xfId="185" xr:uid="{00000000-0005-0000-0000-0000A7000000}"/>
    <cellStyle name="40% - Accent3 10 2" xfId="186" xr:uid="{00000000-0005-0000-0000-0000A8000000}"/>
    <cellStyle name="40% - Accent3 11 2" xfId="187" xr:uid="{00000000-0005-0000-0000-0000A9000000}"/>
    <cellStyle name="40% - Accent3 12 2" xfId="188" xr:uid="{00000000-0005-0000-0000-0000AA000000}"/>
    <cellStyle name="40% - Accent3 13 2" xfId="189" xr:uid="{00000000-0005-0000-0000-0000AB000000}"/>
    <cellStyle name="40% - Accent3 14 2" xfId="190" xr:uid="{00000000-0005-0000-0000-0000AC000000}"/>
    <cellStyle name="40% - Accent3 15 2" xfId="191" xr:uid="{00000000-0005-0000-0000-0000AD000000}"/>
    <cellStyle name="40% - Accent3 16 2" xfId="192" xr:uid="{00000000-0005-0000-0000-0000AE000000}"/>
    <cellStyle name="40% - Accent3 17 2" xfId="193" xr:uid="{00000000-0005-0000-0000-0000AF000000}"/>
    <cellStyle name="40% - Accent3 18 2" xfId="194" xr:uid="{00000000-0005-0000-0000-0000B0000000}"/>
    <cellStyle name="40% - Accent3 19 2" xfId="195" xr:uid="{00000000-0005-0000-0000-0000B1000000}"/>
    <cellStyle name="40% - Accent3 2" xfId="858" xr:uid="{00000000-0005-0000-0000-0000B2000000}"/>
    <cellStyle name="40% - Accent3 2 2" xfId="196" xr:uid="{00000000-0005-0000-0000-0000B3000000}"/>
    <cellStyle name="40% - Accent3 20 2" xfId="197" xr:uid="{00000000-0005-0000-0000-0000B4000000}"/>
    <cellStyle name="40% - Accent3 21 2" xfId="198" xr:uid="{00000000-0005-0000-0000-0000B5000000}"/>
    <cellStyle name="40% - Accent3 3 2" xfId="199" xr:uid="{00000000-0005-0000-0000-0000B6000000}"/>
    <cellStyle name="40% - Accent3 4 2" xfId="200" xr:uid="{00000000-0005-0000-0000-0000B7000000}"/>
    <cellStyle name="40% - Accent3 5 2" xfId="201" xr:uid="{00000000-0005-0000-0000-0000B8000000}"/>
    <cellStyle name="40% - Accent3 6 2" xfId="202" xr:uid="{00000000-0005-0000-0000-0000B9000000}"/>
    <cellStyle name="40% - Accent3 7 2" xfId="203" xr:uid="{00000000-0005-0000-0000-0000BA000000}"/>
    <cellStyle name="40% - Accent3 8 2" xfId="204" xr:uid="{00000000-0005-0000-0000-0000BB000000}"/>
    <cellStyle name="40% - Accent3 9 2" xfId="205" xr:uid="{00000000-0005-0000-0000-0000BC000000}"/>
    <cellStyle name="40% - Accent4 10 2" xfId="206" xr:uid="{00000000-0005-0000-0000-0000BD000000}"/>
    <cellStyle name="40% - Accent4 11 2" xfId="207" xr:uid="{00000000-0005-0000-0000-0000BE000000}"/>
    <cellStyle name="40% - Accent4 12 2" xfId="208" xr:uid="{00000000-0005-0000-0000-0000BF000000}"/>
    <cellStyle name="40% - Accent4 13 2" xfId="209" xr:uid="{00000000-0005-0000-0000-0000C0000000}"/>
    <cellStyle name="40% - Accent4 14 2" xfId="210" xr:uid="{00000000-0005-0000-0000-0000C1000000}"/>
    <cellStyle name="40% - Accent4 15 2" xfId="211" xr:uid="{00000000-0005-0000-0000-0000C2000000}"/>
    <cellStyle name="40% - Accent4 16 2" xfId="212" xr:uid="{00000000-0005-0000-0000-0000C3000000}"/>
    <cellStyle name="40% - Accent4 17 2" xfId="213" xr:uid="{00000000-0005-0000-0000-0000C4000000}"/>
    <cellStyle name="40% - Accent4 18 2" xfId="214" xr:uid="{00000000-0005-0000-0000-0000C5000000}"/>
    <cellStyle name="40% - Accent4 19 2" xfId="215" xr:uid="{00000000-0005-0000-0000-0000C6000000}"/>
    <cellStyle name="40% - Accent4 2" xfId="859" xr:uid="{00000000-0005-0000-0000-0000C7000000}"/>
    <cellStyle name="40% - Accent4 2 2" xfId="216" xr:uid="{00000000-0005-0000-0000-0000C8000000}"/>
    <cellStyle name="40% - Accent4 20 2" xfId="217" xr:uid="{00000000-0005-0000-0000-0000C9000000}"/>
    <cellStyle name="40% - Accent4 21 2" xfId="218" xr:uid="{00000000-0005-0000-0000-0000CA000000}"/>
    <cellStyle name="40% - Accent4 3 2" xfId="219" xr:uid="{00000000-0005-0000-0000-0000CB000000}"/>
    <cellStyle name="40% - Accent4 4 2" xfId="220" xr:uid="{00000000-0005-0000-0000-0000CC000000}"/>
    <cellStyle name="40% - Accent4 5 2" xfId="221" xr:uid="{00000000-0005-0000-0000-0000CD000000}"/>
    <cellStyle name="40% - Accent4 6 2" xfId="222" xr:uid="{00000000-0005-0000-0000-0000CE000000}"/>
    <cellStyle name="40% - Accent4 7 2" xfId="223" xr:uid="{00000000-0005-0000-0000-0000CF000000}"/>
    <cellStyle name="40% - Accent4 8 2" xfId="224" xr:uid="{00000000-0005-0000-0000-0000D0000000}"/>
    <cellStyle name="40% - Accent4 9 2" xfId="225" xr:uid="{00000000-0005-0000-0000-0000D1000000}"/>
    <cellStyle name="40% - Accent5 10 2" xfId="226" xr:uid="{00000000-0005-0000-0000-0000D2000000}"/>
    <cellStyle name="40% - Accent5 11 2" xfId="227" xr:uid="{00000000-0005-0000-0000-0000D3000000}"/>
    <cellStyle name="40% - Accent5 12 2" xfId="228" xr:uid="{00000000-0005-0000-0000-0000D4000000}"/>
    <cellStyle name="40% - Accent5 13 2" xfId="229" xr:uid="{00000000-0005-0000-0000-0000D5000000}"/>
    <cellStyle name="40% - Accent5 14 2" xfId="230" xr:uid="{00000000-0005-0000-0000-0000D6000000}"/>
    <cellStyle name="40% - Accent5 15 2" xfId="231" xr:uid="{00000000-0005-0000-0000-0000D7000000}"/>
    <cellStyle name="40% - Accent5 16 2" xfId="232" xr:uid="{00000000-0005-0000-0000-0000D8000000}"/>
    <cellStyle name="40% - Accent5 17 2" xfId="233" xr:uid="{00000000-0005-0000-0000-0000D9000000}"/>
    <cellStyle name="40% - Accent5 18 2" xfId="234" xr:uid="{00000000-0005-0000-0000-0000DA000000}"/>
    <cellStyle name="40% - Accent5 19 2" xfId="235" xr:uid="{00000000-0005-0000-0000-0000DB000000}"/>
    <cellStyle name="40% - Accent5 2" xfId="860" xr:uid="{00000000-0005-0000-0000-0000DC000000}"/>
    <cellStyle name="40% - Accent5 2 2" xfId="236" xr:uid="{00000000-0005-0000-0000-0000DD000000}"/>
    <cellStyle name="40% - Accent5 20 2" xfId="237" xr:uid="{00000000-0005-0000-0000-0000DE000000}"/>
    <cellStyle name="40% - Accent5 21 2" xfId="238" xr:uid="{00000000-0005-0000-0000-0000DF000000}"/>
    <cellStyle name="40% - Accent5 3 2" xfId="239" xr:uid="{00000000-0005-0000-0000-0000E0000000}"/>
    <cellStyle name="40% - Accent5 4 2" xfId="240" xr:uid="{00000000-0005-0000-0000-0000E1000000}"/>
    <cellStyle name="40% - Accent5 5 2" xfId="241" xr:uid="{00000000-0005-0000-0000-0000E2000000}"/>
    <cellStyle name="40% - Accent5 6 2" xfId="242" xr:uid="{00000000-0005-0000-0000-0000E3000000}"/>
    <cellStyle name="40% - Accent5 7 2" xfId="243" xr:uid="{00000000-0005-0000-0000-0000E4000000}"/>
    <cellStyle name="40% - Accent5 8 2" xfId="244" xr:uid="{00000000-0005-0000-0000-0000E5000000}"/>
    <cellStyle name="40% - Accent5 9 2" xfId="245" xr:uid="{00000000-0005-0000-0000-0000E6000000}"/>
    <cellStyle name="40% - Accent6 10 2" xfId="246" xr:uid="{00000000-0005-0000-0000-0000E7000000}"/>
    <cellStyle name="40% - Accent6 11 2" xfId="247" xr:uid="{00000000-0005-0000-0000-0000E8000000}"/>
    <cellStyle name="40% - Accent6 12 2" xfId="248" xr:uid="{00000000-0005-0000-0000-0000E9000000}"/>
    <cellStyle name="40% - Accent6 13 2" xfId="249" xr:uid="{00000000-0005-0000-0000-0000EA000000}"/>
    <cellStyle name="40% - Accent6 14 2" xfId="250" xr:uid="{00000000-0005-0000-0000-0000EB000000}"/>
    <cellStyle name="40% - Accent6 15 2" xfId="251" xr:uid="{00000000-0005-0000-0000-0000EC000000}"/>
    <cellStyle name="40% - Accent6 16 2" xfId="252" xr:uid="{00000000-0005-0000-0000-0000ED000000}"/>
    <cellStyle name="40% - Accent6 17 2" xfId="253" xr:uid="{00000000-0005-0000-0000-0000EE000000}"/>
    <cellStyle name="40% - Accent6 18 2" xfId="254" xr:uid="{00000000-0005-0000-0000-0000EF000000}"/>
    <cellStyle name="40% - Accent6 19 2" xfId="255" xr:uid="{00000000-0005-0000-0000-0000F0000000}"/>
    <cellStyle name="40% - Accent6 2" xfId="861" xr:uid="{00000000-0005-0000-0000-0000F1000000}"/>
    <cellStyle name="40% - Accent6 2 2" xfId="256" xr:uid="{00000000-0005-0000-0000-0000F2000000}"/>
    <cellStyle name="40% - Accent6 20 2" xfId="257" xr:uid="{00000000-0005-0000-0000-0000F3000000}"/>
    <cellStyle name="40% - Accent6 21 2" xfId="258" xr:uid="{00000000-0005-0000-0000-0000F4000000}"/>
    <cellStyle name="40% - Accent6 3 2" xfId="259" xr:uid="{00000000-0005-0000-0000-0000F5000000}"/>
    <cellStyle name="40% - Accent6 4 2" xfId="260" xr:uid="{00000000-0005-0000-0000-0000F6000000}"/>
    <cellStyle name="40% - Accent6 5 2" xfId="261" xr:uid="{00000000-0005-0000-0000-0000F7000000}"/>
    <cellStyle name="40% - Accent6 6 2" xfId="262" xr:uid="{00000000-0005-0000-0000-0000F8000000}"/>
    <cellStyle name="40% - Accent6 7 2" xfId="263" xr:uid="{00000000-0005-0000-0000-0000F9000000}"/>
    <cellStyle name="40% - Accent6 8 2" xfId="264" xr:uid="{00000000-0005-0000-0000-0000FA000000}"/>
    <cellStyle name="40% - Accent6 9 2" xfId="265" xr:uid="{00000000-0005-0000-0000-0000FB000000}"/>
    <cellStyle name="60% - Accent1 10 2" xfId="266" xr:uid="{00000000-0005-0000-0000-0000FC000000}"/>
    <cellStyle name="60% - Accent1 11 2" xfId="267" xr:uid="{00000000-0005-0000-0000-0000FD000000}"/>
    <cellStyle name="60% - Accent1 12 2" xfId="268" xr:uid="{00000000-0005-0000-0000-0000FE000000}"/>
    <cellStyle name="60% - Accent1 13 2" xfId="269" xr:uid="{00000000-0005-0000-0000-0000FF000000}"/>
    <cellStyle name="60% - Accent1 14 2" xfId="270" xr:uid="{00000000-0005-0000-0000-000000010000}"/>
    <cellStyle name="60% - Accent1 15 2" xfId="271" xr:uid="{00000000-0005-0000-0000-000001010000}"/>
    <cellStyle name="60% - Accent1 16 2" xfId="272" xr:uid="{00000000-0005-0000-0000-000002010000}"/>
    <cellStyle name="60% - Accent1 17 2" xfId="273" xr:uid="{00000000-0005-0000-0000-000003010000}"/>
    <cellStyle name="60% - Accent1 18 2" xfId="274" xr:uid="{00000000-0005-0000-0000-000004010000}"/>
    <cellStyle name="60% - Accent1 19 2" xfId="275" xr:uid="{00000000-0005-0000-0000-000005010000}"/>
    <cellStyle name="60% - Accent1 2" xfId="862" xr:uid="{00000000-0005-0000-0000-000006010000}"/>
    <cellStyle name="60% - Accent1 2 2" xfId="276" xr:uid="{00000000-0005-0000-0000-000007010000}"/>
    <cellStyle name="60% - Accent1 20 2" xfId="277" xr:uid="{00000000-0005-0000-0000-000008010000}"/>
    <cellStyle name="60% - Accent1 21 2" xfId="278" xr:uid="{00000000-0005-0000-0000-000009010000}"/>
    <cellStyle name="60% - Accent1 3 2" xfId="279" xr:uid="{00000000-0005-0000-0000-00000A010000}"/>
    <cellStyle name="60% - Accent1 4 2" xfId="280" xr:uid="{00000000-0005-0000-0000-00000B010000}"/>
    <cellStyle name="60% - Accent1 5 2" xfId="281" xr:uid="{00000000-0005-0000-0000-00000C010000}"/>
    <cellStyle name="60% - Accent1 6 2" xfId="282" xr:uid="{00000000-0005-0000-0000-00000D010000}"/>
    <cellStyle name="60% - Accent1 7 2" xfId="283" xr:uid="{00000000-0005-0000-0000-00000E010000}"/>
    <cellStyle name="60% - Accent1 8 2" xfId="284" xr:uid="{00000000-0005-0000-0000-00000F010000}"/>
    <cellStyle name="60% - Accent1 9 2" xfId="285" xr:uid="{00000000-0005-0000-0000-000010010000}"/>
    <cellStyle name="60% - Accent2 10 2" xfId="286" xr:uid="{00000000-0005-0000-0000-000011010000}"/>
    <cellStyle name="60% - Accent2 11 2" xfId="287" xr:uid="{00000000-0005-0000-0000-000012010000}"/>
    <cellStyle name="60% - Accent2 12 2" xfId="288" xr:uid="{00000000-0005-0000-0000-000013010000}"/>
    <cellStyle name="60% - Accent2 13 2" xfId="289" xr:uid="{00000000-0005-0000-0000-000014010000}"/>
    <cellStyle name="60% - Accent2 14 2" xfId="290" xr:uid="{00000000-0005-0000-0000-000015010000}"/>
    <cellStyle name="60% - Accent2 15 2" xfId="291" xr:uid="{00000000-0005-0000-0000-000016010000}"/>
    <cellStyle name="60% - Accent2 16 2" xfId="292" xr:uid="{00000000-0005-0000-0000-000017010000}"/>
    <cellStyle name="60% - Accent2 17 2" xfId="293" xr:uid="{00000000-0005-0000-0000-000018010000}"/>
    <cellStyle name="60% - Accent2 18 2" xfId="294" xr:uid="{00000000-0005-0000-0000-000019010000}"/>
    <cellStyle name="60% - Accent2 19 2" xfId="295" xr:uid="{00000000-0005-0000-0000-00001A010000}"/>
    <cellStyle name="60% - Accent2 2" xfId="863" xr:uid="{00000000-0005-0000-0000-00001B010000}"/>
    <cellStyle name="60% - Accent2 2 2" xfId="296" xr:uid="{00000000-0005-0000-0000-00001C010000}"/>
    <cellStyle name="60% - Accent2 20 2" xfId="297" xr:uid="{00000000-0005-0000-0000-00001D010000}"/>
    <cellStyle name="60% - Accent2 21 2" xfId="298" xr:uid="{00000000-0005-0000-0000-00001E010000}"/>
    <cellStyle name="60% - Accent2 3 2" xfId="299" xr:uid="{00000000-0005-0000-0000-00001F010000}"/>
    <cellStyle name="60% - Accent2 4 2" xfId="300" xr:uid="{00000000-0005-0000-0000-000020010000}"/>
    <cellStyle name="60% - Accent2 5 2" xfId="301" xr:uid="{00000000-0005-0000-0000-000021010000}"/>
    <cellStyle name="60% - Accent2 6 2" xfId="302" xr:uid="{00000000-0005-0000-0000-000022010000}"/>
    <cellStyle name="60% - Accent2 7 2" xfId="303" xr:uid="{00000000-0005-0000-0000-000023010000}"/>
    <cellStyle name="60% - Accent2 8 2" xfId="304" xr:uid="{00000000-0005-0000-0000-000024010000}"/>
    <cellStyle name="60% - Accent2 9 2" xfId="305" xr:uid="{00000000-0005-0000-0000-000025010000}"/>
    <cellStyle name="60% - Accent3 10 2" xfId="306" xr:uid="{00000000-0005-0000-0000-000026010000}"/>
    <cellStyle name="60% - Accent3 11 2" xfId="307" xr:uid="{00000000-0005-0000-0000-000027010000}"/>
    <cellStyle name="60% - Accent3 12 2" xfId="308" xr:uid="{00000000-0005-0000-0000-000028010000}"/>
    <cellStyle name="60% - Accent3 13 2" xfId="309" xr:uid="{00000000-0005-0000-0000-000029010000}"/>
    <cellStyle name="60% - Accent3 14 2" xfId="310" xr:uid="{00000000-0005-0000-0000-00002A010000}"/>
    <cellStyle name="60% - Accent3 15 2" xfId="311" xr:uid="{00000000-0005-0000-0000-00002B010000}"/>
    <cellStyle name="60% - Accent3 16 2" xfId="312" xr:uid="{00000000-0005-0000-0000-00002C010000}"/>
    <cellStyle name="60% - Accent3 17 2" xfId="313" xr:uid="{00000000-0005-0000-0000-00002D010000}"/>
    <cellStyle name="60% - Accent3 18 2" xfId="314" xr:uid="{00000000-0005-0000-0000-00002E010000}"/>
    <cellStyle name="60% - Accent3 19 2" xfId="315" xr:uid="{00000000-0005-0000-0000-00002F010000}"/>
    <cellStyle name="60% - Accent3 2" xfId="864" xr:uid="{00000000-0005-0000-0000-000030010000}"/>
    <cellStyle name="60% - Accent3 2 2" xfId="316" xr:uid="{00000000-0005-0000-0000-000031010000}"/>
    <cellStyle name="60% - Accent3 20 2" xfId="317" xr:uid="{00000000-0005-0000-0000-000032010000}"/>
    <cellStyle name="60% - Accent3 21 2" xfId="318" xr:uid="{00000000-0005-0000-0000-000033010000}"/>
    <cellStyle name="60% - Accent3 3 2" xfId="319" xr:uid="{00000000-0005-0000-0000-000034010000}"/>
    <cellStyle name="60% - Accent3 4 2" xfId="320" xr:uid="{00000000-0005-0000-0000-000035010000}"/>
    <cellStyle name="60% - Accent3 5 2" xfId="321" xr:uid="{00000000-0005-0000-0000-000036010000}"/>
    <cellStyle name="60% - Accent3 6 2" xfId="322" xr:uid="{00000000-0005-0000-0000-000037010000}"/>
    <cellStyle name="60% - Accent3 7 2" xfId="323" xr:uid="{00000000-0005-0000-0000-000038010000}"/>
    <cellStyle name="60% - Accent3 8 2" xfId="324" xr:uid="{00000000-0005-0000-0000-000039010000}"/>
    <cellStyle name="60% - Accent3 9 2" xfId="325" xr:uid="{00000000-0005-0000-0000-00003A010000}"/>
    <cellStyle name="60% - Accent4 10 2" xfId="326" xr:uid="{00000000-0005-0000-0000-00003B010000}"/>
    <cellStyle name="60% - Accent4 11 2" xfId="327" xr:uid="{00000000-0005-0000-0000-00003C010000}"/>
    <cellStyle name="60% - Accent4 12 2" xfId="328" xr:uid="{00000000-0005-0000-0000-00003D010000}"/>
    <cellStyle name="60% - Accent4 13 2" xfId="329" xr:uid="{00000000-0005-0000-0000-00003E010000}"/>
    <cellStyle name="60% - Accent4 14 2" xfId="330" xr:uid="{00000000-0005-0000-0000-00003F010000}"/>
    <cellStyle name="60% - Accent4 15 2" xfId="331" xr:uid="{00000000-0005-0000-0000-000040010000}"/>
    <cellStyle name="60% - Accent4 16 2" xfId="332" xr:uid="{00000000-0005-0000-0000-000041010000}"/>
    <cellStyle name="60% - Accent4 17 2" xfId="333" xr:uid="{00000000-0005-0000-0000-000042010000}"/>
    <cellStyle name="60% - Accent4 18 2" xfId="334" xr:uid="{00000000-0005-0000-0000-000043010000}"/>
    <cellStyle name="60% - Accent4 19 2" xfId="335" xr:uid="{00000000-0005-0000-0000-000044010000}"/>
    <cellStyle name="60% - Accent4 2" xfId="865" xr:uid="{00000000-0005-0000-0000-000045010000}"/>
    <cellStyle name="60% - Accent4 2 2" xfId="336" xr:uid="{00000000-0005-0000-0000-000046010000}"/>
    <cellStyle name="60% - Accent4 20 2" xfId="337" xr:uid="{00000000-0005-0000-0000-000047010000}"/>
    <cellStyle name="60% - Accent4 21 2" xfId="338" xr:uid="{00000000-0005-0000-0000-000048010000}"/>
    <cellStyle name="60% - Accent4 3 2" xfId="339" xr:uid="{00000000-0005-0000-0000-000049010000}"/>
    <cellStyle name="60% - Accent4 4 2" xfId="340" xr:uid="{00000000-0005-0000-0000-00004A010000}"/>
    <cellStyle name="60% - Accent4 5 2" xfId="341" xr:uid="{00000000-0005-0000-0000-00004B010000}"/>
    <cellStyle name="60% - Accent4 6 2" xfId="342" xr:uid="{00000000-0005-0000-0000-00004C010000}"/>
    <cellStyle name="60% - Accent4 7 2" xfId="343" xr:uid="{00000000-0005-0000-0000-00004D010000}"/>
    <cellStyle name="60% - Accent4 8 2" xfId="344" xr:uid="{00000000-0005-0000-0000-00004E010000}"/>
    <cellStyle name="60% - Accent4 9 2" xfId="345" xr:uid="{00000000-0005-0000-0000-00004F010000}"/>
    <cellStyle name="60% - Accent5 10 2" xfId="346" xr:uid="{00000000-0005-0000-0000-000050010000}"/>
    <cellStyle name="60% - Accent5 11 2" xfId="347" xr:uid="{00000000-0005-0000-0000-000051010000}"/>
    <cellStyle name="60% - Accent5 12 2" xfId="348" xr:uid="{00000000-0005-0000-0000-000052010000}"/>
    <cellStyle name="60% - Accent5 13 2" xfId="349" xr:uid="{00000000-0005-0000-0000-000053010000}"/>
    <cellStyle name="60% - Accent5 14 2" xfId="350" xr:uid="{00000000-0005-0000-0000-000054010000}"/>
    <cellStyle name="60% - Accent5 15 2" xfId="351" xr:uid="{00000000-0005-0000-0000-000055010000}"/>
    <cellStyle name="60% - Accent5 16 2" xfId="352" xr:uid="{00000000-0005-0000-0000-000056010000}"/>
    <cellStyle name="60% - Accent5 17 2" xfId="353" xr:uid="{00000000-0005-0000-0000-000057010000}"/>
    <cellStyle name="60% - Accent5 18 2" xfId="354" xr:uid="{00000000-0005-0000-0000-000058010000}"/>
    <cellStyle name="60% - Accent5 19 2" xfId="355" xr:uid="{00000000-0005-0000-0000-000059010000}"/>
    <cellStyle name="60% - Accent5 2" xfId="866" xr:uid="{00000000-0005-0000-0000-00005A010000}"/>
    <cellStyle name="60% - Accent5 2 2" xfId="356" xr:uid="{00000000-0005-0000-0000-00005B010000}"/>
    <cellStyle name="60% - Accent5 20 2" xfId="357" xr:uid="{00000000-0005-0000-0000-00005C010000}"/>
    <cellStyle name="60% - Accent5 21 2" xfId="358" xr:uid="{00000000-0005-0000-0000-00005D010000}"/>
    <cellStyle name="60% - Accent5 3 2" xfId="359" xr:uid="{00000000-0005-0000-0000-00005E010000}"/>
    <cellStyle name="60% - Accent5 4 2" xfId="360" xr:uid="{00000000-0005-0000-0000-00005F010000}"/>
    <cellStyle name="60% - Accent5 5 2" xfId="361" xr:uid="{00000000-0005-0000-0000-000060010000}"/>
    <cellStyle name="60% - Accent5 6 2" xfId="362" xr:uid="{00000000-0005-0000-0000-000061010000}"/>
    <cellStyle name="60% - Accent5 7 2" xfId="363" xr:uid="{00000000-0005-0000-0000-000062010000}"/>
    <cellStyle name="60% - Accent5 8 2" xfId="364" xr:uid="{00000000-0005-0000-0000-000063010000}"/>
    <cellStyle name="60% - Accent5 9 2" xfId="365" xr:uid="{00000000-0005-0000-0000-000064010000}"/>
    <cellStyle name="60% - Accent6 10 2" xfId="366" xr:uid="{00000000-0005-0000-0000-000065010000}"/>
    <cellStyle name="60% - Accent6 11 2" xfId="367" xr:uid="{00000000-0005-0000-0000-000066010000}"/>
    <cellStyle name="60% - Accent6 12 2" xfId="368" xr:uid="{00000000-0005-0000-0000-000067010000}"/>
    <cellStyle name="60% - Accent6 13 2" xfId="369" xr:uid="{00000000-0005-0000-0000-000068010000}"/>
    <cellStyle name="60% - Accent6 14 2" xfId="370" xr:uid="{00000000-0005-0000-0000-000069010000}"/>
    <cellStyle name="60% - Accent6 15 2" xfId="371" xr:uid="{00000000-0005-0000-0000-00006A010000}"/>
    <cellStyle name="60% - Accent6 16 2" xfId="372" xr:uid="{00000000-0005-0000-0000-00006B010000}"/>
    <cellStyle name="60% - Accent6 17 2" xfId="373" xr:uid="{00000000-0005-0000-0000-00006C010000}"/>
    <cellStyle name="60% - Accent6 18 2" xfId="374" xr:uid="{00000000-0005-0000-0000-00006D010000}"/>
    <cellStyle name="60% - Accent6 19 2" xfId="375" xr:uid="{00000000-0005-0000-0000-00006E010000}"/>
    <cellStyle name="60% - Accent6 2" xfId="867" xr:uid="{00000000-0005-0000-0000-00006F010000}"/>
    <cellStyle name="60% - Accent6 2 2" xfId="376" xr:uid="{00000000-0005-0000-0000-000070010000}"/>
    <cellStyle name="60% - Accent6 20 2" xfId="377" xr:uid="{00000000-0005-0000-0000-000071010000}"/>
    <cellStyle name="60% - Accent6 21 2" xfId="378" xr:uid="{00000000-0005-0000-0000-000072010000}"/>
    <cellStyle name="60% - Accent6 3 2" xfId="379" xr:uid="{00000000-0005-0000-0000-000073010000}"/>
    <cellStyle name="60% - Accent6 4 2" xfId="380" xr:uid="{00000000-0005-0000-0000-000074010000}"/>
    <cellStyle name="60% - Accent6 5 2" xfId="381" xr:uid="{00000000-0005-0000-0000-000075010000}"/>
    <cellStyle name="60% - Accent6 6 2" xfId="382" xr:uid="{00000000-0005-0000-0000-000076010000}"/>
    <cellStyle name="60% - Accent6 7 2" xfId="383" xr:uid="{00000000-0005-0000-0000-000077010000}"/>
    <cellStyle name="60% - Accent6 8 2" xfId="384" xr:uid="{00000000-0005-0000-0000-000078010000}"/>
    <cellStyle name="60% - Accent6 9 2" xfId="385" xr:uid="{00000000-0005-0000-0000-000079010000}"/>
    <cellStyle name="Accent1 - 20%" xfId="909" xr:uid="{00000000-0005-0000-0000-00007A010000}"/>
    <cellStyle name="Accent1 - 20% 2" xfId="1094" xr:uid="{00000000-0005-0000-0000-00007B010000}"/>
    <cellStyle name="Accent1 - 40%" xfId="910" xr:uid="{00000000-0005-0000-0000-00007C010000}"/>
    <cellStyle name="Accent1 - 40% 2" xfId="1095" xr:uid="{00000000-0005-0000-0000-00007D010000}"/>
    <cellStyle name="Accent1 - 60%" xfId="911" xr:uid="{00000000-0005-0000-0000-00007E010000}"/>
    <cellStyle name="Accent1 - 60% 2" xfId="1096" xr:uid="{00000000-0005-0000-0000-00007F010000}"/>
    <cellStyle name="Accent1 10 2" xfId="386" xr:uid="{00000000-0005-0000-0000-000080010000}"/>
    <cellStyle name="Accent1 11 2" xfId="387" xr:uid="{00000000-0005-0000-0000-000081010000}"/>
    <cellStyle name="Accent1 12 2" xfId="388" xr:uid="{00000000-0005-0000-0000-000082010000}"/>
    <cellStyle name="Accent1 13 2" xfId="389" xr:uid="{00000000-0005-0000-0000-000083010000}"/>
    <cellStyle name="Accent1 14 2" xfId="390" xr:uid="{00000000-0005-0000-0000-000084010000}"/>
    <cellStyle name="Accent1 15 2" xfId="391" xr:uid="{00000000-0005-0000-0000-000085010000}"/>
    <cellStyle name="Accent1 16 2" xfId="392" xr:uid="{00000000-0005-0000-0000-000086010000}"/>
    <cellStyle name="Accent1 17 2" xfId="393" xr:uid="{00000000-0005-0000-0000-000087010000}"/>
    <cellStyle name="Accent1 18 2" xfId="394" xr:uid="{00000000-0005-0000-0000-000088010000}"/>
    <cellStyle name="Accent1 19 2" xfId="395" xr:uid="{00000000-0005-0000-0000-000089010000}"/>
    <cellStyle name="Accent1 2" xfId="868" xr:uid="{00000000-0005-0000-0000-00008A010000}"/>
    <cellStyle name="Accent1 2 2" xfId="396" xr:uid="{00000000-0005-0000-0000-00008B010000}"/>
    <cellStyle name="Accent1 20 2" xfId="397" xr:uid="{00000000-0005-0000-0000-00008C010000}"/>
    <cellStyle name="Accent1 21 2" xfId="398" xr:uid="{00000000-0005-0000-0000-00008D010000}"/>
    <cellStyle name="Accent1 3 2" xfId="399" xr:uid="{00000000-0005-0000-0000-00008E010000}"/>
    <cellStyle name="Accent1 4 2" xfId="400" xr:uid="{00000000-0005-0000-0000-00008F010000}"/>
    <cellStyle name="Accent1 5 2" xfId="401" xr:uid="{00000000-0005-0000-0000-000090010000}"/>
    <cellStyle name="Accent1 6 2" xfId="402" xr:uid="{00000000-0005-0000-0000-000091010000}"/>
    <cellStyle name="Accent1 7 2" xfId="403" xr:uid="{00000000-0005-0000-0000-000092010000}"/>
    <cellStyle name="Accent1 8 2" xfId="404" xr:uid="{00000000-0005-0000-0000-000093010000}"/>
    <cellStyle name="Accent1 9 2" xfId="405" xr:uid="{00000000-0005-0000-0000-000094010000}"/>
    <cellStyle name="Accent2 - 20%" xfId="912" xr:uid="{00000000-0005-0000-0000-000095010000}"/>
    <cellStyle name="Accent2 - 20% 2" xfId="1097" xr:uid="{00000000-0005-0000-0000-000096010000}"/>
    <cellStyle name="Accent2 - 40%" xfId="913" xr:uid="{00000000-0005-0000-0000-000097010000}"/>
    <cellStyle name="Accent2 - 40% 2" xfId="1098" xr:uid="{00000000-0005-0000-0000-000098010000}"/>
    <cellStyle name="Accent2 - 60%" xfId="914" xr:uid="{00000000-0005-0000-0000-000099010000}"/>
    <cellStyle name="Accent2 - 60% 2" xfId="1099" xr:uid="{00000000-0005-0000-0000-00009A010000}"/>
    <cellStyle name="Accent2 10 2" xfId="406" xr:uid="{00000000-0005-0000-0000-00009B010000}"/>
    <cellStyle name="Accent2 11 2" xfId="407" xr:uid="{00000000-0005-0000-0000-00009C010000}"/>
    <cellStyle name="Accent2 12 2" xfId="408" xr:uid="{00000000-0005-0000-0000-00009D010000}"/>
    <cellStyle name="Accent2 13 2" xfId="409" xr:uid="{00000000-0005-0000-0000-00009E010000}"/>
    <cellStyle name="Accent2 14 2" xfId="410" xr:uid="{00000000-0005-0000-0000-00009F010000}"/>
    <cellStyle name="Accent2 15 2" xfId="411" xr:uid="{00000000-0005-0000-0000-0000A0010000}"/>
    <cellStyle name="Accent2 16 2" xfId="412" xr:uid="{00000000-0005-0000-0000-0000A1010000}"/>
    <cellStyle name="Accent2 17 2" xfId="413" xr:uid="{00000000-0005-0000-0000-0000A2010000}"/>
    <cellStyle name="Accent2 18 2" xfId="414" xr:uid="{00000000-0005-0000-0000-0000A3010000}"/>
    <cellStyle name="Accent2 19 2" xfId="415" xr:uid="{00000000-0005-0000-0000-0000A4010000}"/>
    <cellStyle name="Accent2 2" xfId="869" xr:uid="{00000000-0005-0000-0000-0000A5010000}"/>
    <cellStyle name="Accent2 2 2" xfId="416" xr:uid="{00000000-0005-0000-0000-0000A6010000}"/>
    <cellStyle name="Accent2 20 2" xfId="417" xr:uid="{00000000-0005-0000-0000-0000A7010000}"/>
    <cellStyle name="Accent2 21 2" xfId="418" xr:uid="{00000000-0005-0000-0000-0000A8010000}"/>
    <cellStyle name="Accent2 3 2" xfId="419" xr:uid="{00000000-0005-0000-0000-0000A9010000}"/>
    <cellStyle name="Accent2 4 2" xfId="420" xr:uid="{00000000-0005-0000-0000-0000AA010000}"/>
    <cellStyle name="Accent2 5 2" xfId="421" xr:uid="{00000000-0005-0000-0000-0000AB010000}"/>
    <cellStyle name="Accent2 6 2" xfId="422" xr:uid="{00000000-0005-0000-0000-0000AC010000}"/>
    <cellStyle name="Accent2 7 2" xfId="423" xr:uid="{00000000-0005-0000-0000-0000AD010000}"/>
    <cellStyle name="Accent2 8 2" xfId="424" xr:uid="{00000000-0005-0000-0000-0000AE010000}"/>
    <cellStyle name="Accent2 9 2" xfId="425" xr:uid="{00000000-0005-0000-0000-0000AF010000}"/>
    <cellStyle name="Accent3 - 20%" xfId="915" xr:uid="{00000000-0005-0000-0000-0000B0010000}"/>
    <cellStyle name="Accent3 - 20% 2" xfId="1100" xr:uid="{00000000-0005-0000-0000-0000B1010000}"/>
    <cellStyle name="Accent3 - 40%" xfId="916" xr:uid="{00000000-0005-0000-0000-0000B2010000}"/>
    <cellStyle name="Accent3 - 40% 2" xfId="1101" xr:uid="{00000000-0005-0000-0000-0000B3010000}"/>
    <cellStyle name="Accent3 - 60%" xfId="917" xr:uid="{00000000-0005-0000-0000-0000B4010000}"/>
    <cellStyle name="Accent3 - 60% 2" xfId="1102" xr:uid="{00000000-0005-0000-0000-0000B5010000}"/>
    <cellStyle name="Accent3 10 2" xfId="426" xr:uid="{00000000-0005-0000-0000-0000B6010000}"/>
    <cellStyle name="Accent3 11 2" xfId="427" xr:uid="{00000000-0005-0000-0000-0000B7010000}"/>
    <cellStyle name="Accent3 12 2" xfId="428" xr:uid="{00000000-0005-0000-0000-0000B8010000}"/>
    <cellStyle name="Accent3 13 2" xfId="429" xr:uid="{00000000-0005-0000-0000-0000B9010000}"/>
    <cellStyle name="Accent3 14 2" xfId="430" xr:uid="{00000000-0005-0000-0000-0000BA010000}"/>
    <cellStyle name="Accent3 15 2" xfId="431" xr:uid="{00000000-0005-0000-0000-0000BB010000}"/>
    <cellStyle name="Accent3 16 2" xfId="432" xr:uid="{00000000-0005-0000-0000-0000BC010000}"/>
    <cellStyle name="Accent3 17 2" xfId="433" xr:uid="{00000000-0005-0000-0000-0000BD010000}"/>
    <cellStyle name="Accent3 18 2" xfId="434" xr:uid="{00000000-0005-0000-0000-0000BE010000}"/>
    <cellStyle name="Accent3 19 2" xfId="435" xr:uid="{00000000-0005-0000-0000-0000BF010000}"/>
    <cellStyle name="Accent3 2" xfId="870" xr:uid="{00000000-0005-0000-0000-0000C0010000}"/>
    <cellStyle name="Accent3 2 2" xfId="436" xr:uid="{00000000-0005-0000-0000-0000C1010000}"/>
    <cellStyle name="Accent3 20 2" xfId="437" xr:uid="{00000000-0005-0000-0000-0000C2010000}"/>
    <cellStyle name="Accent3 21 2" xfId="438" xr:uid="{00000000-0005-0000-0000-0000C3010000}"/>
    <cellStyle name="Accent3 3 2" xfId="439" xr:uid="{00000000-0005-0000-0000-0000C4010000}"/>
    <cellStyle name="Accent3 4 2" xfId="440" xr:uid="{00000000-0005-0000-0000-0000C5010000}"/>
    <cellStyle name="Accent3 5 2" xfId="441" xr:uid="{00000000-0005-0000-0000-0000C6010000}"/>
    <cellStyle name="Accent3 6 2" xfId="442" xr:uid="{00000000-0005-0000-0000-0000C7010000}"/>
    <cellStyle name="Accent3 7 2" xfId="443" xr:uid="{00000000-0005-0000-0000-0000C8010000}"/>
    <cellStyle name="Accent3 8 2" xfId="444" xr:uid="{00000000-0005-0000-0000-0000C9010000}"/>
    <cellStyle name="Accent3 9 2" xfId="445" xr:uid="{00000000-0005-0000-0000-0000CA010000}"/>
    <cellStyle name="Accent4 - 20%" xfId="918" xr:uid="{00000000-0005-0000-0000-0000CB010000}"/>
    <cellStyle name="Accent4 - 20% 2" xfId="1103" xr:uid="{00000000-0005-0000-0000-0000CC010000}"/>
    <cellStyle name="Accent4 - 40%" xfId="919" xr:uid="{00000000-0005-0000-0000-0000CD010000}"/>
    <cellStyle name="Accent4 - 40% 2" xfId="1104" xr:uid="{00000000-0005-0000-0000-0000CE010000}"/>
    <cellStyle name="Accent4 - 60%" xfId="920" xr:uid="{00000000-0005-0000-0000-0000CF010000}"/>
    <cellStyle name="Accent4 - 60% 2" xfId="1105" xr:uid="{00000000-0005-0000-0000-0000D0010000}"/>
    <cellStyle name="Accent4 10 2" xfId="446" xr:uid="{00000000-0005-0000-0000-0000D1010000}"/>
    <cellStyle name="Accent4 11 2" xfId="447" xr:uid="{00000000-0005-0000-0000-0000D2010000}"/>
    <cellStyle name="Accent4 12 2" xfId="448" xr:uid="{00000000-0005-0000-0000-0000D3010000}"/>
    <cellStyle name="Accent4 13 2" xfId="449" xr:uid="{00000000-0005-0000-0000-0000D4010000}"/>
    <cellStyle name="Accent4 14 2" xfId="450" xr:uid="{00000000-0005-0000-0000-0000D5010000}"/>
    <cellStyle name="Accent4 15 2" xfId="451" xr:uid="{00000000-0005-0000-0000-0000D6010000}"/>
    <cellStyle name="Accent4 16 2" xfId="452" xr:uid="{00000000-0005-0000-0000-0000D7010000}"/>
    <cellStyle name="Accent4 17 2" xfId="453" xr:uid="{00000000-0005-0000-0000-0000D8010000}"/>
    <cellStyle name="Accent4 18 2" xfId="454" xr:uid="{00000000-0005-0000-0000-0000D9010000}"/>
    <cellStyle name="Accent4 19 2" xfId="455" xr:uid="{00000000-0005-0000-0000-0000DA010000}"/>
    <cellStyle name="Accent4 2" xfId="871" xr:uid="{00000000-0005-0000-0000-0000DB010000}"/>
    <cellStyle name="Accent4 2 2" xfId="456" xr:uid="{00000000-0005-0000-0000-0000DC010000}"/>
    <cellStyle name="Accent4 20 2" xfId="457" xr:uid="{00000000-0005-0000-0000-0000DD010000}"/>
    <cellStyle name="Accent4 21 2" xfId="458" xr:uid="{00000000-0005-0000-0000-0000DE010000}"/>
    <cellStyle name="Accent4 3 2" xfId="459" xr:uid="{00000000-0005-0000-0000-0000DF010000}"/>
    <cellStyle name="Accent4 4 2" xfId="460" xr:uid="{00000000-0005-0000-0000-0000E0010000}"/>
    <cellStyle name="Accent4 5 2" xfId="461" xr:uid="{00000000-0005-0000-0000-0000E1010000}"/>
    <cellStyle name="Accent4 6 2" xfId="462" xr:uid="{00000000-0005-0000-0000-0000E2010000}"/>
    <cellStyle name="Accent4 7 2" xfId="463" xr:uid="{00000000-0005-0000-0000-0000E3010000}"/>
    <cellStyle name="Accent4 8 2" xfId="464" xr:uid="{00000000-0005-0000-0000-0000E4010000}"/>
    <cellStyle name="Accent4 9 2" xfId="465" xr:uid="{00000000-0005-0000-0000-0000E5010000}"/>
    <cellStyle name="Accent5 - 20%" xfId="921" xr:uid="{00000000-0005-0000-0000-0000E6010000}"/>
    <cellStyle name="Accent5 - 20% 2" xfId="1106" xr:uid="{00000000-0005-0000-0000-0000E7010000}"/>
    <cellStyle name="Accent5 - 40%" xfId="922" xr:uid="{00000000-0005-0000-0000-0000E8010000}"/>
    <cellStyle name="Accent5 - 40% 2" xfId="1107" xr:uid="{00000000-0005-0000-0000-0000E9010000}"/>
    <cellStyle name="Accent5 - 60%" xfId="923" xr:uid="{00000000-0005-0000-0000-0000EA010000}"/>
    <cellStyle name="Accent5 - 60% 2" xfId="1108" xr:uid="{00000000-0005-0000-0000-0000EB010000}"/>
    <cellStyle name="Accent5 10 2" xfId="466" xr:uid="{00000000-0005-0000-0000-0000EC010000}"/>
    <cellStyle name="Accent5 11 2" xfId="467" xr:uid="{00000000-0005-0000-0000-0000ED010000}"/>
    <cellStyle name="Accent5 12 2" xfId="468" xr:uid="{00000000-0005-0000-0000-0000EE010000}"/>
    <cellStyle name="Accent5 13 2" xfId="469" xr:uid="{00000000-0005-0000-0000-0000EF010000}"/>
    <cellStyle name="Accent5 14 2" xfId="470" xr:uid="{00000000-0005-0000-0000-0000F0010000}"/>
    <cellStyle name="Accent5 15 2" xfId="471" xr:uid="{00000000-0005-0000-0000-0000F1010000}"/>
    <cellStyle name="Accent5 16 2" xfId="472" xr:uid="{00000000-0005-0000-0000-0000F2010000}"/>
    <cellStyle name="Accent5 17 2" xfId="473" xr:uid="{00000000-0005-0000-0000-0000F3010000}"/>
    <cellStyle name="Accent5 18 2" xfId="474" xr:uid="{00000000-0005-0000-0000-0000F4010000}"/>
    <cellStyle name="Accent5 19 2" xfId="475" xr:uid="{00000000-0005-0000-0000-0000F5010000}"/>
    <cellStyle name="Accent5 2" xfId="872" xr:uid="{00000000-0005-0000-0000-0000F6010000}"/>
    <cellStyle name="Accent5 2 2" xfId="476" xr:uid="{00000000-0005-0000-0000-0000F7010000}"/>
    <cellStyle name="Accent5 20 2" xfId="477" xr:uid="{00000000-0005-0000-0000-0000F8010000}"/>
    <cellStyle name="Accent5 21 2" xfId="478" xr:uid="{00000000-0005-0000-0000-0000F9010000}"/>
    <cellStyle name="Accent5 3 2" xfId="479" xr:uid="{00000000-0005-0000-0000-0000FA010000}"/>
    <cellStyle name="Accent5 4 2" xfId="480" xr:uid="{00000000-0005-0000-0000-0000FB010000}"/>
    <cellStyle name="Accent5 5 2" xfId="481" xr:uid="{00000000-0005-0000-0000-0000FC010000}"/>
    <cellStyle name="Accent5 6 2" xfId="482" xr:uid="{00000000-0005-0000-0000-0000FD010000}"/>
    <cellStyle name="Accent5 7 2" xfId="483" xr:uid="{00000000-0005-0000-0000-0000FE010000}"/>
    <cellStyle name="Accent5 8 2" xfId="484" xr:uid="{00000000-0005-0000-0000-0000FF010000}"/>
    <cellStyle name="Accent5 9 2" xfId="485" xr:uid="{00000000-0005-0000-0000-000000020000}"/>
    <cellStyle name="Accent6 - 20%" xfId="924" xr:uid="{00000000-0005-0000-0000-000001020000}"/>
    <cellStyle name="Accent6 - 20% 2" xfId="1109" xr:uid="{00000000-0005-0000-0000-000002020000}"/>
    <cellStyle name="Accent6 - 40%" xfId="925" xr:uid="{00000000-0005-0000-0000-000003020000}"/>
    <cellStyle name="Accent6 - 40% 2" xfId="1110" xr:uid="{00000000-0005-0000-0000-000004020000}"/>
    <cellStyle name="Accent6 - 60%" xfId="926" xr:uid="{00000000-0005-0000-0000-000005020000}"/>
    <cellStyle name="Accent6 - 60% 2" xfId="1111" xr:uid="{00000000-0005-0000-0000-000006020000}"/>
    <cellStyle name="Accent6 10 2" xfId="486" xr:uid="{00000000-0005-0000-0000-000007020000}"/>
    <cellStyle name="Accent6 11 2" xfId="487" xr:uid="{00000000-0005-0000-0000-000008020000}"/>
    <cellStyle name="Accent6 12 2" xfId="488" xr:uid="{00000000-0005-0000-0000-000009020000}"/>
    <cellStyle name="Accent6 13 2" xfId="489" xr:uid="{00000000-0005-0000-0000-00000A020000}"/>
    <cellStyle name="Accent6 14 2" xfId="490" xr:uid="{00000000-0005-0000-0000-00000B020000}"/>
    <cellStyle name="Accent6 15 2" xfId="491" xr:uid="{00000000-0005-0000-0000-00000C020000}"/>
    <cellStyle name="Accent6 16 2" xfId="492" xr:uid="{00000000-0005-0000-0000-00000D020000}"/>
    <cellStyle name="Accent6 17 2" xfId="493" xr:uid="{00000000-0005-0000-0000-00000E020000}"/>
    <cellStyle name="Accent6 18 2" xfId="494" xr:uid="{00000000-0005-0000-0000-00000F020000}"/>
    <cellStyle name="Accent6 19 2" xfId="495" xr:uid="{00000000-0005-0000-0000-000010020000}"/>
    <cellStyle name="Accent6 2" xfId="873" xr:uid="{00000000-0005-0000-0000-000011020000}"/>
    <cellStyle name="Accent6 2 2" xfId="496" xr:uid="{00000000-0005-0000-0000-000012020000}"/>
    <cellStyle name="Accent6 20 2" xfId="497" xr:uid="{00000000-0005-0000-0000-000013020000}"/>
    <cellStyle name="Accent6 21 2" xfId="498" xr:uid="{00000000-0005-0000-0000-000014020000}"/>
    <cellStyle name="Accent6 3 2" xfId="499" xr:uid="{00000000-0005-0000-0000-000015020000}"/>
    <cellStyle name="Accent6 4 2" xfId="500" xr:uid="{00000000-0005-0000-0000-000016020000}"/>
    <cellStyle name="Accent6 5 2" xfId="501" xr:uid="{00000000-0005-0000-0000-000017020000}"/>
    <cellStyle name="Accent6 6 2" xfId="502" xr:uid="{00000000-0005-0000-0000-000018020000}"/>
    <cellStyle name="Accent6 7 2" xfId="503" xr:uid="{00000000-0005-0000-0000-000019020000}"/>
    <cellStyle name="Accent6 8 2" xfId="504" xr:uid="{00000000-0005-0000-0000-00001A020000}"/>
    <cellStyle name="Accent6 9 2" xfId="505" xr:uid="{00000000-0005-0000-0000-00001B020000}"/>
    <cellStyle name="args.style" xfId="989" xr:uid="{00000000-0005-0000-0000-00001C020000}"/>
    <cellStyle name="Bad 10 2" xfId="506" xr:uid="{00000000-0005-0000-0000-00001D020000}"/>
    <cellStyle name="Bad 11 2" xfId="507" xr:uid="{00000000-0005-0000-0000-00001E020000}"/>
    <cellStyle name="Bad 12 2" xfId="508" xr:uid="{00000000-0005-0000-0000-00001F020000}"/>
    <cellStyle name="Bad 13 2" xfId="509" xr:uid="{00000000-0005-0000-0000-000020020000}"/>
    <cellStyle name="Bad 14 2" xfId="510" xr:uid="{00000000-0005-0000-0000-000021020000}"/>
    <cellStyle name="Bad 15 2" xfId="511" xr:uid="{00000000-0005-0000-0000-000022020000}"/>
    <cellStyle name="Bad 16 2" xfId="512" xr:uid="{00000000-0005-0000-0000-000023020000}"/>
    <cellStyle name="Bad 17 2" xfId="513" xr:uid="{00000000-0005-0000-0000-000024020000}"/>
    <cellStyle name="Bad 18 2" xfId="514" xr:uid="{00000000-0005-0000-0000-000025020000}"/>
    <cellStyle name="Bad 19 2" xfId="515" xr:uid="{00000000-0005-0000-0000-000026020000}"/>
    <cellStyle name="Bad 2" xfId="874" xr:uid="{00000000-0005-0000-0000-000027020000}"/>
    <cellStyle name="Bad 2 2" xfId="516" xr:uid="{00000000-0005-0000-0000-000028020000}"/>
    <cellStyle name="Bad 20 2" xfId="517" xr:uid="{00000000-0005-0000-0000-000029020000}"/>
    <cellStyle name="Bad 21 2" xfId="518" xr:uid="{00000000-0005-0000-0000-00002A020000}"/>
    <cellStyle name="Bad 3 2" xfId="519" xr:uid="{00000000-0005-0000-0000-00002B020000}"/>
    <cellStyle name="Bad 4 2" xfId="520" xr:uid="{00000000-0005-0000-0000-00002C020000}"/>
    <cellStyle name="Bad 5 2" xfId="521" xr:uid="{00000000-0005-0000-0000-00002D020000}"/>
    <cellStyle name="Bad 6 2" xfId="522" xr:uid="{00000000-0005-0000-0000-00002E020000}"/>
    <cellStyle name="Bad 7 2" xfId="523" xr:uid="{00000000-0005-0000-0000-00002F020000}"/>
    <cellStyle name="Bad 8 2" xfId="524" xr:uid="{00000000-0005-0000-0000-000030020000}"/>
    <cellStyle name="Bad 9 2" xfId="525" xr:uid="{00000000-0005-0000-0000-000031020000}"/>
    <cellStyle name="Calc Currency (0)" xfId="5" xr:uid="{00000000-0005-0000-0000-000032020000}"/>
    <cellStyle name="Calc Currency (0) 2" xfId="990" xr:uid="{00000000-0005-0000-0000-000033020000}"/>
    <cellStyle name="Calculation 10 2" xfId="526" xr:uid="{00000000-0005-0000-0000-000034020000}"/>
    <cellStyle name="Calculation 11 2" xfId="527" xr:uid="{00000000-0005-0000-0000-000035020000}"/>
    <cellStyle name="Calculation 12 2" xfId="528" xr:uid="{00000000-0005-0000-0000-000036020000}"/>
    <cellStyle name="Calculation 13 2" xfId="529" xr:uid="{00000000-0005-0000-0000-000037020000}"/>
    <cellStyle name="Calculation 14 2" xfId="530" xr:uid="{00000000-0005-0000-0000-000038020000}"/>
    <cellStyle name="Calculation 15 2" xfId="531" xr:uid="{00000000-0005-0000-0000-000039020000}"/>
    <cellStyle name="Calculation 16 2" xfId="532" xr:uid="{00000000-0005-0000-0000-00003A020000}"/>
    <cellStyle name="Calculation 17 2" xfId="533" xr:uid="{00000000-0005-0000-0000-00003B020000}"/>
    <cellStyle name="Calculation 18 2" xfId="534" xr:uid="{00000000-0005-0000-0000-00003C020000}"/>
    <cellStyle name="Calculation 19 2" xfId="535" xr:uid="{00000000-0005-0000-0000-00003D020000}"/>
    <cellStyle name="Calculation 2" xfId="875" xr:uid="{00000000-0005-0000-0000-00003E020000}"/>
    <cellStyle name="Calculation 2 2" xfId="536" xr:uid="{00000000-0005-0000-0000-00003F020000}"/>
    <cellStyle name="Calculation 20 2" xfId="537" xr:uid="{00000000-0005-0000-0000-000040020000}"/>
    <cellStyle name="Calculation 21 2" xfId="538" xr:uid="{00000000-0005-0000-0000-000041020000}"/>
    <cellStyle name="Calculation 3 2" xfId="539" xr:uid="{00000000-0005-0000-0000-000042020000}"/>
    <cellStyle name="Calculation 4 2" xfId="540" xr:uid="{00000000-0005-0000-0000-000043020000}"/>
    <cellStyle name="Calculation 5 2" xfId="541" xr:uid="{00000000-0005-0000-0000-000044020000}"/>
    <cellStyle name="Calculation 6 2" xfId="542" xr:uid="{00000000-0005-0000-0000-000045020000}"/>
    <cellStyle name="Calculation 7 2" xfId="543" xr:uid="{00000000-0005-0000-0000-000046020000}"/>
    <cellStyle name="Calculation 8 2" xfId="544" xr:uid="{00000000-0005-0000-0000-000047020000}"/>
    <cellStyle name="Calculation 9 2" xfId="545" xr:uid="{00000000-0005-0000-0000-000048020000}"/>
    <cellStyle name="Check Cell 10 2" xfId="546" xr:uid="{00000000-0005-0000-0000-000049020000}"/>
    <cellStyle name="Check Cell 11 2" xfId="547" xr:uid="{00000000-0005-0000-0000-00004A020000}"/>
    <cellStyle name="Check Cell 12 2" xfId="548" xr:uid="{00000000-0005-0000-0000-00004B020000}"/>
    <cellStyle name="Check Cell 13 2" xfId="549" xr:uid="{00000000-0005-0000-0000-00004C020000}"/>
    <cellStyle name="Check Cell 14 2" xfId="550" xr:uid="{00000000-0005-0000-0000-00004D020000}"/>
    <cellStyle name="Check Cell 15 2" xfId="551" xr:uid="{00000000-0005-0000-0000-00004E020000}"/>
    <cellStyle name="Check Cell 16 2" xfId="552" xr:uid="{00000000-0005-0000-0000-00004F020000}"/>
    <cellStyle name="Check Cell 17 2" xfId="553" xr:uid="{00000000-0005-0000-0000-000050020000}"/>
    <cellStyle name="Check Cell 18 2" xfId="554" xr:uid="{00000000-0005-0000-0000-000051020000}"/>
    <cellStyle name="Check Cell 19 2" xfId="555" xr:uid="{00000000-0005-0000-0000-000052020000}"/>
    <cellStyle name="Check Cell 2" xfId="876" xr:uid="{00000000-0005-0000-0000-000053020000}"/>
    <cellStyle name="Check Cell 2 2" xfId="556" xr:uid="{00000000-0005-0000-0000-000054020000}"/>
    <cellStyle name="Check Cell 20 2" xfId="557" xr:uid="{00000000-0005-0000-0000-000055020000}"/>
    <cellStyle name="Check Cell 21 2" xfId="558" xr:uid="{00000000-0005-0000-0000-000056020000}"/>
    <cellStyle name="Check Cell 3 2" xfId="559" xr:uid="{00000000-0005-0000-0000-000057020000}"/>
    <cellStyle name="Check Cell 4 2" xfId="560" xr:uid="{00000000-0005-0000-0000-000058020000}"/>
    <cellStyle name="Check Cell 5 2" xfId="561" xr:uid="{00000000-0005-0000-0000-000059020000}"/>
    <cellStyle name="Check Cell 6 2" xfId="562" xr:uid="{00000000-0005-0000-0000-00005A020000}"/>
    <cellStyle name="Check Cell 7 2" xfId="563" xr:uid="{00000000-0005-0000-0000-00005B020000}"/>
    <cellStyle name="Check Cell 8 2" xfId="564" xr:uid="{00000000-0005-0000-0000-00005C020000}"/>
    <cellStyle name="Check Cell 9 2" xfId="565" xr:uid="{00000000-0005-0000-0000-00005D020000}"/>
    <cellStyle name="Comma" xfId="1425" builtinId="3"/>
    <cellStyle name="Comma  - Style1" xfId="927" xr:uid="{00000000-0005-0000-0000-00005E020000}"/>
    <cellStyle name="Comma  - Style2" xfId="928" xr:uid="{00000000-0005-0000-0000-00005F020000}"/>
    <cellStyle name="Comma  - Style3" xfId="929" xr:uid="{00000000-0005-0000-0000-000060020000}"/>
    <cellStyle name="Comma  - Style4" xfId="930" xr:uid="{00000000-0005-0000-0000-000061020000}"/>
    <cellStyle name="Comma  - Style5" xfId="931" xr:uid="{00000000-0005-0000-0000-000062020000}"/>
    <cellStyle name="Comma  - Style6" xfId="932" xr:uid="{00000000-0005-0000-0000-000063020000}"/>
    <cellStyle name="Comma  - Style7" xfId="933" xr:uid="{00000000-0005-0000-0000-000064020000}"/>
    <cellStyle name="Comma  - Style8" xfId="934" xr:uid="{00000000-0005-0000-0000-000065020000}"/>
    <cellStyle name="Comma 10" xfId="991" xr:uid="{00000000-0005-0000-0000-000066020000}"/>
    <cellStyle name="Comma 11" xfId="992" xr:uid="{00000000-0005-0000-0000-000067020000}"/>
    <cellStyle name="Comma 2" xfId="6" xr:uid="{00000000-0005-0000-0000-000068020000}"/>
    <cellStyle name="Comma 2 2" xfId="877" xr:uid="{00000000-0005-0000-0000-000069020000}"/>
    <cellStyle name="Comma 2 2 2" xfId="935" xr:uid="{00000000-0005-0000-0000-00006A020000}"/>
    <cellStyle name="Comma 2 2 2 2" xfId="1112" xr:uid="{00000000-0005-0000-0000-00006B020000}"/>
    <cellStyle name="Comma 2 2 2 2 2" xfId="1113" xr:uid="{00000000-0005-0000-0000-00006C020000}"/>
    <cellStyle name="Comma 2 2 2 2 2 2" xfId="1114" xr:uid="{00000000-0005-0000-0000-00006D020000}"/>
    <cellStyle name="Comma 2 2 2 2 3" xfId="1115" xr:uid="{00000000-0005-0000-0000-00006E020000}"/>
    <cellStyle name="Comma 2 2 2 3" xfId="1116" xr:uid="{00000000-0005-0000-0000-00006F020000}"/>
    <cellStyle name="Comma 2 2 2 3 2" xfId="1117" xr:uid="{00000000-0005-0000-0000-000070020000}"/>
    <cellStyle name="Comma 2 2 2 3 2 2" xfId="1118" xr:uid="{00000000-0005-0000-0000-000071020000}"/>
    <cellStyle name="Comma 2 2 2 3 3" xfId="1119" xr:uid="{00000000-0005-0000-0000-000072020000}"/>
    <cellStyle name="Comma 2 2 2 4" xfId="1120" xr:uid="{00000000-0005-0000-0000-000073020000}"/>
    <cellStyle name="Comma 2 2 2 4 2" xfId="1121" xr:uid="{00000000-0005-0000-0000-000074020000}"/>
    <cellStyle name="Comma 2 2 2 4 2 2" xfId="1122" xr:uid="{00000000-0005-0000-0000-000075020000}"/>
    <cellStyle name="Comma 2 2 2 4 3" xfId="1123" xr:uid="{00000000-0005-0000-0000-000076020000}"/>
    <cellStyle name="Comma 2 2 2 5" xfId="1124" xr:uid="{00000000-0005-0000-0000-000077020000}"/>
    <cellStyle name="Comma 2 2 2 5 2" xfId="1125" xr:uid="{00000000-0005-0000-0000-000078020000}"/>
    <cellStyle name="Comma 2 2 2 5 2 2" xfId="1126" xr:uid="{00000000-0005-0000-0000-000079020000}"/>
    <cellStyle name="Comma 2 2 2 5 3" xfId="1127" xr:uid="{00000000-0005-0000-0000-00007A020000}"/>
    <cellStyle name="Comma 2 2 2 6" xfId="1128" xr:uid="{00000000-0005-0000-0000-00007B020000}"/>
    <cellStyle name="Comma 2 2 2 6 2" xfId="1129" xr:uid="{00000000-0005-0000-0000-00007C020000}"/>
    <cellStyle name="Comma 2 2 2 6 2 2" xfId="1130" xr:uid="{00000000-0005-0000-0000-00007D020000}"/>
    <cellStyle name="Comma 2 2 2 6 3" xfId="1131" xr:uid="{00000000-0005-0000-0000-00007E020000}"/>
    <cellStyle name="Comma 2 2 2 7" xfId="1132" xr:uid="{00000000-0005-0000-0000-00007F020000}"/>
    <cellStyle name="Comma 2 2 2 7 2" xfId="1133" xr:uid="{00000000-0005-0000-0000-000080020000}"/>
    <cellStyle name="Comma 2 2 2 8" xfId="1134" xr:uid="{00000000-0005-0000-0000-000081020000}"/>
    <cellStyle name="Comma 2 2 3" xfId="1135" xr:uid="{00000000-0005-0000-0000-000082020000}"/>
    <cellStyle name="Comma 2 2 3 2" xfId="1136" xr:uid="{00000000-0005-0000-0000-000083020000}"/>
    <cellStyle name="Comma 2 2 3 2 2" xfId="1137" xr:uid="{00000000-0005-0000-0000-000084020000}"/>
    <cellStyle name="Comma 2 2 3 3" xfId="1138" xr:uid="{00000000-0005-0000-0000-000085020000}"/>
    <cellStyle name="Comma 2 2 4" xfId="1139" xr:uid="{00000000-0005-0000-0000-000086020000}"/>
    <cellStyle name="Comma 2 2 4 2" xfId="1140" xr:uid="{00000000-0005-0000-0000-000087020000}"/>
    <cellStyle name="Comma 2 2 4 2 2" xfId="1141" xr:uid="{00000000-0005-0000-0000-000088020000}"/>
    <cellStyle name="Comma 2 2 4 3" xfId="1142" xr:uid="{00000000-0005-0000-0000-000089020000}"/>
    <cellStyle name="Comma 2 2 5" xfId="1143" xr:uid="{00000000-0005-0000-0000-00008A020000}"/>
    <cellStyle name="Comma 2 2 5 2" xfId="1144" xr:uid="{00000000-0005-0000-0000-00008B020000}"/>
    <cellStyle name="Comma 2 2 5 2 2" xfId="1145" xr:uid="{00000000-0005-0000-0000-00008C020000}"/>
    <cellStyle name="Comma 2 2 5 3" xfId="1146" xr:uid="{00000000-0005-0000-0000-00008D020000}"/>
    <cellStyle name="Comma 2 2 6" xfId="1147" xr:uid="{00000000-0005-0000-0000-00008E020000}"/>
    <cellStyle name="Comma 2 2 6 2" xfId="1148" xr:uid="{00000000-0005-0000-0000-00008F020000}"/>
    <cellStyle name="Comma 2 2 6 2 2" xfId="1149" xr:uid="{00000000-0005-0000-0000-000090020000}"/>
    <cellStyle name="Comma 2 2 6 3" xfId="1150" xr:uid="{00000000-0005-0000-0000-000091020000}"/>
    <cellStyle name="Comma 2 2 7" xfId="1151" xr:uid="{00000000-0005-0000-0000-000092020000}"/>
    <cellStyle name="Comma 2 2 7 2" xfId="1152" xr:uid="{00000000-0005-0000-0000-000093020000}"/>
    <cellStyle name="Comma 2 3" xfId="936" xr:uid="{00000000-0005-0000-0000-000094020000}"/>
    <cellStyle name="Comma 2 3 2" xfId="1153" xr:uid="{00000000-0005-0000-0000-000095020000}"/>
    <cellStyle name="Comma 2 3 2 2" xfId="1154" xr:uid="{00000000-0005-0000-0000-000096020000}"/>
    <cellStyle name="Comma 2 3 3" xfId="1155" xr:uid="{00000000-0005-0000-0000-000097020000}"/>
    <cellStyle name="Comma 2 4" xfId="937" xr:uid="{00000000-0005-0000-0000-000098020000}"/>
    <cellStyle name="Comma 2 4 2" xfId="1156" xr:uid="{00000000-0005-0000-0000-000099020000}"/>
    <cellStyle name="Comma 2 4 2 2" xfId="1157" xr:uid="{00000000-0005-0000-0000-00009A020000}"/>
    <cellStyle name="Comma 2 4 3" xfId="1158" xr:uid="{00000000-0005-0000-0000-00009B020000}"/>
    <cellStyle name="Comma 2 5" xfId="993" xr:uid="{00000000-0005-0000-0000-00009C020000}"/>
    <cellStyle name="Comma 2 5 2" xfId="1159" xr:uid="{00000000-0005-0000-0000-00009D020000}"/>
    <cellStyle name="Comma 2 5 2 2" xfId="1160" xr:uid="{00000000-0005-0000-0000-00009E020000}"/>
    <cellStyle name="Comma 2 5 3" xfId="1161" xr:uid="{00000000-0005-0000-0000-00009F020000}"/>
    <cellStyle name="Comma 2 6" xfId="1162" xr:uid="{00000000-0005-0000-0000-0000A0020000}"/>
    <cellStyle name="Comma 2 6 2" xfId="1163" xr:uid="{00000000-0005-0000-0000-0000A1020000}"/>
    <cellStyle name="Comma 2 6 2 2" xfId="1164" xr:uid="{00000000-0005-0000-0000-0000A2020000}"/>
    <cellStyle name="Comma 2 6 3" xfId="1165" xr:uid="{00000000-0005-0000-0000-0000A3020000}"/>
    <cellStyle name="Comma 2 7" xfId="1166" xr:uid="{00000000-0005-0000-0000-0000A4020000}"/>
    <cellStyle name="Comma 2 7 2" xfId="1167" xr:uid="{00000000-0005-0000-0000-0000A5020000}"/>
    <cellStyle name="Comma 3" xfId="7" xr:uid="{00000000-0005-0000-0000-0000A6020000}"/>
    <cellStyle name="Comma 3 2" xfId="938" xr:uid="{00000000-0005-0000-0000-0000A7020000}"/>
    <cellStyle name="Comma 3 2 2" xfId="994" xr:uid="{00000000-0005-0000-0000-0000A8020000}"/>
    <cellStyle name="Comma 3 2 2 2" xfId="1168" xr:uid="{00000000-0005-0000-0000-0000A9020000}"/>
    <cellStyle name="Comma 3 2 3" xfId="1169" xr:uid="{00000000-0005-0000-0000-0000AA020000}"/>
    <cellStyle name="Comma 3 2 3 2" xfId="1170" xr:uid="{00000000-0005-0000-0000-0000AB020000}"/>
    <cellStyle name="Comma 3 2 4" xfId="1171" xr:uid="{00000000-0005-0000-0000-0000AC020000}"/>
    <cellStyle name="Comma 3 2 4 2" xfId="1172" xr:uid="{00000000-0005-0000-0000-0000AD020000}"/>
    <cellStyle name="Comma 3 2 5" xfId="1173" xr:uid="{00000000-0005-0000-0000-0000AE020000}"/>
    <cellStyle name="Comma 3 2 5 2" xfId="1174" xr:uid="{00000000-0005-0000-0000-0000AF020000}"/>
    <cellStyle name="Comma 3 2 6" xfId="1175" xr:uid="{00000000-0005-0000-0000-0000B0020000}"/>
    <cellStyle name="Comma 3 2 6 2" xfId="1176" xr:uid="{00000000-0005-0000-0000-0000B1020000}"/>
    <cellStyle name="Comma 3 2 7" xfId="1177" xr:uid="{00000000-0005-0000-0000-0000B2020000}"/>
    <cellStyle name="Comma 3 2 7 2" xfId="1178" xr:uid="{00000000-0005-0000-0000-0000B3020000}"/>
    <cellStyle name="Comma 3 3" xfId="1179" xr:uid="{00000000-0005-0000-0000-0000B4020000}"/>
    <cellStyle name="Comma 3 3 2" xfId="1180" xr:uid="{00000000-0005-0000-0000-0000B5020000}"/>
    <cellStyle name="Comma 3 3 2 2" xfId="1181" xr:uid="{00000000-0005-0000-0000-0000B6020000}"/>
    <cellStyle name="Comma 3 3 3" xfId="1182" xr:uid="{00000000-0005-0000-0000-0000B7020000}"/>
    <cellStyle name="Comma 3 4" xfId="1183" xr:uid="{00000000-0005-0000-0000-0000B8020000}"/>
    <cellStyle name="Comma 3 4 2" xfId="1184" xr:uid="{00000000-0005-0000-0000-0000B9020000}"/>
    <cellStyle name="Comma 3 4 2 2" xfId="1185" xr:uid="{00000000-0005-0000-0000-0000BA020000}"/>
    <cellStyle name="Comma 3 4 3" xfId="1186" xr:uid="{00000000-0005-0000-0000-0000BB020000}"/>
    <cellStyle name="Comma 3 5" xfId="1187" xr:uid="{00000000-0005-0000-0000-0000BC020000}"/>
    <cellStyle name="Comma 3 5 2" xfId="1188" xr:uid="{00000000-0005-0000-0000-0000BD020000}"/>
    <cellStyle name="Comma 3 5 2 2" xfId="1189" xr:uid="{00000000-0005-0000-0000-0000BE020000}"/>
    <cellStyle name="Comma 3 5 3" xfId="1190" xr:uid="{00000000-0005-0000-0000-0000BF020000}"/>
    <cellStyle name="Comma 3 6" xfId="1191" xr:uid="{00000000-0005-0000-0000-0000C0020000}"/>
    <cellStyle name="Comma 3 6 2" xfId="1192" xr:uid="{00000000-0005-0000-0000-0000C1020000}"/>
    <cellStyle name="Comma 3 6 2 2" xfId="1193" xr:uid="{00000000-0005-0000-0000-0000C2020000}"/>
    <cellStyle name="Comma 3 6 3" xfId="1194" xr:uid="{00000000-0005-0000-0000-0000C3020000}"/>
    <cellStyle name="Comma 3 7" xfId="1195" xr:uid="{00000000-0005-0000-0000-0000C4020000}"/>
    <cellStyle name="Comma 3 7 2" xfId="1196" xr:uid="{00000000-0005-0000-0000-0000C5020000}"/>
    <cellStyle name="Comma 3 8" xfId="1197" xr:uid="{00000000-0005-0000-0000-0000C6020000}"/>
    <cellStyle name="Comma 4" xfId="939" xr:uid="{00000000-0005-0000-0000-0000C7020000}"/>
    <cellStyle name="Comma 4 2" xfId="995" xr:uid="{00000000-0005-0000-0000-0000C8020000}"/>
    <cellStyle name="Comma 4 2 2" xfId="1198" xr:uid="{00000000-0005-0000-0000-0000C9020000}"/>
    <cellStyle name="Comma 4 3" xfId="996" xr:uid="{00000000-0005-0000-0000-0000CA020000}"/>
    <cellStyle name="Comma 5" xfId="940" xr:uid="{00000000-0005-0000-0000-0000CB020000}"/>
    <cellStyle name="Comma 5 2" xfId="941" xr:uid="{00000000-0005-0000-0000-0000CC020000}"/>
    <cellStyle name="Comma 5 2 2" xfId="1199" xr:uid="{00000000-0005-0000-0000-0000CD020000}"/>
    <cellStyle name="Comma 5 3" xfId="997" xr:uid="{00000000-0005-0000-0000-0000CE020000}"/>
    <cellStyle name="Comma 6" xfId="942" xr:uid="{00000000-0005-0000-0000-0000CF020000}"/>
    <cellStyle name="Comma 6 2" xfId="1200" xr:uid="{00000000-0005-0000-0000-0000D0020000}"/>
    <cellStyle name="Comma 6 2 2" xfId="1201" xr:uid="{00000000-0005-0000-0000-0000D1020000}"/>
    <cellStyle name="Comma 6 3" xfId="1202" xr:uid="{00000000-0005-0000-0000-0000D2020000}"/>
    <cellStyle name="Comma 7" xfId="943" xr:uid="{00000000-0005-0000-0000-0000D3020000}"/>
    <cellStyle name="Comma 7 2" xfId="1203" xr:uid="{00000000-0005-0000-0000-0000D4020000}"/>
    <cellStyle name="Comma 7 2 2" xfId="1204" xr:uid="{00000000-0005-0000-0000-0000D5020000}"/>
    <cellStyle name="Comma 7 3" xfId="1205" xr:uid="{00000000-0005-0000-0000-0000D6020000}"/>
    <cellStyle name="Comma 8" xfId="944" xr:uid="{00000000-0005-0000-0000-0000D7020000}"/>
    <cellStyle name="Comma 8 2" xfId="988" xr:uid="{00000000-0005-0000-0000-0000D8020000}"/>
    <cellStyle name="Comma 8 2 2" xfId="1206" xr:uid="{00000000-0005-0000-0000-0000D9020000}"/>
    <cellStyle name="Comma 8 3" xfId="1207" xr:uid="{00000000-0005-0000-0000-0000DA020000}"/>
    <cellStyle name="Comma 9" xfId="998" xr:uid="{00000000-0005-0000-0000-0000DB020000}"/>
    <cellStyle name="Comma 9 2" xfId="999" xr:uid="{00000000-0005-0000-0000-0000DC020000}"/>
    <cellStyle name="Copied" xfId="8" xr:uid="{00000000-0005-0000-0000-0000DD020000}"/>
    <cellStyle name="Copied 2" xfId="1000" xr:uid="{00000000-0005-0000-0000-0000DE020000}"/>
    <cellStyle name="COST1" xfId="1001" xr:uid="{00000000-0005-0000-0000-0000DF020000}"/>
    <cellStyle name="Currency 2" xfId="945" xr:uid="{00000000-0005-0000-0000-0000E0020000}"/>
    <cellStyle name="Currency 2 2" xfId="1208" xr:uid="{00000000-0005-0000-0000-0000E1020000}"/>
    <cellStyle name="Emphasis 1" xfId="946" xr:uid="{00000000-0005-0000-0000-0000E2020000}"/>
    <cellStyle name="Emphasis 1 2" xfId="1209" xr:uid="{00000000-0005-0000-0000-0000E3020000}"/>
    <cellStyle name="Emphasis 2" xfId="947" xr:uid="{00000000-0005-0000-0000-0000E4020000}"/>
    <cellStyle name="Emphasis 2 2" xfId="1210" xr:uid="{00000000-0005-0000-0000-0000E5020000}"/>
    <cellStyle name="Emphasis 3" xfId="948" xr:uid="{00000000-0005-0000-0000-0000E6020000}"/>
    <cellStyle name="Emphasis 3 2" xfId="1211" xr:uid="{00000000-0005-0000-0000-0000E7020000}"/>
    <cellStyle name="Entered" xfId="9" xr:uid="{00000000-0005-0000-0000-0000E8020000}"/>
    <cellStyle name="Entered 2" xfId="1002" xr:uid="{00000000-0005-0000-0000-0000E9020000}"/>
    <cellStyle name="Euro" xfId="949" xr:uid="{00000000-0005-0000-0000-0000EA020000}"/>
    <cellStyle name="Excel Built-in Normal" xfId="950" xr:uid="{00000000-0005-0000-0000-0000EB020000}"/>
    <cellStyle name="Explanatory Text 10 2" xfId="566" xr:uid="{00000000-0005-0000-0000-0000EC020000}"/>
    <cellStyle name="Explanatory Text 11 2" xfId="567" xr:uid="{00000000-0005-0000-0000-0000ED020000}"/>
    <cellStyle name="Explanatory Text 12 2" xfId="568" xr:uid="{00000000-0005-0000-0000-0000EE020000}"/>
    <cellStyle name="Explanatory Text 13 2" xfId="569" xr:uid="{00000000-0005-0000-0000-0000EF020000}"/>
    <cellStyle name="Explanatory Text 14 2" xfId="570" xr:uid="{00000000-0005-0000-0000-0000F0020000}"/>
    <cellStyle name="Explanatory Text 15 2" xfId="571" xr:uid="{00000000-0005-0000-0000-0000F1020000}"/>
    <cellStyle name="Explanatory Text 16 2" xfId="572" xr:uid="{00000000-0005-0000-0000-0000F2020000}"/>
    <cellStyle name="Explanatory Text 17 2" xfId="573" xr:uid="{00000000-0005-0000-0000-0000F3020000}"/>
    <cellStyle name="Explanatory Text 18 2" xfId="574" xr:uid="{00000000-0005-0000-0000-0000F4020000}"/>
    <cellStyle name="Explanatory Text 19 2" xfId="575" xr:uid="{00000000-0005-0000-0000-0000F5020000}"/>
    <cellStyle name="Explanatory Text 2" xfId="878" xr:uid="{00000000-0005-0000-0000-0000F6020000}"/>
    <cellStyle name="Explanatory Text 2 2" xfId="576" xr:uid="{00000000-0005-0000-0000-0000F7020000}"/>
    <cellStyle name="Explanatory Text 20 2" xfId="577" xr:uid="{00000000-0005-0000-0000-0000F8020000}"/>
    <cellStyle name="Explanatory Text 21 2" xfId="578" xr:uid="{00000000-0005-0000-0000-0000F9020000}"/>
    <cellStyle name="Explanatory Text 3 2" xfId="579" xr:uid="{00000000-0005-0000-0000-0000FA020000}"/>
    <cellStyle name="Explanatory Text 4 2" xfId="580" xr:uid="{00000000-0005-0000-0000-0000FB020000}"/>
    <cellStyle name="Explanatory Text 5 2" xfId="581" xr:uid="{00000000-0005-0000-0000-0000FC020000}"/>
    <cellStyle name="Explanatory Text 6 2" xfId="582" xr:uid="{00000000-0005-0000-0000-0000FD020000}"/>
    <cellStyle name="Explanatory Text 7 2" xfId="583" xr:uid="{00000000-0005-0000-0000-0000FE020000}"/>
    <cellStyle name="Explanatory Text 8 2" xfId="584" xr:uid="{00000000-0005-0000-0000-0000FF020000}"/>
    <cellStyle name="Explanatory Text 9 2" xfId="585" xr:uid="{00000000-0005-0000-0000-000000030000}"/>
    <cellStyle name="Fixed" xfId="1003" xr:uid="{00000000-0005-0000-0000-000001030000}"/>
    <cellStyle name="general" xfId="1004" xr:uid="{00000000-0005-0000-0000-000002030000}"/>
    <cellStyle name="Good 10 2" xfId="586" xr:uid="{00000000-0005-0000-0000-000003030000}"/>
    <cellStyle name="Good 11 2" xfId="587" xr:uid="{00000000-0005-0000-0000-000004030000}"/>
    <cellStyle name="Good 12 2" xfId="588" xr:uid="{00000000-0005-0000-0000-000005030000}"/>
    <cellStyle name="Good 13 2" xfId="589" xr:uid="{00000000-0005-0000-0000-000006030000}"/>
    <cellStyle name="Good 14 2" xfId="590" xr:uid="{00000000-0005-0000-0000-000007030000}"/>
    <cellStyle name="Good 15 2" xfId="591" xr:uid="{00000000-0005-0000-0000-000008030000}"/>
    <cellStyle name="Good 16 2" xfId="592" xr:uid="{00000000-0005-0000-0000-000009030000}"/>
    <cellStyle name="Good 17 2" xfId="593" xr:uid="{00000000-0005-0000-0000-00000A030000}"/>
    <cellStyle name="Good 18 2" xfId="594" xr:uid="{00000000-0005-0000-0000-00000B030000}"/>
    <cellStyle name="Good 19 2" xfId="595" xr:uid="{00000000-0005-0000-0000-00000C030000}"/>
    <cellStyle name="Good 2" xfId="879" xr:uid="{00000000-0005-0000-0000-00000D030000}"/>
    <cellStyle name="Good 2 2" xfId="596" xr:uid="{00000000-0005-0000-0000-00000E030000}"/>
    <cellStyle name="Good 20 2" xfId="597" xr:uid="{00000000-0005-0000-0000-00000F030000}"/>
    <cellStyle name="Good 21 2" xfId="598" xr:uid="{00000000-0005-0000-0000-000010030000}"/>
    <cellStyle name="Good 3 2" xfId="599" xr:uid="{00000000-0005-0000-0000-000011030000}"/>
    <cellStyle name="Good 4 2" xfId="600" xr:uid="{00000000-0005-0000-0000-000012030000}"/>
    <cellStyle name="Good 5 2" xfId="601" xr:uid="{00000000-0005-0000-0000-000013030000}"/>
    <cellStyle name="Good 6 2" xfId="602" xr:uid="{00000000-0005-0000-0000-000014030000}"/>
    <cellStyle name="Good 7 2" xfId="603" xr:uid="{00000000-0005-0000-0000-000015030000}"/>
    <cellStyle name="Good 8 2" xfId="604" xr:uid="{00000000-0005-0000-0000-000016030000}"/>
    <cellStyle name="Good 9 2" xfId="605" xr:uid="{00000000-0005-0000-0000-000017030000}"/>
    <cellStyle name="Grey" xfId="10" xr:uid="{00000000-0005-0000-0000-000018030000}"/>
    <cellStyle name="Header1" xfId="11" xr:uid="{00000000-0005-0000-0000-000019030000}"/>
    <cellStyle name="Header2" xfId="12" xr:uid="{00000000-0005-0000-0000-00001A030000}"/>
    <cellStyle name="Heading 1 10 2" xfId="606" xr:uid="{00000000-0005-0000-0000-00001B030000}"/>
    <cellStyle name="Heading 1 11 2" xfId="607" xr:uid="{00000000-0005-0000-0000-00001C030000}"/>
    <cellStyle name="Heading 1 12 2" xfId="608" xr:uid="{00000000-0005-0000-0000-00001D030000}"/>
    <cellStyle name="Heading 1 13 2" xfId="609" xr:uid="{00000000-0005-0000-0000-00001E030000}"/>
    <cellStyle name="Heading 1 14 2" xfId="610" xr:uid="{00000000-0005-0000-0000-00001F030000}"/>
    <cellStyle name="Heading 1 15 2" xfId="611" xr:uid="{00000000-0005-0000-0000-000020030000}"/>
    <cellStyle name="Heading 1 16 2" xfId="612" xr:uid="{00000000-0005-0000-0000-000021030000}"/>
    <cellStyle name="Heading 1 17 2" xfId="613" xr:uid="{00000000-0005-0000-0000-000022030000}"/>
    <cellStyle name="Heading 1 18 2" xfId="614" xr:uid="{00000000-0005-0000-0000-000023030000}"/>
    <cellStyle name="Heading 1 19 2" xfId="615" xr:uid="{00000000-0005-0000-0000-000024030000}"/>
    <cellStyle name="Heading 1 2" xfId="880" xr:uid="{00000000-0005-0000-0000-000025030000}"/>
    <cellStyle name="Heading 1 2 2" xfId="616" xr:uid="{00000000-0005-0000-0000-000026030000}"/>
    <cellStyle name="Heading 1 20 2" xfId="617" xr:uid="{00000000-0005-0000-0000-000027030000}"/>
    <cellStyle name="Heading 1 21 2" xfId="618" xr:uid="{00000000-0005-0000-0000-000028030000}"/>
    <cellStyle name="Heading 1 3 2" xfId="619" xr:uid="{00000000-0005-0000-0000-000029030000}"/>
    <cellStyle name="Heading 1 4 2" xfId="620" xr:uid="{00000000-0005-0000-0000-00002A030000}"/>
    <cellStyle name="Heading 1 5 2" xfId="621" xr:uid="{00000000-0005-0000-0000-00002B030000}"/>
    <cellStyle name="Heading 1 6 2" xfId="622" xr:uid="{00000000-0005-0000-0000-00002C030000}"/>
    <cellStyle name="Heading 1 7 2" xfId="623" xr:uid="{00000000-0005-0000-0000-00002D030000}"/>
    <cellStyle name="Heading 1 8 2" xfId="624" xr:uid="{00000000-0005-0000-0000-00002E030000}"/>
    <cellStyle name="Heading 1 9 2" xfId="625" xr:uid="{00000000-0005-0000-0000-00002F030000}"/>
    <cellStyle name="Heading 2 10 2" xfId="626" xr:uid="{00000000-0005-0000-0000-000030030000}"/>
    <cellStyle name="Heading 2 11 2" xfId="627" xr:uid="{00000000-0005-0000-0000-000031030000}"/>
    <cellStyle name="Heading 2 12 2" xfId="628" xr:uid="{00000000-0005-0000-0000-000032030000}"/>
    <cellStyle name="Heading 2 13 2" xfId="629" xr:uid="{00000000-0005-0000-0000-000033030000}"/>
    <cellStyle name="Heading 2 14 2" xfId="630" xr:uid="{00000000-0005-0000-0000-000034030000}"/>
    <cellStyle name="Heading 2 15 2" xfId="631" xr:uid="{00000000-0005-0000-0000-000035030000}"/>
    <cellStyle name="Heading 2 16 2" xfId="632" xr:uid="{00000000-0005-0000-0000-000036030000}"/>
    <cellStyle name="Heading 2 17 2" xfId="633" xr:uid="{00000000-0005-0000-0000-000037030000}"/>
    <cellStyle name="Heading 2 18 2" xfId="634" xr:uid="{00000000-0005-0000-0000-000038030000}"/>
    <cellStyle name="Heading 2 19 2" xfId="635" xr:uid="{00000000-0005-0000-0000-000039030000}"/>
    <cellStyle name="Heading 2 2" xfId="881" xr:uid="{00000000-0005-0000-0000-00003A030000}"/>
    <cellStyle name="Heading 2 2 2" xfId="636" xr:uid="{00000000-0005-0000-0000-00003B030000}"/>
    <cellStyle name="Heading 2 20 2" xfId="637" xr:uid="{00000000-0005-0000-0000-00003C030000}"/>
    <cellStyle name="Heading 2 21 2" xfId="638" xr:uid="{00000000-0005-0000-0000-00003D030000}"/>
    <cellStyle name="Heading 2 3 2" xfId="639" xr:uid="{00000000-0005-0000-0000-00003E030000}"/>
    <cellStyle name="Heading 2 4 2" xfId="640" xr:uid="{00000000-0005-0000-0000-00003F030000}"/>
    <cellStyle name="Heading 2 5 2" xfId="641" xr:uid="{00000000-0005-0000-0000-000040030000}"/>
    <cellStyle name="Heading 2 6 2" xfId="642" xr:uid="{00000000-0005-0000-0000-000041030000}"/>
    <cellStyle name="Heading 2 7 2" xfId="643" xr:uid="{00000000-0005-0000-0000-000042030000}"/>
    <cellStyle name="Heading 2 8 2" xfId="644" xr:uid="{00000000-0005-0000-0000-000043030000}"/>
    <cellStyle name="Heading 2 9 2" xfId="645" xr:uid="{00000000-0005-0000-0000-000044030000}"/>
    <cellStyle name="Heading 3 10 2" xfId="646" xr:uid="{00000000-0005-0000-0000-000045030000}"/>
    <cellStyle name="Heading 3 11 2" xfId="647" xr:uid="{00000000-0005-0000-0000-000046030000}"/>
    <cellStyle name="Heading 3 12 2" xfId="648" xr:uid="{00000000-0005-0000-0000-000047030000}"/>
    <cellStyle name="Heading 3 13 2" xfId="649" xr:uid="{00000000-0005-0000-0000-000048030000}"/>
    <cellStyle name="Heading 3 14 2" xfId="650" xr:uid="{00000000-0005-0000-0000-000049030000}"/>
    <cellStyle name="Heading 3 15 2" xfId="651" xr:uid="{00000000-0005-0000-0000-00004A030000}"/>
    <cellStyle name="Heading 3 16 2" xfId="652" xr:uid="{00000000-0005-0000-0000-00004B030000}"/>
    <cellStyle name="Heading 3 17 2" xfId="653" xr:uid="{00000000-0005-0000-0000-00004C030000}"/>
    <cellStyle name="Heading 3 18 2" xfId="654" xr:uid="{00000000-0005-0000-0000-00004D030000}"/>
    <cellStyle name="Heading 3 19 2" xfId="655" xr:uid="{00000000-0005-0000-0000-00004E030000}"/>
    <cellStyle name="Heading 3 2" xfId="882" xr:uid="{00000000-0005-0000-0000-00004F030000}"/>
    <cellStyle name="Heading 3 2 2" xfId="656" xr:uid="{00000000-0005-0000-0000-000050030000}"/>
    <cellStyle name="Heading 3 20 2" xfId="657" xr:uid="{00000000-0005-0000-0000-000051030000}"/>
    <cellStyle name="Heading 3 21 2" xfId="658" xr:uid="{00000000-0005-0000-0000-000052030000}"/>
    <cellStyle name="Heading 3 3 2" xfId="659" xr:uid="{00000000-0005-0000-0000-000053030000}"/>
    <cellStyle name="Heading 3 4 2" xfId="660" xr:uid="{00000000-0005-0000-0000-000054030000}"/>
    <cellStyle name="Heading 3 5 2" xfId="661" xr:uid="{00000000-0005-0000-0000-000055030000}"/>
    <cellStyle name="Heading 3 6 2" xfId="662" xr:uid="{00000000-0005-0000-0000-000056030000}"/>
    <cellStyle name="Heading 3 7 2" xfId="663" xr:uid="{00000000-0005-0000-0000-000057030000}"/>
    <cellStyle name="Heading 3 8 2" xfId="664" xr:uid="{00000000-0005-0000-0000-000058030000}"/>
    <cellStyle name="Heading 3 9 2" xfId="665" xr:uid="{00000000-0005-0000-0000-000059030000}"/>
    <cellStyle name="Heading 4 10 2" xfId="666" xr:uid="{00000000-0005-0000-0000-00005A030000}"/>
    <cellStyle name="Heading 4 11 2" xfId="667" xr:uid="{00000000-0005-0000-0000-00005B030000}"/>
    <cellStyle name="Heading 4 12 2" xfId="668" xr:uid="{00000000-0005-0000-0000-00005C030000}"/>
    <cellStyle name="Heading 4 13 2" xfId="669" xr:uid="{00000000-0005-0000-0000-00005D030000}"/>
    <cellStyle name="Heading 4 14 2" xfId="670" xr:uid="{00000000-0005-0000-0000-00005E030000}"/>
    <cellStyle name="Heading 4 15 2" xfId="671" xr:uid="{00000000-0005-0000-0000-00005F030000}"/>
    <cellStyle name="Heading 4 16 2" xfId="672" xr:uid="{00000000-0005-0000-0000-000060030000}"/>
    <cellStyle name="Heading 4 17 2" xfId="673" xr:uid="{00000000-0005-0000-0000-000061030000}"/>
    <cellStyle name="Heading 4 18 2" xfId="674" xr:uid="{00000000-0005-0000-0000-000062030000}"/>
    <cellStyle name="Heading 4 19 2" xfId="675" xr:uid="{00000000-0005-0000-0000-000063030000}"/>
    <cellStyle name="Heading 4 2" xfId="883" xr:uid="{00000000-0005-0000-0000-000064030000}"/>
    <cellStyle name="Heading 4 2 2" xfId="676" xr:uid="{00000000-0005-0000-0000-000065030000}"/>
    <cellStyle name="Heading 4 20 2" xfId="677" xr:uid="{00000000-0005-0000-0000-000066030000}"/>
    <cellStyle name="Heading 4 21 2" xfId="678" xr:uid="{00000000-0005-0000-0000-000067030000}"/>
    <cellStyle name="Heading 4 3 2" xfId="679" xr:uid="{00000000-0005-0000-0000-000068030000}"/>
    <cellStyle name="Heading 4 4 2" xfId="680" xr:uid="{00000000-0005-0000-0000-000069030000}"/>
    <cellStyle name="Heading 4 5 2" xfId="681" xr:uid="{00000000-0005-0000-0000-00006A030000}"/>
    <cellStyle name="Heading 4 6 2" xfId="682" xr:uid="{00000000-0005-0000-0000-00006B030000}"/>
    <cellStyle name="Heading 4 7 2" xfId="683" xr:uid="{00000000-0005-0000-0000-00006C030000}"/>
    <cellStyle name="Heading 4 8 2" xfId="684" xr:uid="{00000000-0005-0000-0000-00006D030000}"/>
    <cellStyle name="Heading 4 9 2" xfId="685" xr:uid="{00000000-0005-0000-0000-00006E030000}"/>
    <cellStyle name="Hyperlink 1" xfId="1212" xr:uid="{00000000-0005-0000-0000-00006F030000}"/>
    <cellStyle name="Hyperlink 2" xfId="951" xr:uid="{00000000-0005-0000-0000-000070030000}"/>
    <cellStyle name="Hyperlink 2 2" xfId="1213" xr:uid="{00000000-0005-0000-0000-000071030000}"/>
    <cellStyle name="Hyperlink 3" xfId="1005" xr:uid="{00000000-0005-0000-0000-000072030000}"/>
    <cellStyle name="Hyperlink 3 2" xfId="1214" xr:uid="{00000000-0005-0000-0000-000073030000}"/>
    <cellStyle name="Hyperlink 4" xfId="1421" xr:uid="{00000000-0005-0000-0000-000074030000}"/>
    <cellStyle name="Input [yellow]" xfId="13" xr:uid="{00000000-0005-0000-0000-000075030000}"/>
    <cellStyle name="Input 10 2" xfId="686" xr:uid="{00000000-0005-0000-0000-000076030000}"/>
    <cellStyle name="Input 11 2" xfId="687" xr:uid="{00000000-0005-0000-0000-000077030000}"/>
    <cellStyle name="Input 12 2" xfId="688" xr:uid="{00000000-0005-0000-0000-000078030000}"/>
    <cellStyle name="Input 13 2" xfId="689" xr:uid="{00000000-0005-0000-0000-000079030000}"/>
    <cellStyle name="Input 14 2" xfId="690" xr:uid="{00000000-0005-0000-0000-00007A030000}"/>
    <cellStyle name="Input 15 2" xfId="691" xr:uid="{00000000-0005-0000-0000-00007B030000}"/>
    <cellStyle name="Input 16 2" xfId="692" xr:uid="{00000000-0005-0000-0000-00007C030000}"/>
    <cellStyle name="Input 17 2" xfId="693" xr:uid="{00000000-0005-0000-0000-00007D030000}"/>
    <cellStyle name="Input 18 2" xfId="694" xr:uid="{00000000-0005-0000-0000-00007E030000}"/>
    <cellStyle name="Input 19 2" xfId="695" xr:uid="{00000000-0005-0000-0000-00007F030000}"/>
    <cellStyle name="Input 2" xfId="884" xr:uid="{00000000-0005-0000-0000-000080030000}"/>
    <cellStyle name="Input 2 2" xfId="696" xr:uid="{00000000-0005-0000-0000-000081030000}"/>
    <cellStyle name="Input 20 2" xfId="697" xr:uid="{00000000-0005-0000-0000-000082030000}"/>
    <cellStyle name="Input 21 2" xfId="698" xr:uid="{00000000-0005-0000-0000-000083030000}"/>
    <cellStyle name="Input 3 2" xfId="699" xr:uid="{00000000-0005-0000-0000-000084030000}"/>
    <cellStyle name="Input 4 2" xfId="700" xr:uid="{00000000-0005-0000-0000-000085030000}"/>
    <cellStyle name="Input 5 2" xfId="701" xr:uid="{00000000-0005-0000-0000-000086030000}"/>
    <cellStyle name="Input 6 2" xfId="702" xr:uid="{00000000-0005-0000-0000-000087030000}"/>
    <cellStyle name="Input 7 2" xfId="703" xr:uid="{00000000-0005-0000-0000-000088030000}"/>
    <cellStyle name="Input 8 2" xfId="704" xr:uid="{00000000-0005-0000-0000-000089030000}"/>
    <cellStyle name="Input 9 2" xfId="705" xr:uid="{00000000-0005-0000-0000-00008A030000}"/>
    <cellStyle name="Input Cells" xfId="1006" xr:uid="{00000000-0005-0000-0000-00008B030000}"/>
    <cellStyle name="Linked Cell 10 2" xfId="706" xr:uid="{00000000-0005-0000-0000-00008C030000}"/>
    <cellStyle name="Linked Cell 11 2" xfId="707" xr:uid="{00000000-0005-0000-0000-00008D030000}"/>
    <cellStyle name="Linked Cell 12 2" xfId="708" xr:uid="{00000000-0005-0000-0000-00008E030000}"/>
    <cellStyle name="Linked Cell 13 2" xfId="709" xr:uid="{00000000-0005-0000-0000-00008F030000}"/>
    <cellStyle name="Linked Cell 14 2" xfId="710" xr:uid="{00000000-0005-0000-0000-000090030000}"/>
    <cellStyle name="Linked Cell 15 2" xfId="711" xr:uid="{00000000-0005-0000-0000-000091030000}"/>
    <cellStyle name="Linked Cell 16 2" xfId="712" xr:uid="{00000000-0005-0000-0000-000092030000}"/>
    <cellStyle name="Linked Cell 17 2" xfId="713" xr:uid="{00000000-0005-0000-0000-000093030000}"/>
    <cellStyle name="Linked Cell 18 2" xfId="714" xr:uid="{00000000-0005-0000-0000-000094030000}"/>
    <cellStyle name="Linked Cell 19 2" xfId="715" xr:uid="{00000000-0005-0000-0000-000095030000}"/>
    <cellStyle name="Linked Cell 2" xfId="885" xr:uid="{00000000-0005-0000-0000-000096030000}"/>
    <cellStyle name="Linked Cell 2 2" xfId="716" xr:uid="{00000000-0005-0000-0000-000097030000}"/>
    <cellStyle name="Linked Cell 20 2" xfId="717" xr:uid="{00000000-0005-0000-0000-000098030000}"/>
    <cellStyle name="Linked Cell 21 2" xfId="718" xr:uid="{00000000-0005-0000-0000-000099030000}"/>
    <cellStyle name="Linked Cell 3 2" xfId="719" xr:uid="{00000000-0005-0000-0000-00009A030000}"/>
    <cellStyle name="Linked Cell 4 2" xfId="720" xr:uid="{00000000-0005-0000-0000-00009B030000}"/>
    <cellStyle name="Linked Cell 5 2" xfId="721" xr:uid="{00000000-0005-0000-0000-00009C030000}"/>
    <cellStyle name="Linked Cell 6 2" xfId="722" xr:uid="{00000000-0005-0000-0000-00009D030000}"/>
    <cellStyle name="Linked Cell 7 2" xfId="723" xr:uid="{00000000-0005-0000-0000-00009E030000}"/>
    <cellStyle name="Linked Cell 8 2" xfId="724" xr:uid="{00000000-0005-0000-0000-00009F030000}"/>
    <cellStyle name="Linked Cell 9 2" xfId="725" xr:uid="{00000000-0005-0000-0000-0000A0030000}"/>
    <cellStyle name="Linked Cells" xfId="1007" xr:uid="{00000000-0005-0000-0000-0000A1030000}"/>
    <cellStyle name="M head" xfId="1008" xr:uid="{00000000-0005-0000-0000-0000A2030000}"/>
    <cellStyle name="mahesh-1" xfId="1009" xr:uid="{00000000-0005-0000-0000-0000A3030000}"/>
    <cellStyle name="MANKAD" xfId="1010" xr:uid="{00000000-0005-0000-0000-0000A4030000}"/>
    <cellStyle name="Milliers [0]_!!!GO" xfId="1011" xr:uid="{00000000-0005-0000-0000-0000A5030000}"/>
    <cellStyle name="Milliers_!!!GO" xfId="1012" xr:uid="{00000000-0005-0000-0000-0000A6030000}"/>
    <cellStyle name="Monétaire [0]_!!!GO" xfId="1013" xr:uid="{00000000-0005-0000-0000-0000A7030000}"/>
    <cellStyle name="Monétaire_!!!GO" xfId="1014" xr:uid="{00000000-0005-0000-0000-0000A8030000}"/>
    <cellStyle name="Neutral 10 2" xfId="726" xr:uid="{00000000-0005-0000-0000-0000A9030000}"/>
    <cellStyle name="Neutral 11 2" xfId="727" xr:uid="{00000000-0005-0000-0000-0000AA030000}"/>
    <cellStyle name="Neutral 12 2" xfId="728" xr:uid="{00000000-0005-0000-0000-0000AB030000}"/>
    <cellStyle name="Neutral 13 2" xfId="729" xr:uid="{00000000-0005-0000-0000-0000AC030000}"/>
    <cellStyle name="Neutral 14 2" xfId="730" xr:uid="{00000000-0005-0000-0000-0000AD030000}"/>
    <cellStyle name="Neutral 15 2" xfId="731" xr:uid="{00000000-0005-0000-0000-0000AE030000}"/>
    <cellStyle name="Neutral 16 2" xfId="732" xr:uid="{00000000-0005-0000-0000-0000AF030000}"/>
    <cellStyle name="Neutral 17 2" xfId="733" xr:uid="{00000000-0005-0000-0000-0000B0030000}"/>
    <cellStyle name="Neutral 18 2" xfId="734" xr:uid="{00000000-0005-0000-0000-0000B1030000}"/>
    <cellStyle name="Neutral 19 2" xfId="735" xr:uid="{00000000-0005-0000-0000-0000B2030000}"/>
    <cellStyle name="Neutral 2" xfId="886" xr:uid="{00000000-0005-0000-0000-0000B3030000}"/>
    <cellStyle name="Neutral 2 2" xfId="736" xr:uid="{00000000-0005-0000-0000-0000B4030000}"/>
    <cellStyle name="Neutral 20 2" xfId="737" xr:uid="{00000000-0005-0000-0000-0000B5030000}"/>
    <cellStyle name="Neutral 21 2" xfId="738" xr:uid="{00000000-0005-0000-0000-0000B6030000}"/>
    <cellStyle name="Neutral 3 2" xfId="739" xr:uid="{00000000-0005-0000-0000-0000B7030000}"/>
    <cellStyle name="Neutral 4 2" xfId="740" xr:uid="{00000000-0005-0000-0000-0000B8030000}"/>
    <cellStyle name="Neutral 5 2" xfId="741" xr:uid="{00000000-0005-0000-0000-0000B9030000}"/>
    <cellStyle name="Neutral 6 2" xfId="742" xr:uid="{00000000-0005-0000-0000-0000BA030000}"/>
    <cellStyle name="Neutral 7 2" xfId="743" xr:uid="{00000000-0005-0000-0000-0000BB030000}"/>
    <cellStyle name="Neutral 8 2" xfId="744" xr:uid="{00000000-0005-0000-0000-0000BC030000}"/>
    <cellStyle name="Neutral 9 2" xfId="745" xr:uid="{00000000-0005-0000-0000-0000BD030000}"/>
    <cellStyle name="no dec" xfId="1015" xr:uid="{00000000-0005-0000-0000-0000BE030000}"/>
    <cellStyle name="Normal" xfId="0" builtinId="0"/>
    <cellStyle name="Normal - Style1" xfId="1" xr:uid="{00000000-0005-0000-0000-0000C0030000}"/>
    <cellStyle name="Normal - Style1 2" xfId="952" xr:uid="{00000000-0005-0000-0000-0000C1030000}"/>
    <cellStyle name="Normal - Style1 2 2" xfId="953" xr:uid="{00000000-0005-0000-0000-0000C2030000}"/>
    <cellStyle name="Normal - Style1_abbapur" xfId="954" xr:uid="{00000000-0005-0000-0000-0000C3030000}"/>
    <cellStyle name="Normal 10" xfId="887" xr:uid="{00000000-0005-0000-0000-0000C4030000}"/>
    <cellStyle name="Normal 10 2" xfId="906" xr:uid="{00000000-0005-0000-0000-0000C5030000}"/>
    <cellStyle name="Normal 10 2 2" xfId="955" xr:uid="{00000000-0005-0000-0000-0000C6030000}"/>
    <cellStyle name="Normal 10 2 2 2" xfId="1424" xr:uid="{00000000-0005-0000-0000-0000C7030000}"/>
    <cellStyle name="Normal 10 2 3" xfId="908" xr:uid="{00000000-0005-0000-0000-0000C8030000}"/>
    <cellStyle name="Normal 10 2 3 2" xfId="984" xr:uid="{00000000-0005-0000-0000-0000C9030000}"/>
    <cellStyle name="Normal 10 2 3 3" xfId="1423" xr:uid="{00000000-0005-0000-0000-0000CA030000}"/>
    <cellStyle name="Normal 10 2 4" xfId="956" xr:uid="{00000000-0005-0000-0000-0000CB030000}"/>
    <cellStyle name="Normal 10 3" xfId="957" xr:uid="{00000000-0005-0000-0000-0000CC030000}"/>
    <cellStyle name="Normal 10 3 2" xfId="1215" xr:uid="{00000000-0005-0000-0000-0000CD030000}"/>
    <cellStyle name="Normal 10 4" xfId="958" xr:uid="{00000000-0005-0000-0000-0000CE030000}"/>
    <cellStyle name="Normal 108" xfId="1016" xr:uid="{00000000-0005-0000-0000-0000CF030000}"/>
    <cellStyle name="Normal 11" xfId="888" xr:uid="{00000000-0005-0000-0000-0000D0030000}"/>
    <cellStyle name="Normal 11 2" xfId="959" xr:uid="{00000000-0005-0000-0000-0000D1030000}"/>
    <cellStyle name="Normal 11 2 2" xfId="1216" xr:uid="{00000000-0005-0000-0000-0000D2030000}"/>
    <cellStyle name="Normal 11 2 2 2" xfId="1217" xr:uid="{00000000-0005-0000-0000-0000D3030000}"/>
    <cellStyle name="Normal 11 2 3" xfId="1218" xr:uid="{00000000-0005-0000-0000-0000D4030000}"/>
    <cellStyle name="Normal 11 2 3 2" xfId="1219" xr:uid="{00000000-0005-0000-0000-0000D5030000}"/>
    <cellStyle name="Normal 11 2 3 2 2" xfId="1220" xr:uid="{00000000-0005-0000-0000-0000D6030000}"/>
    <cellStyle name="Normal 11 3" xfId="1017" xr:uid="{00000000-0005-0000-0000-0000D7030000}"/>
    <cellStyle name="Normal 11 3 2" xfId="1221" xr:uid="{00000000-0005-0000-0000-0000D8030000}"/>
    <cellStyle name="Normal 11 4" xfId="1222" xr:uid="{00000000-0005-0000-0000-0000D9030000}"/>
    <cellStyle name="Normal 12" xfId="14" xr:uid="{00000000-0005-0000-0000-0000DA030000}"/>
    <cellStyle name="Normal 12 2" xfId="1018" xr:uid="{00000000-0005-0000-0000-0000DB030000}"/>
    <cellStyle name="Normal 12 2 2" xfId="1223" xr:uid="{00000000-0005-0000-0000-0000DC030000}"/>
    <cellStyle name="Normal 12 3" xfId="1224" xr:uid="{00000000-0005-0000-0000-0000DD030000}"/>
    <cellStyle name="Normal 12 3 2" xfId="1225" xr:uid="{00000000-0005-0000-0000-0000DE030000}"/>
    <cellStyle name="Normal 12 4" xfId="1226" xr:uid="{00000000-0005-0000-0000-0000DF030000}"/>
    <cellStyle name="Normal 13" xfId="889" xr:uid="{00000000-0005-0000-0000-0000E0030000}"/>
    <cellStyle name="Normal 13 2" xfId="1227" xr:uid="{00000000-0005-0000-0000-0000E1030000}"/>
    <cellStyle name="Normal 13 2 2" xfId="1228" xr:uid="{00000000-0005-0000-0000-0000E2030000}"/>
    <cellStyle name="Normal 13 3" xfId="1229" xr:uid="{00000000-0005-0000-0000-0000E3030000}"/>
    <cellStyle name="Normal 13 3 2" xfId="1230" xr:uid="{00000000-0005-0000-0000-0000E4030000}"/>
    <cellStyle name="Normal 13 4" xfId="1231" xr:uid="{00000000-0005-0000-0000-0000E5030000}"/>
    <cellStyle name="Normal 14" xfId="746" xr:uid="{00000000-0005-0000-0000-0000E6030000}"/>
    <cellStyle name="Normal 14 2" xfId="1232" xr:uid="{00000000-0005-0000-0000-0000E7030000}"/>
    <cellStyle name="Normal 14 2 2" xfId="1233" xr:uid="{00000000-0005-0000-0000-0000E8030000}"/>
    <cellStyle name="Normal 14 2 3" xfId="1234" xr:uid="{00000000-0005-0000-0000-0000E9030000}"/>
    <cellStyle name="Normal 14 3" xfId="1019" xr:uid="{00000000-0005-0000-0000-0000EA030000}"/>
    <cellStyle name="Normal 15" xfId="890" xr:uid="{00000000-0005-0000-0000-0000EB030000}"/>
    <cellStyle name="Normal 15 2" xfId="1020" xr:uid="{00000000-0005-0000-0000-0000EC030000}"/>
    <cellStyle name="Normal 15 2 2" xfId="1235" xr:uid="{00000000-0005-0000-0000-0000ED030000}"/>
    <cellStyle name="Normal 15 3" xfId="1236" xr:uid="{00000000-0005-0000-0000-0000EE030000}"/>
    <cellStyle name="Normal 16" xfId="891" xr:uid="{00000000-0005-0000-0000-0000EF030000}"/>
    <cellStyle name="Normal 16 2" xfId="960" xr:uid="{00000000-0005-0000-0000-0000F0030000}"/>
    <cellStyle name="Normal 16 2 2" xfId="1237" xr:uid="{00000000-0005-0000-0000-0000F1030000}"/>
    <cellStyle name="Normal 16 3" xfId="1238" xr:uid="{00000000-0005-0000-0000-0000F2030000}"/>
    <cellStyle name="Normal 16 3 2" xfId="1239" xr:uid="{00000000-0005-0000-0000-0000F3030000}"/>
    <cellStyle name="Normal 16 3 2 2" xfId="1240" xr:uid="{00000000-0005-0000-0000-0000F4030000}"/>
    <cellStyle name="Normal 17" xfId="892" xr:uid="{00000000-0005-0000-0000-0000F5030000}"/>
    <cellStyle name="Normal 17 2" xfId="961" xr:uid="{00000000-0005-0000-0000-0000F6030000}"/>
    <cellStyle name="Normal 17 3" xfId="962" xr:uid="{00000000-0005-0000-0000-0000F7030000}"/>
    <cellStyle name="Normal 18" xfId="893" xr:uid="{00000000-0005-0000-0000-0000F8030000}"/>
    <cellStyle name="Normal 18 2" xfId="963" xr:uid="{00000000-0005-0000-0000-0000F9030000}"/>
    <cellStyle name="Normal 18 2 2" xfId="1241" xr:uid="{00000000-0005-0000-0000-0000FA030000}"/>
    <cellStyle name="Normal 18 3" xfId="1242" xr:uid="{00000000-0005-0000-0000-0000FB030000}"/>
    <cellStyle name="Normal 18 3 2" xfId="1243" xr:uid="{00000000-0005-0000-0000-0000FC030000}"/>
    <cellStyle name="Normal 18 4" xfId="1244" xr:uid="{00000000-0005-0000-0000-0000FD030000}"/>
    <cellStyle name="Normal 19" xfId="849" xr:uid="{00000000-0005-0000-0000-0000FE030000}"/>
    <cellStyle name="Normal 19 2" xfId="1245" xr:uid="{00000000-0005-0000-0000-0000FF030000}"/>
    <cellStyle name="Normal 2" xfId="2" xr:uid="{00000000-0005-0000-0000-000000040000}"/>
    <cellStyle name="Normal 2 10" xfId="1021" xr:uid="{00000000-0005-0000-0000-000001040000}"/>
    <cellStyle name="Normal 2 10 2" xfId="1246" xr:uid="{00000000-0005-0000-0000-000002040000}"/>
    <cellStyle name="Normal 2 10 2 2" xfId="1247" xr:uid="{00000000-0005-0000-0000-000003040000}"/>
    <cellStyle name="Normal 2 11" xfId="1022" xr:uid="{00000000-0005-0000-0000-000004040000}"/>
    <cellStyle name="Normal 2 11 2" xfId="1248" xr:uid="{00000000-0005-0000-0000-000005040000}"/>
    <cellStyle name="Normal 2 12" xfId="1023" xr:uid="{00000000-0005-0000-0000-000006040000}"/>
    <cellStyle name="Normal 2 12 2" xfId="1249" xr:uid="{00000000-0005-0000-0000-000007040000}"/>
    <cellStyle name="Normal 2 13" xfId="1250" xr:uid="{00000000-0005-0000-0000-000008040000}"/>
    <cellStyle name="Normal 2 13 2" xfId="1251" xr:uid="{00000000-0005-0000-0000-000009040000}"/>
    <cellStyle name="Normal 2 14" xfId="1252" xr:uid="{00000000-0005-0000-0000-00000A040000}"/>
    <cellStyle name="Normal 2 14 2" xfId="1253" xr:uid="{00000000-0005-0000-0000-00000B040000}"/>
    <cellStyle name="Normal 2 15" xfId="1254" xr:uid="{00000000-0005-0000-0000-00000C040000}"/>
    <cellStyle name="Normal 2 15 2" xfId="1255" xr:uid="{00000000-0005-0000-0000-00000D040000}"/>
    <cellStyle name="Normal 2 16" xfId="1256" xr:uid="{00000000-0005-0000-0000-00000E040000}"/>
    <cellStyle name="Normal 2 16 2" xfId="1257" xr:uid="{00000000-0005-0000-0000-00000F040000}"/>
    <cellStyle name="Normal 2 17" xfId="1258" xr:uid="{00000000-0005-0000-0000-000010040000}"/>
    <cellStyle name="Normal 2 2" xfId="747" xr:uid="{00000000-0005-0000-0000-000011040000}"/>
    <cellStyle name="Normal 2 2 10" xfId="1259" xr:uid="{00000000-0005-0000-0000-000012040000}"/>
    <cellStyle name="Normal 2 2 10 2" xfId="1260" xr:uid="{00000000-0005-0000-0000-000013040000}"/>
    <cellStyle name="Normal 2 2 10 3" xfId="1261" xr:uid="{00000000-0005-0000-0000-000014040000}"/>
    <cellStyle name="Normal 2 2 2" xfId="894" xr:uid="{00000000-0005-0000-0000-000015040000}"/>
    <cellStyle name="Normal 2 2 2 2" xfId="1262" xr:uid="{00000000-0005-0000-0000-000016040000}"/>
    <cellStyle name="Normal 2 2 2 2 2" xfId="1263" xr:uid="{00000000-0005-0000-0000-000017040000}"/>
    <cellStyle name="Normal 2 2 2 2 2 2" xfId="1264" xr:uid="{00000000-0005-0000-0000-000018040000}"/>
    <cellStyle name="Normal 2 2 2 2 3" xfId="1265" xr:uid="{00000000-0005-0000-0000-000019040000}"/>
    <cellStyle name="Normal 2 2 2 2 3 2" xfId="1266" xr:uid="{00000000-0005-0000-0000-00001A040000}"/>
    <cellStyle name="Normal 2 2 2 2 3 3" xfId="1267" xr:uid="{00000000-0005-0000-0000-00001B040000}"/>
    <cellStyle name="Normal 2 2 2 2 4" xfId="1268" xr:uid="{00000000-0005-0000-0000-00001C040000}"/>
    <cellStyle name="Normal 2 2 2 3" xfId="1269" xr:uid="{00000000-0005-0000-0000-00001D040000}"/>
    <cellStyle name="Normal 2 2 2 3 2" xfId="1270" xr:uid="{00000000-0005-0000-0000-00001E040000}"/>
    <cellStyle name="Normal 2 2 2 4" xfId="1271" xr:uid="{00000000-0005-0000-0000-00001F040000}"/>
    <cellStyle name="Normal 2 2 2 4 2" xfId="1272" xr:uid="{00000000-0005-0000-0000-000020040000}"/>
    <cellStyle name="Normal 2 2 2 5" xfId="1273" xr:uid="{00000000-0005-0000-0000-000021040000}"/>
    <cellStyle name="Normal 2 2 2 5 2" xfId="1274" xr:uid="{00000000-0005-0000-0000-000022040000}"/>
    <cellStyle name="Normal 2 2 2 6" xfId="1275" xr:uid="{00000000-0005-0000-0000-000023040000}"/>
    <cellStyle name="Normal 2 2 2 6 2" xfId="1276" xr:uid="{00000000-0005-0000-0000-000024040000}"/>
    <cellStyle name="Normal 2 2 2 7" xfId="1277" xr:uid="{00000000-0005-0000-0000-000025040000}"/>
    <cellStyle name="Normal 2 2 2 7 2" xfId="1278" xr:uid="{00000000-0005-0000-0000-000026040000}"/>
    <cellStyle name="Normal 2 2 2 8" xfId="1279" xr:uid="{00000000-0005-0000-0000-000027040000}"/>
    <cellStyle name="Normal 2 2 2 8 2" xfId="1280" xr:uid="{00000000-0005-0000-0000-000028040000}"/>
    <cellStyle name="Normal 2 2 3" xfId="964" xr:uid="{00000000-0005-0000-0000-000029040000}"/>
    <cellStyle name="Normal 2 2 3 2" xfId="1281" xr:uid="{00000000-0005-0000-0000-00002A040000}"/>
    <cellStyle name="Normal 2 2 4" xfId="1282" xr:uid="{00000000-0005-0000-0000-00002B040000}"/>
    <cellStyle name="Normal 2 2 4 2" xfId="1283" xr:uid="{00000000-0005-0000-0000-00002C040000}"/>
    <cellStyle name="Normal 2 2 5" xfId="1284" xr:uid="{00000000-0005-0000-0000-00002D040000}"/>
    <cellStyle name="Normal 2 2 5 2" xfId="1285" xr:uid="{00000000-0005-0000-0000-00002E040000}"/>
    <cellStyle name="Normal 2 2 6" xfId="1286" xr:uid="{00000000-0005-0000-0000-00002F040000}"/>
    <cellStyle name="Normal 2 2 6 2" xfId="1287" xr:uid="{00000000-0005-0000-0000-000030040000}"/>
    <cellStyle name="Normal 2 2 7" xfId="1288" xr:uid="{00000000-0005-0000-0000-000031040000}"/>
    <cellStyle name="Normal 2 2 7 2" xfId="1289" xr:uid="{00000000-0005-0000-0000-000032040000}"/>
    <cellStyle name="Normal 2 2 8" xfId="1290" xr:uid="{00000000-0005-0000-0000-000033040000}"/>
    <cellStyle name="Normal 2 2 8 2" xfId="1291" xr:uid="{00000000-0005-0000-0000-000034040000}"/>
    <cellStyle name="Normal 2 2 9" xfId="1292" xr:uid="{00000000-0005-0000-0000-000035040000}"/>
    <cellStyle name="Normal 2 2 9 2" xfId="1293" xr:uid="{00000000-0005-0000-0000-000036040000}"/>
    <cellStyle name="Normal 2 2_01-Kotha-Cheruvu" xfId="965" xr:uid="{00000000-0005-0000-0000-000037040000}"/>
    <cellStyle name="Normal 2 3" xfId="748" xr:uid="{00000000-0005-0000-0000-000038040000}"/>
    <cellStyle name="Normal 2 3 2" xfId="966" xr:uid="{00000000-0005-0000-0000-000039040000}"/>
    <cellStyle name="Normal 2 4" xfId="967" xr:uid="{00000000-0005-0000-0000-00003A040000}"/>
    <cellStyle name="Normal 2 4 2" xfId="1294" xr:uid="{00000000-0005-0000-0000-00003B040000}"/>
    <cellStyle name="Normal 2 5" xfId="1024" xr:uid="{00000000-0005-0000-0000-00003C040000}"/>
    <cellStyle name="Normal 2 5 2" xfId="1295" xr:uid="{00000000-0005-0000-0000-00003D040000}"/>
    <cellStyle name="Normal 2 5 2 2" xfId="1296" xr:uid="{00000000-0005-0000-0000-00003E040000}"/>
    <cellStyle name="Normal 2 5 3" xfId="1297" xr:uid="{00000000-0005-0000-0000-00003F040000}"/>
    <cellStyle name="Normal 2 6" xfId="1025" xr:uid="{00000000-0005-0000-0000-000040040000}"/>
    <cellStyle name="Normal 2 6 2" xfId="1298" xr:uid="{00000000-0005-0000-0000-000041040000}"/>
    <cellStyle name="Normal 2 7" xfId="968" xr:uid="{00000000-0005-0000-0000-000042040000}"/>
    <cellStyle name="Normal 2 7 2" xfId="1026" xr:uid="{00000000-0005-0000-0000-000043040000}"/>
    <cellStyle name="Normal 2 7 2 2" xfId="1299" xr:uid="{00000000-0005-0000-0000-000044040000}"/>
    <cellStyle name="Normal 2 7 3" xfId="1300" xr:uid="{00000000-0005-0000-0000-000045040000}"/>
    <cellStyle name="Normal 2 7 3 2" xfId="1301" xr:uid="{00000000-0005-0000-0000-000046040000}"/>
    <cellStyle name="Normal 2 7 3 3" xfId="1302" xr:uid="{00000000-0005-0000-0000-000047040000}"/>
    <cellStyle name="Normal 2 7 4" xfId="1303" xr:uid="{00000000-0005-0000-0000-000048040000}"/>
    <cellStyle name="Normal 2 8" xfId="1027" xr:uid="{00000000-0005-0000-0000-000049040000}"/>
    <cellStyle name="Normal 2 8 2" xfId="1304" xr:uid="{00000000-0005-0000-0000-00004A040000}"/>
    <cellStyle name="Normal 2 9" xfId="1028" xr:uid="{00000000-0005-0000-0000-00004B040000}"/>
    <cellStyle name="Normal 2 9 2" xfId="1305" xr:uid="{00000000-0005-0000-0000-00004C040000}"/>
    <cellStyle name="Normal 2 9 2 2" xfId="1306" xr:uid="{00000000-0005-0000-0000-00004D040000}"/>
    <cellStyle name="Normal 2 9 2 2 2" xfId="1307" xr:uid="{00000000-0005-0000-0000-00004E040000}"/>
    <cellStyle name="Normal 2 9 2 3" xfId="1308" xr:uid="{00000000-0005-0000-0000-00004F040000}"/>
    <cellStyle name="Normal 2 9 3" xfId="1309" xr:uid="{00000000-0005-0000-0000-000050040000}"/>
    <cellStyle name="Normal 20" xfId="907" xr:uid="{00000000-0005-0000-0000-000051040000}"/>
    <cellStyle name="Normal 20 2" xfId="969" xr:uid="{00000000-0005-0000-0000-000052040000}"/>
    <cellStyle name="Normal 21" xfId="970" xr:uid="{00000000-0005-0000-0000-000053040000}"/>
    <cellStyle name="Normal 21 2" xfId="1310" xr:uid="{00000000-0005-0000-0000-000054040000}"/>
    <cellStyle name="Normal 21 2 2" xfId="1311" xr:uid="{00000000-0005-0000-0000-000055040000}"/>
    <cellStyle name="Normal 21 3" xfId="1312" xr:uid="{00000000-0005-0000-0000-000056040000}"/>
    <cellStyle name="Normal 22" xfId="971" xr:uid="{00000000-0005-0000-0000-000057040000}"/>
    <cellStyle name="Normal 22 2" xfId="1029" xr:uid="{00000000-0005-0000-0000-000058040000}"/>
    <cellStyle name="Normal 22 2 2" xfId="1313" xr:uid="{00000000-0005-0000-0000-000059040000}"/>
    <cellStyle name="Normal 22 3" xfId="1314" xr:uid="{00000000-0005-0000-0000-00005A040000}"/>
    <cellStyle name="Normal 23" xfId="972" xr:uid="{00000000-0005-0000-0000-00005B040000}"/>
    <cellStyle name="Normal 23 2" xfId="1030" xr:uid="{00000000-0005-0000-0000-00005C040000}"/>
    <cellStyle name="Normal 24" xfId="986" xr:uid="{00000000-0005-0000-0000-00005D040000}"/>
    <cellStyle name="Normal 24 2" xfId="1315" xr:uid="{00000000-0005-0000-0000-00005E040000}"/>
    <cellStyle name="Normal 24 2 2" xfId="1316" xr:uid="{00000000-0005-0000-0000-00005F040000}"/>
    <cellStyle name="Normal 24 3" xfId="1317" xr:uid="{00000000-0005-0000-0000-000060040000}"/>
    <cellStyle name="Normal 24 3 2" xfId="1318" xr:uid="{00000000-0005-0000-0000-000061040000}"/>
    <cellStyle name="Normal 24 3 2 2" xfId="1319" xr:uid="{00000000-0005-0000-0000-000062040000}"/>
    <cellStyle name="Normal 24 3 3" xfId="1320" xr:uid="{00000000-0005-0000-0000-000063040000}"/>
    <cellStyle name="Normal 24 4" xfId="1321" xr:uid="{00000000-0005-0000-0000-000064040000}"/>
    <cellStyle name="Normal 25" xfId="1031" xr:uid="{00000000-0005-0000-0000-000065040000}"/>
    <cellStyle name="Normal 25 2" xfId="1322" xr:uid="{00000000-0005-0000-0000-000066040000}"/>
    <cellStyle name="Normal 26" xfId="1032" xr:uid="{00000000-0005-0000-0000-000067040000}"/>
    <cellStyle name="Normal 26 2" xfId="1033" xr:uid="{00000000-0005-0000-0000-000068040000}"/>
    <cellStyle name="Normal 27" xfId="1034" xr:uid="{00000000-0005-0000-0000-000069040000}"/>
    <cellStyle name="Normal 27 2" xfId="1323" xr:uid="{00000000-0005-0000-0000-00006A040000}"/>
    <cellStyle name="Normal 28" xfId="1035" xr:uid="{00000000-0005-0000-0000-00006B040000}"/>
    <cellStyle name="Normal 28 2" xfId="1324" xr:uid="{00000000-0005-0000-0000-00006C040000}"/>
    <cellStyle name="Normal 28 2 2" xfId="1325" xr:uid="{00000000-0005-0000-0000-00006D040000}"/>
    <cellStyle name="Normal 28 3" xfId="1326" xr:uid="{00000000-0005-0000-0000-00006E040000}"/>
    <cellStyle name="Normal 29" xfId="1036" xr:uid="{00000000-0005-0000-0000-00006F040000}"/>
    <cellStyle name="Normal 29 2" xfId="1327" xr:uid="{00000000-0005-0000-0000-000070040000}"/>
    <cellStyle name="Normal 29 2 2" xfId="1328" xr:uid="{00000000-0005-0000-0000-000071040000}"/>
    <cellStyle name="Normal 29 2 3" xfId="1329" xr:uid="{00000000-0005-0000-0000-000072040000}"/>
    <cellStyle name="Normal 29 3" xfId="1330" xr:uid="{00000000-0005-0000-0000-000073040000}"/>
    <cellStyle name="Normal 3" xfId="4" xr:uid="{00000000-0005-0000-0000-000074040000}"/>
    <cellStyle name="Normal 3 2" xfId="15" xr:uid="{00000000-0005-0000-0000-000075040000}"/>
    <cellStyle name="Normal 3 2 2" xfId="16" xr:uid="{00000000-0005-0000-0000-000076040000}"/>
    <cellStyle name="Normal 3 2 2 2" xfId="1331" xr:uid="{00000000-0005-0000-0000-000077040000}"/>
    <cellStyle name="Normal 3 2 2 2 2" xfId="1332" xr:uid="{00000000-0005-0000-0000-000078040000}"/>
    <cellStyle name="Normal 3 2 3" xfId="973" xr:uid="{00000000-0005-0000-0000-000079040000}"/>
    <cellStyle name="Normal 3 2 3 2" xfId="1333" xr:uid="{00000000-0005-0000-0000-00007A040000}"/>
    <cellStyle name="Normal 3 2 3 2 2" xfId="1334" xr:uid="{00000000-0005-0000-0000-00007B040000}"/>
    <cellStyle name="Normal 3 2 3 3" xfId="1335" xr:uid="{00000000-0005-0000-0000-00007C040000}"/>
    <cellStyle name="Normal 3 2 4" xfId="1336" xr:uid="{00000000-0005-0000-0000-00007D040000}"/>
    <cellStyle name="Normal 3 2 4 2" xfId="1337" xr:uid="{00000000-0005-0000-0000-00007E040000}"/>
    <cellStyle name="Normal 3 2 5" xfId="1338" xr:uid="{00000000-0005-0000-0000-00007F040000}"/>
    <cellStyle name="Normal 3 3" xfId="17" xr:uid="{00000000-0005-0000-0000-000080040000}"/>
    <cellStyle name="Normal 3 3 2" xfId="1037" xr:uid="{00000000-0005-0000-0000-000081040000}"/>
    <cellStyle name="Normal 3 4" xfId="974" xr:uid="{00000000-0005-0000-0000-000082040000}"/>
    <cellStyle name="Normal 3 4 2" xfId="1339" xr:uid="{00000000-0005-0000-0000-000083040000}"/>
    <cellStyle name="Normal 3 5" xfId="987" xr:uid="{00000000-0005-0000-0000-000084040000}"/>
    <cellStyle name="Normal 3 5 2" xfId="1340" xr:uid="{00000000-0005-0000-0000-000085040000}"/>
    <cellStyle name="Normal 3 6" xfId="1038" xr:uid="{00000000-0005-0000-0000-000086040000}"/>
    <cellStyle name="Normal 3 6 2" xfId="1341" xr:uid="{00000000-0005-0000-0000-000087040000}"/>
    <cellStyle name="Normal 3 7" xfId="1039" xr:uid="{00000000-0005-0000-0000-000088040000}"/>
    <cellStyle name="Normal 3 7 2" xfId="1342" xr:uid="{00000000-0005-0000-0000-000089040000}"/>
    <cellStyle name="Normal 3 7 3" xfId="1343" xr:uid="{00000000-0005-0000-0000-00008A040000}"/>
    <cellStyle name="Normal 3 8" xfId="1040" xr:uid="{00000000-0005-0000-0000-00008B040000}"/>
    <cellStyle name="Normal 3 9" xfId="1041" xr:uid="{00000000-0005-0000-0000-00008C040000}"/>
    <cellStyle name="Normal 3_01-Janakama-Cheruvu" xfId="895" xr:uid="{00000000-0005-0000-0000-00008D040000}"/>
    <cellStyle name="Normal 30" xfId="1042" xr:uid="{00000000-0005-0000-0000-00008E040000}"/>
    <cellStyle name="Normal 31" xfId="1043" xr:uid="{00000000-0005-0000-0000-00008F040000}"/>
    <cellStyle name="Normal 32" xfId="1044" xr:uid="{00000000-0005-0000-0000-000090040000}"/>
    <cellStyle name="Normal 33" xfId="1045" xr:uid="{00000000-0005-0000-0000-000091040000}"/>
    <cellStyle name="Normal 34" xfId="1046" xr:uid="{00000000-0005-0000-0000-000092040000}"/>
    <cellStyle name="Normal 35" xfId="1047" xr:uid="{00000000-0005-0000-0000-000093040000}"/>
    <cellStyle name="Normal 36" xfId="1048" xr:uid="{00000000-0005-0000-0000-000094040000}"/>
    <cellStyle name="Normal 37" xfId="1049" xr:uid="{00000000-0005-0000-0000-000095040000}"/>
    <cellStyle name="Normal 38" xfId="1050" xr:uid="{00000000-0005-0000-0000-000096040000}"/>
    <cellStyle name="Normal 39" xfId="1051" xr:uid="{00000000-0005-0000-0000-000097040000}"/>
    <cellStyle name="Normal 4" xfId="18" xr:uid="{00000000-0005-0000-0000-000098040000}"/>
    <cellStyle name="Normal 4 10" xfId="1052" xr:uid="{00000000-0005-0000-0000-000099040000}"/>
    <cellStyle name="Normal 4 2" xfId="19" xr:uid="{00000000-0005-0000-0000-00009A040000}"/>
    <cellStyle name="Normal 4 2 2" xfId="1344" xr:uid="{00000000-0005-0000-0000-00009B040000}"/>
    <cellStyle name="Normal 4 2 2 2" xfId="1345" xr:uid="{00000000-0005-0000-0000-00009C040000}"/>
    <cellStyle name="Normal 4 3" xfId="896" xr:uid="{00000000-0005-0000-0000-00009D040000}"/>
    <cellStyle name="Normal 4 3 2" xfId="1346" xr:uid="{00000000-0005-0000-0000-00009E040000}"/>
    <cellStyle name="Normal 4 4" xfId="975" xr:uid="{00000000-0005-0000-0000-00009F040000}"/>
    <cellStyle name="Normal 4 4 2" xfId="1347" xr:uid="{00000000-0005-0000-0000-0000A0040000}"/>
    <cellStyle name="Normal 4 5" xfId="1053" xr:uid="{00000000-0005-0000-0000-0000A1040000}"/>
    <cellStyle name="Normal 4 5 2" xfId="1348" xr:uid="{00000000-0005-0000-0000-0000A2040000}"/>
    <cellStyle name="Normal 4 6" xfId="1054" xr:uid="{00000000-0005-0000-0000-0000A3040000}"/>
    <cellStyle name="Normal 4 6 2" xfId="1349" xr:uid="{00000000-0005-0000-0000-0000A4040000}"/>
    <cellStyle name="Normal 4 7" xfId="1055" xr:uid="{00000000-0005-0000-0000-0000A5040000}"/>
    <cellStyle name="Normal 4 7 2" xfId="1350" xr:uid="{00000000-0005-0000-0000-0000A6040000}"/>
    <cellStyle name="Normal 4 7 3" xfId="1351" xr:uid="{00000000-0005-0000-0000-0000A7040000}"/>
    <cellStyle name="Normal 4 8" xfId="1056" xr:uid="{00000000-0005-0000-0000-0000A8040000}"/>
    <cellStyle name="Normal 4 9" xfId="1057" xr:uid="{00000000-0005-0000-0000-0000A9040000}"/>
    <cellStyle name="Normal 4 9 2" xfId="1058" xr:uid="{00000000-0005-0000-0000-0000AA040000}"/>
    <cellStyle name="Normal 4_01-Janakama-Cheruvu" xfId="897" xr:uid="{00000000-0005-0000-0000-0000AB040000}"/>
    <cellStyle name="Normal 40" xfId="1059" xr:uid="{00000000-0005-0000-0000-0000AC040000}"/>
    <cellStyle name="Normal 41" xfId="1060" xr:uid="{00000000-0005-0000-0000-0000AD040000}"/>
    <cellStyle name="Normal 42" xfId="1061" xr:uid="{00000000-0005-0000-0000-0000AE040000}"/>
    <cellStyle name="Normal 43" xfId="1062" xr:uid="{00000000-0005-0000-0000-0000AF040000}"/>
    <cellStyle name="Normal 44" xfId="1063" xr:uid="{00000000-0005-0000-0000-0000B0040000}"/>
    <cellStyle name="Normal 45" xfId="1064" xr:uid="{00000000-0005-0000-0000-0000B1040000}"/>
    <cellStyle name="Normal 46" xfId="1065" xr:uid="{00000000-0005-0000-0000-0000B2040000}"/>
    <cellStyle name="Normal 47" xfId="1066" xr:uid="{00000000-0005-0000-0000-0000B3040000}"/>
    <cellStyle name="Normal 48" xfId="1067" xr:uid="{00000000-0005-0000-0000-0000B4040000}"/>
    <cellStyle name="Normal 49" xfId="1068" xr:uid="{00000000-0005-0000-0000-0000B5040000}"/>
    <cellStyle name="Normal 5" xfId="20" xr:uid="{00000000-0005-0000-0000-0000B6040000}"/>
    <cellStyle name="Normal 5 2" xfId="21" xr:uid="{00000000-0005-0000-0000-0000B7040000}"/>
    <cellStyle name="Normal 5 2 2" xfId="1352" xr:uid="{00000000-0005-0000-0000-0000B8040000}"/>
    <cellStyle name="Normal 5 2 2 2" xfId="1353" xr:uid="{00000000-0005-0000-0000-0000B9040000}"/>
    <cellStyle name="Normal 5 2 2 2 2" xfId="1354" xr:uid="{00000000-0005-0000-0000-0000BA040000}"/>
    <cellStyle name="Normal 5 2 2 2 2 2" xfId="1355" xr:uid="{00000000-0005-0000-0000-0000BB040000}"/>
    <cellStyle name="Normal 5 2 2 2 3" xfId="1356" xr:uid="{00000000-0005-0000-0000-0000BC040000}"/>
    <cellStyle name="Normal 5 2 2 2 3 2" xfId="1357" xr:uid="{00000000-0005-0000-0000-0000BD040000}"/>
    <cellStyle name="Normal 5 2 2 2 3 2 2" xfId="1358" xr:uid="{00000000-0005-0000-0000-0000BE040000}"/>
    <cellStyle name="Normal 5 2 2 2 3 2 2 2" xfId="1359" xr:uid="{00000000-0005-0000-0000-0000BF040000}"/>
    <cellStyle name="Normal 5 2 2 2 3 2 3" xfId="1360" xr:uid="{00000000-0005-0000-0000-0000C0040000}"/>
    <cellStyle name="Normal 5 2 2 2 3 3" xfId="1361" xr:uid="{00000000-0005-0000-0000-0000C1040000}"/>
    <cellStyle name="Normal 5 2 2 2 3 3 2" xfId="1362" xr:uid="{00000000-0005-0000-0000-0000C2040000}"/>
    <cellStyle name="Normal 5 2 2 2 3 4" xfId="1363" xr:uid="{00000000-0005-0000-0000-0000C3040000}"/>
    <cellStyle name="Normal 5 2 2 2 4" xfId="1364" xr:uid="{00000000-0005-0000-0000-0000C4040000}"/>
    <cellStyle name="Normal 5 2 2 2 4 2" xfId="1365" xr:uid="{00000000-0005-0000-0000-0000C5040000}"/>
    <cellStyle name="Normal 5 2 2 2 5" xfId="1366" xr:uid="{00000000-0005-0000-0000-0000C6040000}"/>
    <cellStyle name="Normal 5 2 2 3" xfId="1367" xr:uid="{00000000-0005-0000-0000-0000C7040000}"/>
    <cellStyle name="Normal 5 2 2 3 2" xfId="1368" xr:uid="{00000000-0005-0000-0000-0000C8040000}"/>
    <cellStyle name="Normal 5 2 2 3 3" xfId="1369" xr:uid="{00000000-0005-0000-0000-0000C9040000}"/>
    <cellStyle name="Normal 5 2 2 4" xfId="1370" xr:uid="{00000000-0005-0000-0000-0000CA040000}"/>
    <cellStyle name="Normal 5 2 3" xfId="1371" xr:uid="{00000000-0005-0000-0000-0000CB040000}"/>
    <cellStyle name="Normal 5 3" xfId="1372" xr:uid="{00000000-0005-0000-0000-0000CC040000}"/>
    <cellStyle name="Normal 5 3 2" xfId="3" xr:uid="{00000000-0005-0000-0000-0000CD040000}"/>
    <cellStyle name="Normal 5 3 2 2" xfId="1373" xr:uid="{00000000-0005-0000-0000-0000CE040000}"/>
    <cellStyle name="Normal 5 3 2 2 2" xfId="1374" xr:uid="{00000000-0005-0000-0000-0000CF040000}"/>
    <cellStyle name="Normal 5 3 3" xfId="1375" xr:uid="{00000000-0005-0000-0000-0000D0040000}"/>
    <cellStyle name="Normal 5 3 3 2" xfId="1376" xr:uid="{00000000-0005-0000-0000-0000D1040000}"/>
    <cellStyle name="Normal 5 3 4" xfId="1377" xr:uid="{00000000-0005-0000-0000-0000D2040000}"/>
    <cellStyle name="Normal 5 3 4 2" xfId="1378" xr:uid="{00000000-0005-0000-0000-0000D3040000}"/>
    <cellStyle name="Normal 5 3 5" xfId="1379" xr:uid="{00000000-0005-0000-0000-0000D4040000}"/>
    <cellStyle name="Normal 5 4" xfId="1380" xr:uid="{00000000-0005-0000-0000-0000D5040000}"/>
    <cellStyle name="Normal 5 4 2" xfId="1381" xr:uid="{00000000-0005-0000-0000-0000D6040000}"/>
    <cellStyle name="Normal 5 5" xfId="1382" xr:uid="{00000000-0005-0000-0000-0000D7040000}"/>
    <cellStyle name="Normal 5 5 2" xfId="1383" xr:uid="{00000000-0005-0000-0000-0000D8040000}"/>
    <cellStyle name="Normal 5 6" xfId="1384" xr:uid="{00000000-0005-0000-0000-0000D9040000}"/>
    <cellStyle name="Normal 50" xfId="1069" xr:uid="{00000000-0005-0000-0000-0000DA040000}"/>
    <cellStyle name="Normal 51" xfId="1070" xr:uid="{00000000-0005-0000-0000-0000DB040000}"/>
    <cellStyle name="Normal 52" xfId="1093" xr:uid="{00000000-0005-0000-0000-0000DC040000}"/>
    <cellStyle name="Normal 53" xfId="1420" xr:uid="{00000000-0005-0000-0000-0000DD040000}"/>
    <cellStyle name="Normal 57" xfId="1071" xr:uid="{00000000-0005-0000-0000-0000DE040000}"/>
    <cellStyle name="Normal 6" xfId="898" xr:uid="{00000000-0005-0000-0000-0000DF040000}"/>
    <cellStyle name="Normal 6 2" xfId="976" xr:uid="{00000000-0005-0000-0000-0000E0040000}"/>
    <cellStyle name="Normal 6 2 2" xfId="1385" xr:uid="{00000000-0005-0000-0000-0000E1040000}"/>
    <cellStyle name="Normal 6 3" xfId="977" xr:uid="{00000000-0005-0000-0000-0000E2040000}"/>
    <cellStyle name="Normal 6 3 2" xfId="1386" xr:uid="{00000000-0005-0000-0000-0000E3040000}"/>
    <cellStyle name="Normal 6 4" xfId="1072" xr:uid="{00000000-0005-0000-0000-0000E4040000}"/>
    <cellStyle name="Normal 6 4 2" xfId="1387" xr:uid="{00000000-0005-0000-0000-0000E5040000}"/>
    <cellStyle name="Normal 6 5" xfId="1388" xr:uid="{00000000-0005-0000-0000-0000E6040000}"/>
    <cellStyle name="Normal 7" xfId="899" xr:uid="{00000000-0005-0000-0000-0000E7040000}"/>
    <cellStyle name="Normal 7 2" xfId="978" xr:uid="{00000000-0005-0000-0000-0000E8040000}"/>
    <cellStyle name="Normal 7 2 2" xfId="1389" xr:uid="{00000000-0005-0000-0000-0000E9040000}"/>
    <cellStyle name="Normal 7 3" xfId="1073" xr:uid="{00000000-0005-0000-0000-0000EA040000}"/>
    <cellStyle name="Normal 7 3 2" xfId="1390" xr:uid="{00000000-0005-0000-0000-0000EB040000}"/>
    <cellStyle name="Normal 7 3 3" xfId="1391" xr:uid="{00000000-0005-0000-0000-0000EC040000}"/>
    <cellStyle name="Normal 7 4" xfId="1392" xr:uid="{00000000-0005-0000-0000-0000ED040000}"/>
    <cellStyle name="Normal 8" xfId="22" xr:uid="{00000000-0005-0000-0000-0000EE040000}"/>
    <cellStyle name="Normal 8 2" xfId="979" xr:uid="{00000000-0005-0000-0000-0000EF040000}"/>
    <cellStyle name="Normal 8 2 2" xfId="1393" xr:uid="{00000000-0005-0000-0000-0000F0040000}"/>
    <cellStyle name="Normal 8 3" xfId="1394" xr:uid="{00000000-0005-0000-0000-0000F1040000}"/>
    <cellStyle name="Normal 9" xfId="900" xr:uid="{00000000-0005-0000-0000-0000F2040000}"/>
    <cellStyle name="Normal 9 2" xfId="980" xr:uid="{00000000-0005-0000-0000-0000F3040000}"/>
    <cellStyle name="Normal 9 2 2" xfId="1395" xr:uid="{00000000-0005-0000-0000-0000F4040000}"/>
    <cellStyle name="Normal 9 3" xfId="1396" xr:uid="{00000000-0005-0000-0000-0000F5040000}"/>
    <cellStyle name="Normal 9 3 2" xfId="1397" xr:uid="{00000000-0005-0000-0000-0000F6040000}"/>
    <cellStyle name="Normal 9 4" xfId="1398" xr:uid="{00000000-0005-0000-0000-0000F7040000}"/>
    <cellStyle name="Normal 9 4 2" xfId="1399" xr:uid="{00000000-0005-0000-0000-0000F8040000}"/>
    <cellStyle name="Normal 9 5" xfId="1400" xr:uid="{00000000-0005-0000-0000-0000F9040000}"/>
    <cellStyle name="Normal 9 5 2" xfId="1401" xr:uid="{00000000-0005-0000-0000-0000FA040000}"/>
    <cellStyle name="Normal 9 6" xfId="1402" xr:uid="{00000000-0005-0000-0000-0000FB040000}"/>
    <cellStyle name="Normal 9 6 2" xfId="1403" xr:uid="{00000000-0005-0000-0000-0000FC040000}"/>
    <cellStyle name="Normal 9 7" xfId="1404" xr:uid="{00000000-0005-0000-0000-0000FD040000}"/>
    <cellStyle name="Normal_xx" xfId="985" xr:uid="{00000000-0005-0000-0000-0000FE040000}"/>
    <cellStyle name="Note 10 2" xfId="749" xr:uid="{00000000-0005-0000-0000-0000FF040000}"/>
    <cellStyle name="Note 11 2" xfId="750" xr:uid="{00000000-0005-0000-0000-000000050000}"/>
    <cellStyle name="Note 12 2" xfId="751" xr:uid="{00000000-0005-0000-0000-000001050000}"/>
    <cellStyle name="Note 13 2" xfId="752" xr:uid="{00000000-0005-0000-0000-000002050000}"/>
    <cellStyle name="Note 14 2" xfId="753" xr:uid="{00000000-0005-0000-0000-000003050000}"/>
    <cellStyle name="Note 15 2" xfId="754" xr:uid="{00000000-0005-0000-0000-000004050000}"/>
    <cellStyle name="Note 16 2" xfId="755" xr:uid="{00000000-0005-0000-0000-000005050000}"/>
    <cellStyle name="Note 17 2" xfId="756" xr:uid="{00000000-0005-0000-0000-000006050000}"/>
    <cellStyle name="Note 18 2" xfId="757" xr:uid="{00000000-0005-0000-0000-000007050000}"/>
    <cellStyle name="Note 19 2" xfId="758" xr:uid="{00000000-0005-0000-0000-000008050000}"/>
    <cellStyle name="Note 2" xfId="901" xr:uid="{00000000-0005-0000-0000-000009050000}"/>
    <cellStyle name="Note 2 2" xfId="759" xr:uid="{00000000-0005-0000-0000-00000A050000}"/>
    <cellStyle name="Note 20 2" xfId="760" xr:uid="{00000000-0005-0000-0000-00000B050000}"/>
    <cellStyle name="Note 21 2" xfId="761" xr:uid="{00000000-0005-0000-0000-00000C050000}"/>
    <cellStyle name="Note 3 2" xfId="762" xr:uid="{00000000-0005-0000-0000-00000D050000}"/>
    <cellStyle name="Note 4 2" xfId="763" xr:uid="{00000000-0005-0000-0000-00000E050000}"/>
    <cellStyle name="Note 5 2" xfId="764" xr:uid="{00000000-0005-0000-0000-00000F050000}"/>
    <cellStyle name="Note 6 2" xfId="765" xr:uid="{00000000-0005-0000-0000-000010050000}"/>
    <cellStyle name="Note 7 2" xfId="766" xr:uid="{00000000-0005-0000-0000-000011050000}"/>
    <cellStyle name="Note 8 2" xfId="767" xr:uid="{00000000-0005-0000-0000-000012050000}"/>
    <cellStyle name="Note 9 2" xfId="768" xr:uid="{00000000-0005-0000-0000-000013050000}"/>
    <cellStyle name="Œ…‹æØ‚è [0.00]_Region Orders (2)" xfId="1074" xr:uid="{00000000-0005-0000-0000-000014050000}"/>
    <cellStyle name="Œ…‹æØ‚è_Region Orders (2)" xfId="1075" xr:uid="{00000000-0005-0000-0000-000015050000}"/>
    <cellStyle name="Output 10 2" xfId="769" xr:uid="{00000000-0005-0000-0000-000016050000}"/>
    <cellStyle name="Output 11 2" xfId="770" xr:uid="{00000000-0005-0000-0000-000017050000}"/>
    <cellStyle name="Output 12 2" xfId="771" xr:uid="{00000000-0005-0000-0000-000018050000}"/>
    <cellStyle name="Output 13 2" xfId="772" xr:uid="{00000000-0005-0000-0000-000019050000}"/>
    <cellStyle name="Output 14 2" xfId="773" xr:uid="{00000000-0005-0000-0000-00001A050000}"/>
    <cellStyle name="Output 15 2" xfId="774" xr:uid="{00000000-0005-0000-0000-00001B050000}"/>
    <cellStyle name="Output 16 2" xfId="775" xr:uid="{00000000-0005-0000-0000-00001C050000}"/>
    <cellStyle name="Output 17 2" xfId="776" xr:uid="{00000000-0005-0000-0000-00001D050000}"/>
    <cellStyle name="Output 18 2" xfId="777" xr:uid="{00000000-0005-0000-0000-00001E050000}"/>
    <cellStyle name="Output 19 2" xfId="778" xr:uid="{00000000-0005-0000-0000-00001F050000}"/>
    <cellStyle name="Output 2" xfId="902" xr:uid="{00000000-0005-0000-0000-000020050000}"/>
    <cellStyle name="Output 2 2" xfId="779" xr:uid="{00000000-0005-0000-0000-000021050000}"/>
    <cellStyle name="Output 20 2" xfId="780" xr:uid="{00000000-0005-0000-0000-000022050000}"/>
    <cellStyle name="Output 21 2" xfId="781" xr:uid="{00000000-0005-0000-0000-000023050000}"/>
    <cellStyle name="Output 3 2" xfId="782" xr:uid="{00000000-0005-0000-0000-000024050000}"/>
    <cellStyle name="Output 4 2" xfId="783" xr:uid="{00000000-0005-0000-0000-000025050000}"/>
    <cellStyle name="Output 5 2" xfId="784" xr:uid="{00000000-0005-0000-0000-000026050000}"/>
    <cellStyle name="Output 6 2" xfId="785" xr:uid="{00000000-0005-0000-0000-000027050000}"/>
    <cellStyle name="Output 7 2" xfId="786" xr:uid="{00000000-0005-0000-0000-000028050000}"/>
    <cellStyle name="Output 8 2" xfId="787" xr:uid="{00000000-0005-0000-0000-000029050000}"/>
    <cellStyle name="Output 9 2" xfId="788" xr:uid="{00000000-0005-0000-0000-00002A050000}"/>
    <cellStyle name="per.style" xfId="1076" xr:uid="{00000000-0005-0000-0000-00002B050000}"/>
    <cellStyle name="Percent [2]" xfId="23" xr:uid="{00000000-0005-0000-0000-00002C050000}"/>
    <cellStyle name="Percent 2" xfId="981" xr:uid="{00000000-0005-0000-0000-00002D050000}"/>
    <cellStyle name="Percent 2 2" xfId="1405" xr:uid="{00000000-0005-0000-0000-00002E050000}"/>
    <cellStyle name="Percent 2 2 2" xfId="1406" xr:uid="{00000000-0005-0000-0000-00002F050000}"/>
    <cellStyle name="Percent 2 3" xfId="1407" xr:uid="{00000000-0005-0000-0000-000030050000}"/>
    <cellStyle name="Percent 2 3 2" xfId="1408" xr:uid="{00000000-0005-0000-0000-000031050000}"/>
    <cellStyle name="Percent 2 4" xfId="1409" xr:uid="{00000000-0005-0000-0000-000032050000}"/>
    <cellStyle name="Percent 2 4 2" xfId="1410" xr:uid="{00000000-0005-0000-0000-000033050000}"/>
    <cellStyle name="Percent 2 5" xfId="1411" xr:uid="{00000000-0005-0000-0000-000034050000}"/>
    <cellStyle name="Percent 2 5 2" xfId="1412" xr:uid="{00000000-0005-0000-0000-000035050000}"/>
    <cellStyle name="Percent 2 6" xfId="1413" xr:uid="{00000000-0005-0000-0000-000036050000}"/>
    <cellStyle name="Percent 2 6 2" xfId="1414" xr:uid="{00000000-0005-0000-0000-000037050000}"/>
    <cellStyle name="Percent 2 7" xfId="1415" xr:uid="{00000000-0005-0000-0000-000038050000}"/>
    <cellStyle name="Percent 2 7 2" xfId="1416" xr:uid="{00000000-0005-0000-0000-000039050000}"/>
    <cellStyle name="Percent 3" xfId="982" xr:uid="{00000000-0005-0000-0000-00003A050000}"/>
    <cellStyle name="Percent 3 2" xfId="1077" xr:uid="{00000000-0005-0000-0000-00003B050000}"/>
    <cellStyle name="Percent 3 3" xfId="1078" xr:uid="{00000000-0005-0000-0000-00003C050000}"/>
    <cellStyle name="Percent 4" xfId="1079" xr:uid="{00000000-0005-0000-0000-00003D050000}"/>
    <cellStyle name="Percent 4 3" xfId="1080" xr:uid="{00000000-0005-0000-0000-00003E050000}"/>
    <cellStyle name="Percent 8" xfId="1081" xr:uid="{00000000-0005-0000-0000-00003F050000}"/>
    <cellStyle name="pricing" xfId="1082" xr:uid="{00000000-0005-0000-0000-000040050000}"/>
    <cellStyle name="PSChar" xfId="1083" xr:uid="{00000000-0005-0000-0000-000041050000}"/>
    <cellStyle name="RevList" xfId="24" xr:uid="{00000000-0005-0000-0000-000042050000}"/>
    <cellStyle name="RevList 2" xfId="1084" xr:uid="{00000000-0005-0000-0000-000043050000}"/>
    <cellStyle name="Sheet Title" xfId="983" xr:uid="{00000000-0005-0000-0000-000044050000}"/>
    <cellStyle name="Sheet Title 2" xfId="1417" xr:uid="{00000000-0005-0000-0000-000045050000}"/>
    <cellStyle name="style" xfId="1085" xr:uid="{00000000-0005-0000-0000-000046050000}"/>
    <cellStyle name="style1" xfId="1086" xr:uid="{00000000-0005-0000-0000-000047050000}"/>
    <cellStyle name="style2" xfId="1087" xr:uid="{00000000-0005-0000-0000-000048050000}"/>
    <cellStyle name="Subtotal" xfId="25" xr:uid="{00000000-0005-0000-0000-000049050000}"/>
    <cellStyle name="Subtotal 2" xfId="1088" xr:uid="{00000000-0005-0000-0000-00004A050000}"/>
    <cellStyle name="þ_x001d_ð &amp;ý&amp;†ýG_x0008_ X_x000a__x0007__x0001__x0001_" xfId="1089" xr:uid="{00000000-0005-0000-0000-00004B050000}"/>
    <cellStyle name="þ_x001d_ð&quot;_x000c_Býò_x000c_5ýU_x0001_e_x0005_¹,_x0007__x0001__x0001_" xfId="1090" xr:uid="{00000000-0005-0000-0000-00004C050000}"/>
    <cellStyle name="Times New Roman" xfId="1091" xr:uid="{00000000-0005-0000-0000-00004D050000}"/>
    <cellStyle name="Title 10 2" xfId="789" xr:uid="{00000000-0005-0000-0000-00004E050000}"/>
    <cellStyle name="Title 11 2" xfId="790" xr:uid="{00000000-0005-0000-0000-00004F050000}"/>
    <cellStyle name="Title 12 2" xfId="791" xr:uid="{00000000-0005-0000-0000-000050050000}"/>
    <cellStyle name="Title 13 2" xfId="792" xr:uid="{00000000-0005-0000-0000-000051050000}"/>
    <cellStyle name="Title 14 2" xfId="793" xr:uid="{00000000-0005-0000-0000-000052050000}"/>
    <cellStyle name="Title 15 2" xfId="794" xr:uid="{00000000-0005-0000-0000-000053050000}"/>
    <cellStyle name="Title 16 2" xfId="795" xr:uid="{00000000-0005-0000-0000-000054050000}"/>
    <cellStyle name="Title 17 2" xfId="796" xr:uid="{00000000-0005-0000-0000-000055050000}"/>
    <cellStyle name="Title 18 2" xfId="797" xr:uid="{00000000-0005-0000-0000-000056050000}"/>
    <cellStyle name="Title 19 2" xfId="798" xr:uid="{00000000-0005-0000-0000-000057050000}"/>
    <cellStyle name="Title 2" xfId="903" xr:uid="{00000000-0005-0000-0000-000058050000}"/>
    <cellStyle name="Title 2 2" xfId="799" xr:uid="{00000000-0005-0000-0000-000059050000}"/>
    <cellStyle name="Title 20 2" xfId="800" xr:uid="{00000000-0005-0000-0000-00005A050000}"/>
    <cellStyle name="Title 21 2" xfId="801" xr:uid="{00000000-0005-0000-0000-00005B050000}"/>
    <cellStyle name="Title 3 2" xfId="802" xr:uid="{00000000-0005-0000-0000-00005C050000}"/>
    <cellStyle name="Title 4 2" xfId="803" xr:uid="{00000000-0005-0000-0000-00005D050000}"/>
    <cellStyle name="Title 5 2" xfId="804" xr:uid="{00000000-0005-0000-0000-00005E050000}"/>
    <cellStyle name="Title 6 2" xfId="805" xr:uid="{00000000-0005-0000-0000-00005F050000}"/>
    <cellStyle name="Title 7 2" xfId="806" xr:uid="{00000000-0005-0000-0000-000060050000}"/>
    <cellStyle name="Title 8 2" xfId="807" xr:uid="{00000000-0005-0000-0000-000061050000}"/>
    <cellStyle name="Title 9 2" xfId="808" xr:uid="{00000000-0005-0000-0000-000062050000}"/>
    <cellStyle name="Total 10 2" xfId="809" xr:uid="{00000000-0005-0000-0000-000063050000}"/>
    <cellStyle name="Total 11 2" xfId="810" xr:uid="{00000000-0005-0000-0000-000064050000}"/>
    <cellStyle name="Total 12 2" xfId="811" xr:uid="{00000000-0005-0000-0000-000065050000}"/>
    <cellStyle name="Total 13 2" xfId="812" xr:uid="{00000000-0005-0000-0000-000066050000}"/>
    <cellStyle name="Total 14 2" xfId="813" xr:uid="{00000000-0005-0000-0000-000067050000}"/>
    <cellStyle name="Total 15 2" xfId="814" xr:uid="{00000000-0005-0000-0000-000068050000}"/>
    <cellStyle name="Total 16 2" xfId="815" xr:uid="{00000000-0005-0000-0000-000069050000}"/>
    <cellStyle name="Total 17 2" xfId="816" xr:uid="{00000000-0005-0000-0000-00006A050000}"/>
    <cellStyle name="Total 18 2" xfId="817" xr:uid="{00000000-0005-0000-0000-00006B050000}"/>
    <cellStyle name="Total 19 2" xfId="818" xr:uid="{00000000-0005-0000-0000-00006C050000}"/>
    <cellStyle name="Total 2" xfId="904" xr:uid="{00000000-0005-0000-0000-00006D050000}"/>
    <cellStyle name="Total 2 2" xfId="819" xr:uid="{00000000-0005-0000-0000-00006E050000}"/>
    <cellStyle name="Total 20 2" xfId="820" xr:uid="{00000000-0005-0000-0000-00006F050000}"/>
    <cellStyle name="Total 21 2" xfId="821" xr:uid="{00000000-0005-0000-0000-000070050000}"/>
    <cellStyle name="Total 3 2" xfId="822" xr:uid="{00000000-0005-0000-0000-000071050000}"/>
    <cellStyle name="Total 4 2" xfId="823" xr:uid="{00000000-0005-0000-0000-000072050000}"/>
    <cellStyle name="Total 5 2" xfId="824" xr:uid="{00000000-0005-0000-0000-000073050000}"/>
    <cellStyle name="Total 6 2" xfId="825" xr:uid="{00000000-0005-0000-0000-000074050000}"/>
    <cellStyle name="Total 7 2" xfId="826" xr:uid="{00000000-0005-0000-0000-000075050000}"/>
    <cellStyle name="Total 8 2" xfId="827" xr:uid="{00000000-0005-0000-0000-000076050000}"/>
    <cellStyle name="Total 9 2" xfId="828" xr:uid="{00000000-0005-0000-0000-000077050000}"/>
    <cellStyle name="TRS" xfId="1418" xr:uid="{00000000-0005-0000-0000-000078050000}"/>
    <cellStyle name="TRS 2" xfId="1419" xr:uid="{00000000-0005-0000-0000-000079050000}"/>
    <cellStyle name="v_25-8-2010  ABS &amp; Det" xfId="1422" xr:uid="{00000000-0005-0000-0000-00007A050000}"/>
    <cellStyle name="Value" xfId="1092" xr:uid="{00000000-0005-0000-0000-00007B050000}"/>
    <cellStyle name="Warning Text 10 2" xfId="829" xr:uid="{00000000-0005-0000-0000-00007C050000}"/>
    <cellStyle name="Warning Text 11 2" xfId="830" xr:uid="{00000000-0005-0000-0000-00007D050000}"/>
    <cellStyle name="Warning Text 12 2" xfId="831" xr:uid="{00000000-0005-0000-0000-00007E050000}"/>
    <cellStyle name="Warning Text 13 2" xfId="832" xr:uid="{00000000-0005-0000-0000-00007F050000}"/>
    <cellStyle name="Warning Text 14 2" xfId="833" xr:uid="{00000000-0005-0000-0000-000080050000}"/>
    <cellStyle name="Warning Text 15 2" xfId="834" xr:uid="{00000000-0005-0000-0000-000081050000}"/>
    <cellStyle name="Warning Text 16 2" xfId="835" xr:uid="{00000000-0005-0000-0000-000082050000}"/>
    <cellStyle name="Warning Text 17 2" xfId="836" xr:uid="{00000000-0005-0000-0000-000083050000}"/>
    <cellStyle name="Warning Text 18 2" xfId="837" xr:uid="{00000000-0005-0000-0000-000084050000}"/>
    <cellStyle name="Warning Text 19 2" xfId="838" xr:uid="{00000000-0005-0000-0000-000085050000}"/>
    <cellStyle name="Warning Text 2" xfId="905" xr:uid="{00000000-0005-0000-0000-000086050000}"/>
    <cellStyle name="Warning Text 2 2" xfId="839" xr:uid="{00000000-0005-0000-0000-000087050000}"/>
    <cellStyle name="Warning Text 20 2" xfId="840" xr:uid="{00000000-0005-0000-0000-000088050000}"/>
    <cellStyle name="Warning Text 21 2" xfId="841" xr:uid="{00000000-0005-0000-0000-000089050000}"/>
    <cellStyle name="Warning Text 3 2" xfId="842" xr:uid="{00000000-0005-0000-0000-00008A050000}"/>
    <cellStyle name="Warning Text 4 2" xfId="843" xr:uid="{00000000-0005-0000-0000-00008B050000}"/>
    <cellStyle name="Warning Text 5 2" xfId="844" xr:uid="{00000000-0005-0000-0000-00008C050000}"/>
    <cellStyle name="Warning Text 6 2" xfId="845" xr:uid="{00000000-0005-0000-0000-00008D050000}"/>
    <cellStyle name="Warning Text 7 2" xfId="846" xr:uid="{00000000-0005-0000-0000-00008E050000}"/>
    <cellStyle name="Warning Text 8 2" xfId="847" xr:uid="{00000000-0005-0000-0000-00008F050000}"/>
    <cellStyle name="Warning Text 9 2" xfId="848" xr:uid="{00000000-0005-0000-0000-00009005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8.xml"/><Relationship Id="rId299" Type="http://schemas.openxmlformats.org/officeDocument/2006/relationships/externalLink" Target="externalLinks/externalLink290.xml"/><Relationship Id="rId21" Type="http://schemas.openxmlformats.org/officeDocument/2006/relationships/externalLink" Target="externalLinks/externalLink12.xml"/><Relationship Id="rId63" Type="http://schemas.openxmlformats.org/officeDocument/2006/relationships/externalLink" Target="externalLinks/externalLink54.xml"/><Relationship Id="rId159" Type="http://schemas.openxmlformats.org/officeDocument/2006/relationships/externalLink" Target="externalLinks/externalLink150.xml"/><Relationship Id="rId170" Type="http://schemas.openxmlformats.org/officeDocument/2006/relationships/externalLink" Target="externalLinks/externalLink161.xml"/><Relationship Id="rId226" Type="http://schemas.openxmlformats.org/officeDocument/2006/relationships/externalLink" Target="externalLinks/externalLink217.xml"/><Relationship Id="rId268" Type="http://schemas.openxmlformats.org/officeDocument/2006/relationships/externalLink" Target="externalLinks/externalLink259.xml"/><Relationship Id="rId32" Type="http://schemas.openxmlformats.org/officeDocument/2006/relationships/externalLink" Target="externalLinks/externalLink23.xml"/><Relationship Id="rId74" Type="http://schemas.openxmlformats.org/officeDocument/2006/relationships/externalLink" Target="externalLinks/externalLink65.xml"/><Relationship Id="rId128" Type="http://schemas.openxmlformats.org/officeDocument/2006/relationships/externalLink" Target="externalLinks/externalLink119.xml"/><Relationship Id="rId5" Type="http://schemas.openxmlformats.org/officeDocument/2006/relationships/worksheet" Target="worksheets/sheet5.xml"/><Relationship Id="rId181" Type="http://schemas.openxmlformats.org/officeDocument/2006/relationships/externalLink" Target="externalLinks/externalLink172.xml"/><Relationship Id="rId237" Type="http://schemas.openxmlformats.org/officeDocument/2006/relationships/externalLink" Target="externalLinks/externalLink228.xml"/><Relationship Id="rId279" Type="http://schemas.openxmlformats.org/officeDocument/2006/relationships/externalLink" Target="externalLinks/externalLink270.xml"/><Relationship Id="rId43" Type="http://schemas.openxmlformats.org/officeDocument/2006/relationships/externalLink" Target="externalLinks/externalLink34.xml"/><Relationship Id="rId139" Type="http://schemas.openxmlformats.org/officeDocument/2006/relationships/externalLink" Target="externalLinks/externalLink130.xml"/><Relationship Id="rId290" Type="http://schemas.openxmlformats.org/officeDocument/2006/relationships/externalLink" Target="externalLinks/externalLink281.xml"/><Relationship Id="rId304" Type="http://schemas.openxmlformats.org/officeDocument/2006/relationships/externalLink" Target="externalLinks/externalLink295.xml"/><Relationship Id="rId85" Type="http://schemas.openxmlformats.org/officeDocument/2006/relationships/externalLink" Target="externalLinks/externalLink76.xml"/><Relationship Id="rId150" Type="http://schemas.openxmlformats.org/officeDocument/2006/relationships/externalLink" Target="externalLinks/externalLink141.xml"/><Relationship Id="rId192" Type="http://schemas.openxmlformats.org/officeDocument/2006/relationships/externalLink" Target="externalLinks/externalLink183.xml"/><Relationship Id="rId206" Type="http://schemas.openxmlformats.org/officeDocument/2006/relationships/externalLink" Target="externalLinks/externalLink197.xml"/><Relationship Id="rId248" Type="http://schemas.openxmlformats.org/officeDocument/2006/relationships/externalLink" Target="externalLinks/externalLink239.xml"/><Relationship Id="rId12" Type="http://schemas.openxmlformats.org/officeDocument/2006/relationships/externalLink" Target="externalLinks/externalLink3.xml"/><Relationship Id="rId108" Type="http://schemas.openxmlformats.org/officeDocument/2006/relationships/externalLink" Target="externalLinks/externalLink99.xml"/><Relationship Id="rId54" Type="http://schemas.openxmlformats.org/officeDocument/2006/relationships/externalLink" Target="externalLinks/externalLink45.xml"/><Relationship Id="rId96" Type="http://schemas.openxmlformats.org/officeDocument/2006/relationships/externalLink" Target="externalLinks/externalLink87.xml"/><Relationship Id="rId161" Type="http://schemas.openxmlformats.org/officeDocument/2006/relationships/externalLink" Target="externalLinks/externalLink152.xml"/><Relationship Id="rId217" Type="http://schemas.openxmlformats.org/officeDocument/2006/relationships/externalLink" Target="externalLinks/externalLink208.xml"/><Relationship Id="rId259" Type="http://schemas.openxmlformats.org/officeDocument/2006/relationships/externalLink" Target="externalLinks/externalLink250.xml"/><Relationship Id="rId23" Type="http://schemas.openxmlformats.org/officeDocument/2006/relationships/externalLink" Target="externalLinks/externalLink14.xml"/><Relationship Id="rId119" Type="http://schemas.openxmlformats.org/officeDocument/2006/relationships/externalLink" Target="externalLinks/externalLink110.xml"/><Relationship Id="rId270" Type="http://schemas.openxmlformats.org/officeDocument/2006/relationships/externalLink" Target="externalLinks/externalLink261.xml"/><Relationship Id="rId44" Type="http://schemas.openxmlformats.org/officeDocument/2006/relationships/externalLink" Target="externalLinks/externalLink35.xml"/><Relationship Id="rId65" Type="http://schemas.openxmlformats.org/officeDocument/2006/relationships/externalLink" Target="externalLinks/externalLink56.xml"/><Relationship Id="rId86" Type="http://schemas.openxmlformats.org/officeDocument/2006/relationships/externalLink" Target="externalLinks/externalLink77.xml"/><Relationship Id="rId130" Type="http://schemas.openxmlformats.org/officeDocument/2006/relationships/externalLink" Target="externalLinks/externalLink121.xml"/><Relationship Id="rId151" Type="http://schemas.openxmlformats.org/officeDocument/2006/relationships/externalLink" Target="externalLinks/externalLink142.xml"/><Relationship Id="rId172" Type="http://schemas.openxmlformats.org/officeDocument/2006/relationships/externalLink" Target="externalLinks/externalLink163.xml"/><Relationship Id="rId193" Type="http://schemas.openxmlformats.org/officeDocument/2006/relationships/externalLink" Target="externalLinks/externalLink184.xml"/><Relationship Id="rId207" Type="http://schemas.openxmlformats.org/officeDocument/2006/relationships/externalLink" Target="externalLinks/externalLink198.xml"/><Relationship Id="rId228" Type="http://schemas.openxmlformats.org/officeDocument/2006/relationships/externalLink" Target="externalLinks/externalLink219.xml"/><Relationship Id="rId249" Type="http://schemas.openxmlformats.org/officeDocument/2006/relationships/externalLink" Target="externalLinks/externalLink240.xml"/><Relationship Id="rId13" Type="http://schemas.openxmlformats.org/officeDocument/2006/relationships/externalLink" Target="externalLinks/externalLink4.xml"/><Relationship Id="rId109" Type="http://schemas.openxmlformats.org/officeDocument/2006/relationships/externalLink" Target="externalLinks/externalLink100.xml"/><Relationship Id="rId260" Type="http://schemas.openxmlformats.org/officeDocument/2006/relationships/externalLink" Target="externalLinks/externalLink251.xml"/><Relationship Id="rId281" Type="http://schemas.openxmlformats.org/officeDocument/2006/relationships/externalLink" Target="externalLinks/externalLink272.xml"/><Relationship Id="rId34" Type="http://schemas.openxmlformats.org/officeDocument/2006/relationships/externalLink" Target="externalLinks/externalLink25.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20" Type="http://schemas.openxmlformats.org/officeDocument/2006/relationships/externalLink" Target="externalLinks/externalLink111.xml"/><Relationship Id="rId141" Type="http://schemas.openxmlformats.org/officeDocument/2006/relationships/externalLink" Target="externalLinks/externalLink132.xml"/><Relationship Id="rId7" Type="http://schemas.openxmlformats.org/officeDocument/2006/relationships/worksheet" Target="worksheets/sheet7.xml"/><Relationship Id="rId162" Type="http://schemas.openxmlformats.org/officeDocument/2006/relationships/externalLink" Target="externalLinks/externalLink153.xml"/><Relationship Id="rId183" Type="http://schemas.openxmlformats.org/officeDocument/2006/relationships/externalLink" Target="externalLinks/externalLink174.xml"/><Relationship Id="rId218" Type="http://schemas.openxmlformats.org/officeDocument/2006/relationships/externalLink" Target="externalLinks/externalLink209.xml"/><Relationship Id="rId239" Type="http://schemas.openxmlformats.org/officeDocument/2006/relationships/externalLink" Target="externalLinks/externalLink230.xml"/><Relationship Id="rId250" Type="http://schemas.openxmlformats.org/officeDocument/2006/relationships/externalLink" Target="externalLinks/externalLink241.xml"/><Relationship Id="rId271" Type="http://schemas.openxmlformats.org/officeDocument/2006/relationships/externalLink" Target="externalLinks/externalLink262.xml"/><Relationship Id="rId292" Type="http://schemas.openxmlformats.org/officeDocument/2006/relationships/externalLink" Target="externalLinks/externalLink283.xml"/><Relationship Id="rId306" Type="http://schemas.openxmlformats.org/officeDocument/2006/relationships/theme" Target="theme/theme1.xml"/><Relationship Id="rId24" Type="http://schemas.openxmlformats.org/officeDocument/2006/relationships/externalLink" Target="externalLinks/externalLink15.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110" Type="http://schemas.openxmlformats.org/officeDocument/2006/relationships/externalLink" Target="externalLinks/externalLink101.xml"/><Relationship Id="rId131" Type="http://schemas.openxmlformats.org/officeDocument/2006/relationships/externalLink" Target="externalLinks/externalLink122.xml"/><Relationship Id="rId152" Type="http://schemas.openxmlformats.org/officeDocument/2006/relationships/externalLink" Target="externalLinks/externalLink143.xml"/><Relationship Id="rId173" Type="http://schemas.openxmlformats.org/officeDocument/2006/relationships/externalLink" Target="externalLinks/externalLink164.xml"/><Relationship Id="rId194" Type="http://schemas.openxmlformats.org/officeDocument/2006/relationships/externalLink" Target="externalLinks/externalLink185.xml"/><Relationship Id="rId208" Type="http://schemas.openxmlformats.org/officeDocument/2006/relationships/externalLink" Target="externalLinks/externalLink199.xml"/><Relationship Id="rId229" Type="http://schemas.openxmlformats.org/officeDocument/2006/relationships/externalLink" Target="externalLinks/externalLink220.xml"/><Relationship Id="rId240" Type="http://schemas.openxmlformats.org/officeDocument/2006/relationships/externalLink" Target="externalLinks/externalLink231.xml"/><Relationship Id="rId261" Type="http://schemas.openxmlformats.org/officeDocument/2006/relationships/externalLink" Target="externalLinks/externalLink252.xml"/><Relationship Id="rId14" Type="http://schemas.openxmlformats.org/officeDocument/2006/relationships/externalLink" Target="externalLinks/externalLink5.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282" Type="http://schemas.openxmlformats.org/officeDocument/2006/relationships/externalLink" Target="externalLinks/externalLink273.xml"/><Relationship Id="rId8" Type="http://schemas.openxmlformats.org/officeDocument/2006/relationships/worksheet" Target="worksheets/sheet8.xml"/><Relationship Id="rId98" Type="http://schemas.openxmlformats.org/officeDocument/2006/relationships/externalLink" Target="externalLinks/externalLink89.xml"/><Relationship Id="rId121" Type="http://schemas.openxmlformats.org/officeDocument/2006/relationships/externalLink" Target="externalLinks/externalLink112.xml"/><Relationship Id="rId142" Type="http://schemas.openxmlformats.org/officeDocument/2006/relationships/externalLink" Target="externalLinks/externalLink133.xml"/><Relationship Id="rId163" Type="http://schemas.openxmlformats.org/officeDocument/2006/relationships/externalLink" Target="externalLinks/externalLink154.xml"/><Relationship Id="rId184" Type="http://schemas.openxmlformats.org/officeDocument/2006/relationships/externalLink" Target="externalLinks/externalLink175.xml"/><Relationship Id="rId219" Type="http://schemas.openxmlformats.org/officeDocument/2006/relationships/externalLink" Target="externalLinks/externalLink210.xml"/><Relationship Id="rId230" Type="http://schemas.openxmlformats.org/officeDocument/2006/relationships/externalLink" Target="externalLinks/externalLink221.xml"/><Relationship Id="rId251" Type="http://schemas.openxmlformats.org/officeDocument/2006/relationships/externalLink" Target="externalLinks/externalLink242.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272" Type="http://schemas.openxmlformats.org/officeDocument/2006/relationships/externalLink" Target="externalLinks/externalLink263.xml"/><Relationship Id="rId293" Type="http://schemas.openxmlformats.org/officeDocument/2006/relationships/externalLink" Target="externalLinks/externalLink284.xml"/><Relationship Id="rId307" Type="http://schemas.openxmlformats.org/officeDocument/2006/relationships/styles" Target="styles.xml"/><Relationship Id="rId88" Type="http://schemas.openxmlformats.org/officeDocument/2006/relationships/externalLink" Target="externalLinks/externalLink79.xml"/><Relationship Id="rId111" Type="http://schemas.openxmlformats.org/officeDocument/2006/relationships/externalLink" Target="externalLinks/externalLink102.xml"/><Relationship Id="rId132" Type="http://schemas.openxmlformats.org/officeDocument/2006/relationships/externalLink" Target="externalLinks/externalLink123.xml"/><Relationship Id="rId153" Type="http://schemas.openxmlformats.org/officeDocument/2006/relationships/externalLink" Target="externalLinks/externalLink144.xml"/><Relationship Id="rId174" Type="http://schemas.openxmlformats.org/officeDocument/2006/relationships/externalLink" Target="externalLinks/externalLink165.xml"/><Relationship Id="rId195" Type="http://schemas.openxmlformats.org/officeDocument/2006/relationships/externalLink" Target="externalLinks/externalLink186.xml"/><Relationship Id="rId209" Type="http://schemas.openxmlformats.org/officeDocument/2006/relationships/externalLink" Target="externalLinks/externalLink200.xml"/><Relationship Id="rId220" Type="http://schemas.openxmlformats.org/officeDocument/2006/relationships/externalLink" Target="externalLinks/externalLink211.xml"/><Relationship Id="rId241" Type="http://schemas.openxmlformats.org/officeDocument/2006/relationships/externalLink" Target="externalLinks/externalLink232.xml"/><Relationship Id="rId15" Type="http://schemas.openxmlformats.org/officeDocument/2006/relationships/externalLink" Target="externalLinks/externalLink6.xml"/><Relationship Id="rId36" Type="http://schemas.openxmlformats.org/officeDocument/2006/relationships/externalLink" Target="externalLinks/externalLink27.xml"/><Relationship Id="rId57" Type="http://schemas.openxmlformats.org/officeDocument/2006/relationships/externalLink" Target="externalLinks/externalLink48.xml"/><Relationship Id="rId262" Type="http://schemas.openxmlformats.org/officeDocument/2006/relationships/externalLink" Target="externalLinks/externalLink253.xml"/><Relationship Id="rId283" Type="http://schemas.openxmlformats.org/officeDocument/2006/relationships/externalLink" Target="externalLinks/externalLink274.xml"/><Relationship Id="rId78" Type="http://schemas.openxmlformats.org/officeDocument/2006/relationships/externalLink" Target="externalLinks/externalLink69.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122" Type="http://schemas.openxmlformats.org/officeDocument/2006/relationships/externalLink" Target="externalLinks/externalLink113.xml"/><Relationship Id="rId143" Type="http://schemas.openxmlformats.org/officeDocument/2006/relationships/externalLink" Target="externalLinks/externalLink134.xml"/><Relationship Id="rId164" Type="http://schemas.openxmlformats.org/officeDocument/2006/relationships/externalLink" Target="externalLinks/externalLink155.xml"/><Relationship Id="rId185" Type="http://schemas.openxmlformats.org/officeDocument/2006/relationships/externalLink" Target="externalLinks/externalLink176.xml"/><Relationship Id="rId9" Type="http://schemas.openxmlformats.org/officeDocument/2006/relationships/worksheet" Target="worksheets/sheet9.xml"/><Relationship Id="rId210" Type="http://schemas.openxmlformats.org/officeDocument/2006/relationships/externalLink" Target="externalLinks/externalLink201.xml"/><Relationship Id="rId26" Type="http://schemas.openxmlformats.org/officeDocument/2006/relationships/externalLink" Target="externalLinks/externalLink17.xml"/><Relationship Id="rId231" Type="http://schemas.openxmlformats.org/officeDocument/2006/relationships/externalLink" Target="externalLinks/externalLink222.xml"/><Relationship Id="rId252" Type="http://schemas.openxmlformats.org/officeDocument/2006/relationships/externalLink" Target="externalLinks/externalLink243.xml"/><Relationship Id="rId273" Type="http://schemas.openxmlformats.org/officeDocument/2006/relationships/externalLink" Target="externalLinks/externalLink264.xml"/><Relationship Id="rId294" Type="http://schemas.openxmlformats.org/officeDocument/2006/relationships/externalLink" Target="externalLinks/externalLink285.xml"/><Relationship Id="rId308" Type="http://schemas.openxmlformats.org/officeDocument/2006/relationships/sharedStrings" Target="sharedStrings.xml"/><Relationship Id="rId47" Type="http://schemas.openxmlformats.org/officeDocument/2006/relationships/externalLink" Target="externalLinks/externalLink38.xml"/><Relationship Id="rId68" Type="http://schemas.openxmlformats.org/officeDocument/2006/relationships/externalLink" Target="externalLinks/externalLink59.xml"/><Relationship Id="rId89" Type="http://schemas.openxmlformats.org/officeDocument/2006/relationships/externalLink" Target="externalLinks/externalLink80.xml"/><Relationship Id="rId112" Type="http://schemas.openxmlformats.org/officeDocument/2006/relationships/externalLink" Target="externalLinks/externalLink103.xml"/><Relationship Id="rId133" Type="http://schemas.openxmlformats.org/officeDocument/2006/relationships/externalLink" Target="externalLinks/externalLink124.xml"/><Relationship Id="rId154" Type="http://schemas.openxmlformats.org/officeDocument/2006/relationships/externalLink" Target="externalLinks/externalLink145.xml"/><Relationship Id="rId175" Type="http://schemas.openxmlformats.org/officeDocument/2006/relationships/externalLink" Target="externalLinks/externalLink166.xml"/><Relationship Id="rId196" Type="http://schemas.openxmlformats.org/officeDocument/2006/relationships/externalLink" Target="externalLinks/externalLink187.xml"/><Relationship Id="rId200" Type="http://schemas.openxmlformats.org/officeDocument/2006/relationships/externalLink" Target="externalLinks/externalLink191.xml"/><Relationship Id="rId16" Type="http://schemas.openxmlformats.org/officeDocument/2006/relationships/externalLink" Target="externalLinks/externalLink7.xml"/><Relationship Id="rId221" Type="http://schemas.openxmlformats.org/officeDocument/2006/relationships/externalLink" Target="externalLinks/externalLink212.xml"/><Relationship Id="rId242" Type="http://schemas.openxmlformats.org/officeDocument/2006/relationships/externalLink" Target="externalLinks/externalLink233.xml"/><Relationship Id="rId263" Type="http://schemas.openxmlformats.org/officeDocument/2006/relationships/externalLink" Target="externalLinks/externalLink254.xml"/><Relationship Id="rId284" Type="http://schemas.openxmlformats.org/officeDocument/2006/relationships/externalLink" Target="externalLinks/externalLink275.xml"/><Relationship Id="rId37" Type="http://schemas.openxmlformats.org/officeDocument/2006/relationships/externalLink" Target="externalLinks/externalLink28.xml"/><Relationship Id="rId58" Type="http://schemas.openxmlformats.org/officeDocument/2006/relationships/externalLink" Target="externalLinks/externalLink49.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123" Type="http://schemas.openxmlformats.org/officeDocument/2006/relationships/externalLink" Target="externalLinks/externalLink114.xml"/><Relationship Id="rId144" Type="http://schemas.openxmlformats.org/officeDocument/2006/relationships/externalLink" Target="externalLinks/externalLink135.xml"/><Relationship Id="rId90" Type="http://schemas.openxmlformats.org/officeDocument/2006/relationships/externalLink" Target="externalLinks/externalLink81.xml"/><Relationship Id="rId165" Type="http://schemas.openxmlformats.org/officeDocument/2006/relationships/externalLink" Target="externalLinks/externalLink156.xml"/><Relationship Id="rId186" Type="http://schemas.openxmlformats.org/officeDocument/2006/relationships/externalLink" Target="externalLinks/externalLink177.xml"/><Relationship Id="rId211" Type="http://schemas.openxmlformats.org/officeDocument/2006/relationships/externalLink" Target="externalLinks/externalLink202.xml"/><Relationship Id="rId232" Type="http://schemas.openxmlformats.org/officeDocument/2006/relationships/externalLink" Target="externalLinks/externalLink223.xml"/><Relationship Id="rId253" Type="http://schemas.openxmlformats.org/officeDocument/2006/relationships/externalLink" Target="externalLinks/externalLink244.xml"/><Relationship Id="rId274" Type="http://schemas.openxmlformats.org/officeDocument/2006/relationships/externalLink" Target="externalLinks/externalLink265.xml"/><Relationship Id="rId295" Type="http://schemas.openxmlformats.org/officeDocument/2006/relationships/externalLink" Target="externalLinks/externalLink286.xml"/><Relationship Id="rId309" Type="http://schemas.openxmlformats.org/officeDocument/2006/relationships/calcChain" Target="calcChain.xml"/><Relationship Id="rId27" Type="http://schemas.openxmlformats.org/officeDocument/2006/relationships/externalLink" Target="externalLinks/externalLink18.xml"/><Relationship Id="rId48" Type="http://schemas.openxmlformats.org/officeDocument/2006/relationships/externalLink" Target="externalLinks/externalLink39.xml"/><Relationship Id="rId69" Type="http://schemas.openxmlformats.org/officeDocument/2006/relationships/externalLink" Target="externalLinks/externalLink60.xml"/><Relationship Id="rId113" Type="http://schemas.openxmlformats.org/officeDocument/2006/relationships/externalLink" Target="externalLinks/externalLink104.xml"/><Relationship Id="rId134" Type="http://schemas.openxmlformats.org/officeDocument/2006/relationships/externalLink" Target="externalLinks/externalLink125.xml"/><Relationship Id="rId80" Type="http://schemas.openxmlformats.org/officeDocument/2006/relationships/externalLink" Target="externalLinks/externalLink71.xml"/><Relationship Id="rId155" Type="http://schemas.openxmlformats.org/officeDocument/2006/relationships/externalLink" Target="externalLinks/externalLink146.xml"/><Relationship Id="rId176" Type="http://schemas.openxmlformats.org/officeDocument/2006/relationships/externalLink" Target="externalLinks/externalLink167.xml"/><Relationship Id="rId197" Type="http://schemas.openxmlformats.org/officeDocument/2006/relationships/externalLink" Target="externalLinks/externalLink188.xml"/><Relationship Id="rId201" Type="http://schemas.openxmlformats.org/officeDocument/2006/relationships/externalLink" Target="externalLinks/externalLink192.xml"/><Relationship Id="rId222" Type="http://schemas.openxmlformats.org/officeDocument/2006/relationships/externalLink" Target="externalLinks/externalLink213.xml"/><Relationship Id="rId243" Type="http://schemas.openxmlformats.org/officeDocument/2006/relationships/externalLink" Target="externalLinks/externalLink234.xml"/><Relationship Id="rId264" Type="http://schemas.openxmlformats.org/officeDocument/2006/relationships/externalLink" Target="externalLinks/externalLink255.xml"/><Relationship Id="rId285" Type="http://schemas.openxmlformats.org/officeDocument/2006/relationships/externalLink" Target="externalLinks/externalLink276.xml"/><Relationship Id="rId17" Type="http://schemas.openxmlformats.org/officeDocument/2006/relationships/externalLink" Target="externalLinks/externalLink8.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24" Type="http://schemas.openxmlformats.org/officeDocument/2006/relationships/externalLink" Target="externalLinks/externalLink115.xml"/><Relationship Id="rId70" Type="http://schemas.openxmlformats.org/officeDocument/2006/relationships/externalLink" Target="externalLinks/externalLink61.xml"/><Relationship Id="rId91" Type="http://schemas.openxmlformats.org/officeDocument/2006/relationships/externalLink" Target="externalLinks/externalLink82.xml"/><Relationship Id="rId145" Type="http://schemas.openxmlformats.org/officeDocument/2006/relationships/externalLink" Target="externalLinks/externalLink136.xml"/><Relationship Id="rId166" Type="http://schemas.openxmlformats.org/officeDocument/2006/relationships/externalLink" Target="externalLinks/externalLink157.xml"/><Relationship Id="rId187" Type="http://schemas.openxmlformats.org/officeDocument/2006/relationships/externalLink" Target="externalLinks/externalLink178.xml"/><Relationship Id="rId1" Type="http://schemas.openxmlformats.org/officeDocument/2006/relationships/worksheet" Target="worksheets/sheet1.xml"/><Relationship Id="rId212" Type="http://schemas.openxmlformats.org/officeDocument/2006/relationships/externalLink" Target="externalLinks/externalLink203.xml"/><Relationship Id="rId233" Type="http://schemas.openxmlformats.org/officeDocument/2006/relationships/externalLink" Target="externalLinks/externalLink224.xml"/><Relationship Id="rId254" Type="http://schemas.openxmlformats.org/officeDocument/2006/relationships/externalLink" Target="externalLinks/externalLink245.xml"/><Relationship Id="rId28" Type="http://schemas.openxmlformats.org/officeDocument/2006/relationships/externalLink" Target="externalLinks/externalLink19.xml"/><Relationship Id="rId49" Type="http://schemas.openxmlformats.org/officeDocument/2006/relationships/externalLink" Target="externalLinks/externalLink40.xml"/><Relationship Id="rId114" Type="http://schemas.openxmlformats.org/officeDocument/2006/relationships/externalLink" Target="externalLinks/externalLink105.xml"/><Relationship Id="rId275" Type="http://schemas.openxmlformats.org/officeDocument/2006/relationships/externalLink" Target="externalLinks/externalLink266.xml"/><Relationship Id="rId296" Type="http://schemas.openxmlformats.org/officeDocument/2006/relationships/externalLink" Target="externalLinks/externalLink287.xml"/><Relationship Id="rId300" Type="http://schemas.openxmlformats.org/officeDocument/2006/relationships/externalLink" Target="externalLinks/externalLink291.xml"/><Relationship Id="rId60" Type="http://schemas.openxmlformats.org/officeDocument/2006/relationships/externalLink" Target="externalLinks/externalLink51.xml"/><Relationship Id="rId81" Type="http://schemas.openxmlformats.org/officeDocument/2006/relationships/externalLink" Target="externalLinks/externalLink72.xml"/><Relationship Id="rId135" Type="http://schemas.openxmlformats.org/officeDocument/2006/relationships/externalLink" Target="externalLinks/externalLink126.xml"/><Relationship Id="rId156" Type="http://schemas.openxmlformats.org/officeDocument/2006/relationships/externalLink" Target="externalLinks/externalLink147.xml"/><Relationship Id="rId177" Type="http://schemas.openxmlformats.org/officeDocument/2006/relationships/externalLink" Target="externalLinks/externalLink168.xml"/><Relationship Id="rId198" Type="http://schemas.openxmlformats.org/officeDocument/2006/relationships/externalLink" Target="externalLinks/externalLink189.xml"/><Relationship Id="rId202" Type="http://schemas.openxmlformats.org/officeDocument/2006/relationships/externalLink" Target="externalLinks/externalLink193.xml"/><Relationship Id="rId223" Type="http://schemas.openxmlformats.org/officeDocument/2006/relationships/externalLink" Target="externalLinks/externalLink214.xml"/><Relationship Id="rId244" Type="http://schemas.openxmlformats.org/officeDocument/2006/relationships/externalLink" Target="externalLinks/externalLink235.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265" Type="http://schemas.openxmlformats.org/officeDocument/2006/relationships/externalLink" Target="externalLinks/externalLink256.xml"/><Relationship Id="rId286" Type="http://schemas.openxmlformats.org/officeDocument/2006/relationships/externalLink" Target="externalLinks/externalLink277.xml"/><Relationship Id="rId50" Type="http://schemas.openxmlformats.org/officeDocument/2006/relationships/externalLink" Target="externalLinks/externalLink41.xml"/><Relationship Id="rId104" Type="http://schemas.openxmlformats.org/officeDocument/2006/relationships/externalLink" Target="externalLinks/externalLink95.xml"/><Relationship Id="rId125" Type="http://schemas.openxmlformats.org/officeDocument/2006/relationships/externalLink" Target="externalLinks/externalLink116.xml"/><Relationship Id="rId146" Type="http://schemas.openxmlformats.org/officeDocument/2006/relationships/externalLink" Target="externalLinks/externalLink137.xml"/><Relationship Id="rId167" Type="http://schemas.openxmlformats.org/officeDocument/2006/relationships/externalLink" Target="externalLinks/externalLink158.xml"/><Relationship Id="rId188" Type="http://schemas.openxmlformats.org/officeDocument/2006/relationships/externalLink" Target="externalLinks/externalLink179.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13" Type="http://schemas.openxmlformats.org/officeDocument/2006/relationships/externalLink" Target="externalLinks/externalLink204.xml"/><Relationship Id="rId234" Type="http://schemas.openxmlformats.org/officeDocument/2006/relationships/externalLink" Target="externalLinks/externalLink225.xml"/><Relationship Id="rId2" Type="http://schemas.openxmlformats.org/officeDocument/2006/relationships/worksheet" Target="worksheets/sheet2.xml"/><Relationship Id="rId29" Type="http://schemas.openxmlformats.org/officeDocument/2006/relationships/externalLink" Target="externalLinks/externalLink20.xml"/><Relationship Id="rId255" Type="http://schemas.openxmlformats.org/officeDocument/2006/relationships/externalLink" Target="externalLinks/externalLink246.xml"/><Relationship Id="rId276" Type="http://schemas.openxmlformats.org/officeDocument/2006/relationships/externalLink" Target="externalLinks/externalLink267.xml"/><Relationship Id="rId297" Type="http://schemas.openxmlformats.org/officeDocument/2006/relationships/externalLink" Target="externalLinks/externalLink288.xml"/><Relationship Id="rId40" Type="http://schemas.openxmlformats.org/officeDocument/2006/relationships/externalLink" Target="externalLinks/externalLink31.xml"/><Relationship Id="rId115" Type="http://schemas.openxmlformats.org/officeDocument/2006/relationships/externalLink" Target="externalLinks/externalLink106.xml"/><Relationship Id="rId136" Type="http://schemas.openxmlformats.org/officeDocument/2006/relationships/externalLink" Target="externalLinks/externalLink127.xml"/><Relationship Id="rId157" Type="http://schemas.openxmlformats.org/officeDocument/2006/relationships/externalLink" Target="externalLinks/externalLink148.xml"/><Relationship Id="rId178" Type="http://schemas.openxmlformats.org/officeDocument/2006/relationships/externalLink" Target="externalLinks/externalLink169.xml"/><Relationship Id="rId301" Type="http://schemas.openxmlformats.org/officeDocument/2006/relationships/externalLink" Target="externalLinks/externalLink292.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9" Type="http://schemas.openxmlformats.org/officeDocument/2006/relationships/externalLink" Target="externalLinks/externalLink190.xml"/><Relationship Id="rId203" Type="http://schemas.openxmlformats.org/officeDocument/2006/relationships/externalLink" Target="externalLinks/externalLink194.xml"/><Relationship Id="rId19" Type="http://schemas.openxmlformats.org/officeDocument/2006/relationships/externalLink" Target="externalLinks/externalLink10.xml"/><Relationship Id="rId224" Type="http://schemas.openxmlformats.org/officeDocument/2006/relationships/externalLink" Target="externalLinks/externalLink215.xml"/><Relationship Id="rId245" Type="http://schemas.openxmlformats.org/officeDocument/2006/relationships/externalLink" Target="externalLinks/externalLink236.xml"/><Relationship Id="rId266" Type="http://schemas.openxmlformats.org/officeDocument/2006/relationships/externalLink" Target="externalLinks/externalLink257.xml"/><Relationship Id="rId287" Type="http://schemas.openxmlformats.org/officeDocument/2006/relationships/externalLink" Target="externalLinks/externalLink278.xml"/><Relationship Id="rId30" Type="http://schemas.openxmlformats.org/officeDocument/2006/relationships/externalLink" Target="externalLinks/externalLink21.xml"/><Relationship Id="rId105" Type="http://schemas.openxmlformats.org/officeDocument/2006/relationships/externalLink" Target="externalLinks/externalLink96.xml"/><Relationship Id="rId126" Type="http://schemas.openxmlformats.org/officeDocument/2006/relationships/externalLink" Target="externalLinks/externalLink117.xml"/><Relationship Id="rId147" Type="http://schemas.openxmlformats.org/officeDocument/2006/relationships/externalLink" Target="externalLinks/externalLink138.xml"/><Relationship Id="rId168" Type="http://schemas.openxmlformats.org/officeDocument/2006/relationships/externalLink" Target="externalLinks/externalLink159.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189" Type="http://schemas.openxmlformats.org/officeDocument/2006/relationships/externalLink" Target="externalLinks/externalLink180.xml"/><Relationship Id="rId3" Type="http://schemas.openxmlformats.org/officeDocument/2006/relationships/worksheet" Target="worksheets/sheet3.xml"/><Relationship Id="rId214" Type="http://schemas.openxmlformats.org/officeDocument/2006/relationships/externalLink" Target="externalLinks/externalLink205.xml"/><Relationship Id="rId235" Type="http://schemas.openxmlformats.org/officeDocument/2006/relationships/externalLink" Target="externalLinks/externalLink226.xml"/><Relationship Id="rId256" Type="http://schemas.openxmlformats.org/officeDocument/2006/relationships/externalLink" Target="externalLinks/externalLink247.xml"/><Relationship Id="rId277" Type="http://schemas.openxmlformats.org/officeDocument/2006/relationships/externalLink" Target="externalLinks/externalLink268.xml"/><Relationship Id="rId298" Type="http://schemas.openxmlformats.org/officeDocument/2006/relationships/externalLink" Target="externalLinks/externalLink289.xml"/><Relationship Id="rId116" Type="http://schemas.openxmlformats.org/officeDocument/2006/relationships/externalLink" Target="externalLinks/externalLink107.xml"/><Relationship Id="rId137" Type="http://schemas.openxmlformats.org/officeDocument/2006/relationships/externalLink" Target="externalLinks/externalLink128.xml"/><Relationship Id="rId158" Type="http://schemas.openxmlformats.org/officeDocument/2006/relationships/externalLink" Target="externalLinks/externalLink149.xml"/><Relationship Id="rId302" Type="http://schemas.openxmlformats.org/officeDocument/2006/relationships/externalLink" Target="externalLinks/externalLink293.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179" Type="http://schemas.openxmlformats.org/officeDocument/2006/relationships/externalLink" Target="externalLinks/externalLink170.xml"/><Relationship Id="rId190" Type="http://schemas.openxmlformats.org/officeDocument/2006/relationships/externalLink" Target="externalLinks/externalLink181.xml"/><Relationship Id="rId204" Type="http://schemas.openxmlformats.org/officeDocument/2006/relationships/externalLink" Target="externalLinks/externalLink195.xml"/><Relationship Id="rId225" Type="http://schemas.openxmlformats.org/officeDocument/2006/relationships/externalLink" Target="externalLinks/externalLink216.xml"/><Relationship Id="rId246" Type="http://schemas.openxmlformats.org/officeDocument/2006/relationships/externalLink" Target="externalLinks/externalLink237.xml"/><Relationship Id="rId267" Type="http://schemas.openxmlformats.org/officeDocument/2006/relationships/externalLink" Target="externalLinks/externalLink258.xml"/><Relationship Id="rId288" Type="http://schemas.openxmlformats.org/officeDocument/2006/relationships/externalLink" Target="externalLinks/externalLink279.xml"/><Relationship Id="rId106" Type="http://schemas.openxmlformats.org/officeDocument/2006/relationships/externalLink" Target="externalLinks/externalLink97.xml"/><Relationship Id="rId127" Type="http://schemas.openxmlformats.org/officeDocument/2006/relationships/externalLink" Target="externalLinks/externalLink11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52" Type="http://schemas.openxmlformats.org/officeDocument/2006/relationships/externalLink" Target="externalLinks/externalLink43.xml"/><Relationship Id="rId73" Type="http://schemas.openxmlformats.org/officeDocument/2006/relationships/externalLink" Target="externalLinks/externalLink64.xml"/><Relationship Id="rId94" Type="http://schemas.openxmlformats.org/officeDocument/2006/relationships/externalLink" Target="externalLinks/externalLink85.xml"/><Relationship Id="rId148" Type="http://schemas.openxmlformats.org/officeDocument/2006/relationships/externalLink" Target="externalLinks/externalLink139.xml"/><Relationship Id="rId169" Type="http://schemas.openxmlformats.org/officeDocument/2006/relationships/externalLink" Target="externalLinks/externalLink160.xml"/><Relationship Id="rId4" Type="http://schemas.openxmlformats.org/officeDocument/2006/relationships/worksheet" Target="worksheets/sheet4.xml"/><Relationship Id="rId180" Type="http://schemas.openxmlformats.org/officeDocument/2006/relationships/externalLink" Target="externalLinks/externalLink171.xml"/><Relationship Id="rId215" Type="http://schemas.openxmlformats.org/officeDocument/2006/relationships/externalLink" Target="externalLinks/externalLink206.xml"/><Relationship Id="rId236" Type="http://schemas.openxmlformats.org/officeDocument/2006/relationships/externalLink" Target="externalLinks/externalLink227.xml"/><Relationship Id="rId257" Type="http://schemas.openxmlformats.org/officeDocument/2006/relationships/externalLink" Target="externalLinks/externalLink248.xml"/><Relationship Id="rId278" Type="http://schemas.openxmlformats.org/officeDocument/2006/relationships/externalLink" Target="externalLinks/externalLink269.xml"/><Relationship Id="rId303" Type="http://schemas.openxmlformats.org/officeDocument/2006/relationships/externalLink" Target="externalLinks/externalLink294.xml"/><Relationship Id="rId42" Type="http://schemas.openxmlformats.org/officeDocument/2006/relationships/externalLink" Target="externalLinks/externalLink33.xml"/><Relationship Id="rId84" Type="http://schemas.openxmlformats.org/officeDocument/2006/relationships/externalLink" Target="externalLinks/externalLink75.xml"/><Relationship Id="rId138" Type="http://schemas.openxmlformats.org/officeDocument/2006/relationships/externalLink" Target="externalLinks/externalLink129.xml"/><Relationship Id="rId191" Type="http://schemas.openxmlformats.org/officeDocument/2006/relationships/externalLink" Target="externalLinks/externalLink182.xml"/><Relationship Id="rId205" Type="http://schemas.openxmlformats.org/officeDocument/2006/relationships/externalLink" Target="externalLinks/externalLink196.xml"/><Relationship Id="rId247" Type="http://schemas.openxmlformats.org/officeDocument/2006/relationships/externalLink" Target="externalLinks/externalLink238.xml"/><Relationship Id="rId107" Type="http://schemas.openxmlformats.org/officeDocument/2006/relationships/externalLink" Target="externalLinks/externalLink98.xml"/><Relationship Id="rId289" Type="http://schemas.openxmlformats.org/officeDocument/2006/relationships/externalLink" Target="externalLinks/externalLink280.xml"/><Relationship Id="rId11" Type="http://schemas.openxmlformats.org/officeDocument/2006/relationships/externalLink" Target="externalLinks/externalLink2.xml"/><Relationship Id="rId53" Type="http://schemas.openxmlformats.org/officeDocument/2006/relationships/externalLink" Target="externalLinks/externalLink44.xml"/><Relationship Id="rId149" Type="http://schemas.openxmlformats.org/officeDocument/2006/relationships/externalLink" Target="externalLinks/externalLink140.xml"/><Relationship Id="rId95" Type="http://schemas.openxmlformats.org/officeDocument/2006/relationships/externalLink" Target="externalLinks/externalLink86.xml"/><Relationship Id="rId160" Type="http://schemas.openxmlformats.org/officeDocument/2006/relationships/externalLink" Target="externalLinks/externalLink151.xml"/><Relationship Id="rId216" Type="http://schemas.openxmlformats.org/officeDocument/2006/relationships/externalLink" Target="externalLinks/externalLink207.xml"/><Relationship Id="rId258" Type="http://schemas.openxmlformats.org/officeDocument/2006/relationships/externalLink" Target="externalLinks/externalLink249.xml"/><Relationship Id="rId22" Type="http://schemas.openxmlformats.org/officeDocument/2006/relationships/externalLink" Target="externalLinks/externalLink13.xml"/><Relationship Id="rId64" Type="http://schemas.openxmlformats.org/officeDocument/2006/relationships/externalLink" Target="externalLinks/externalLink55.xml"/><Relationship Id="rId118" Type="http://schemas.openxmlformats.org/officeDocument/2006/relationships/externalLink" Target="externalLinks/externalLink109.xml"/><Relationship Id="rId171" Type="http://schemas.openxmlformats.org/officeDocument/2006/relationships/externalLink" Target="externalLinks/externalLink162.xml"/><Relationship Id="rId227" Type="http://schemas.openxmlformats.org/officeDocument/2006/relationships/externalLink" Target="externalLinks/externalLink218.xml"/><Relationship Id="rId269" Type="http://schemas.openxmlformats.org/officeDocument/2006/relationships/externalLink" Target="externalLinks/externalLink260.xml"/><Relationship Id="rId33" Type="http://schemas.openxmlformats.org/officeDocument/2006/relationships/externalLink" Target="externalLinks/externalLink24.xml"/><Relationship Id="rId129" Type="http://schemas.openxmlformats.org/officeDocument/2006/relationships/externalLink" Target="externalLinks/externalLink120.xml"/><Relationship Id="rId280" Type="http://schemas.openxmlformats.org/officeDocument/2006/relationships/externalLink" Target="externalLinks/externalLink271.xml"/><Relationship Id="rId75" Type="http://schemas.openxmlformats.org/officeDocument/2006/relationships/externalLink" Target="externalLinks/externalLink66.xml"/><Relationship Id="rId140" Type="http://schemas.openxmlformats.org/officeDocument/2006/relationships/externalLink" Target="externalLinks/externalLink131.xml"/><Relationship Id="rId182" Type="http://schemas.openxmlformats.org/officeDocument/2006/relationships/externalLink" Target="externalLinks/externalLink173.xml"/><Relationship Id="rId6" Type="http://schemas.openxmlformats.org/officeDocument/2006/relationships/worksheet" Target="worksheets/sheet6.xml"/><Relationship Id="rId238" Type="http://schemas.openxmlformats.org/officeDocument/2006/relationships/externalLink" Target="externalLinks/externalLink229.xml"/><Relationship Id="rId291" Type="http://schemas.openxmlformats.org/officeDocument/2006/relationships/externalLink" Target="externalLinks/externalLink282.xml"/><Relationship Id="rId305" Type="http://schemas.openxmlformats.org/officeDocument/2006/relationships/externalLink" Target="externalLinks/externalLink29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200025</xdr:colOff>
      <xdr:row>1</xdr:row>
      <xdr:rowOff>0</xdr:rowOff>
    </xdr:from>
    <xdr:to>
      <xdr:col>16</xdr:col>
      <xdr:colOff>152400</xdr:colOff>
      <xdr:row>29</xdr:row>
      <xdr:rowOff>142875</xdr:rowOff>
    </xdr:to>
    <xdr:grpSp>
      <xdr:nvGrpSpPr>
        <xdr:cNvPr id="2" name="Group 1">
          <a:extLst>
            <a:ext uri="{FF2B5EF4-FFF2-40B4-BE49-F238E27FC236}">
              <a16:creationId xmlns:a16="http://schemas.microsoft.com/office/drawing/2014/main" id="{00000000-0008-0000-0100-000002000000}"/>
            </a:ext>
          </a:extLst>
        </xdr:cNvPr>
        <xdr:cNvGrpSpPr>
          <a:grpSpLocks/>
        </xdr:cNvGrpSpPr>
      </xdr:nvGrpSpPr>
      <xdr:grpSpPr bwMode="auto">
        <a:xfrm>
          <a:off x="200025" y="163286"/>
          <a:ext cx="11178268" cy="16131268"/>
          <a:chOff x="200025" y="190500"/>
          <a:chExt cx="5612946" cy="9422946"/>
        </a:xfrm>
      </xdr:grpSpPr>
      <xdr:sp macro="" textlink="">
        <xdr:nvSpPr>
          <xdr:cNvPr id="3" name="PubHalfFrame">
            <a:extLst>
              <a:ext uri="{FF2B5EF4-FFF2-40B4-BE49-F238E27FC236}">
                <a16:creationId xmlns:a16="http://schemas.microsoft.com/office/drawing/2014/main" id="{00000000-0008-0000-0100-000003000000}"/>
              </a:ext>
            </a:extLst>
          </xdr:cNvPr>
          <xdr:cNvSpPr>
            <a:spLocks noEditPoints="1" noChangeArrowheads="1"/>
          </xdr:cNvSpPr>
        </xdr:nvSpPr>
        <xdr:spPr bwMode="auto">
          <a:xfrm rot="5400000">
            <a:off x="5046859" y="328161"/>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5330 w 21600"/>
              <a:gd name="T15" fmla="*/ 627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6270"/>
                </a:lnTo>
                <a:lnTo>
                  <a:pt x="15330" y="627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4" name="PubHalfFrame">
            <a:extLst>
              <a:ext uri="{FF2B5EF4-FFF2-40B4-BE49-F238E27FC236}">
                <a16:creationId xmlns:a16="http://schemas.microsoft.com/office/drawing/2014/main" id="{00000000-0008-0000-0100-000004000000}"/>
              </a:ext>
            </a:extLst>
          </xdr:cNvPr>
          <xdr:cNvSpPr>
            <a:spLocks noEditPoints="1" noChangeArrowheads="1"/>
          </xdr:cNvSpPr>
        </xdr:nvSpPr>
        <xdr:spPr bwMode="auto">
          <a:xfrm rot="5400000" flipV="1">
            <a:off x="316849" y="328161"/>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4400 w 21600"/>
              <a:gd name="T15" fmla="*/ 720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7200"/>
                </a:lnTo>
                <a:lnTo>
                  <a:pt x="14400" y="720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5" name="PubHalfFrame">
            <a:extLst>
              <a:ext uri="{FF2B5EF4-FFF2-40B4-BE49-F238E27FC236}">
                <a16:creationId xmlns:a16="http://schemas.microsoft.com/office/drawing/2014/main" id="{00000000-0008-0000-0100-000005000000}"/>
              </a:ext>
            </a:extLst>
          </xdr:cNvPr>
          <xdr:cNvSpPr>
            <a:spLocks noEditPoints="1" noChangeArrowheads="1"/>
          </xdr:cNvSpPr>
        </xdr:nvSpPr>
        <xdr:spPr bwMode="auto">
          <a:xfrm rot="5400000" flipH="1">
            <a:off x="4992802" y="8817054"/>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4400 w 21600"/>
              <a:gd name="T15" fmla="*/ 720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7200"/>
                </a:lnTo>
                <a:lnTo>
                  <a:pt x="14400" y="720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6" name="PubHalfFrame">
            <a:extLst>
              <a:ext uri="{FF2B5EF4-FFF2-40B4-BE49-F238E27FC236}">
                <a16:creationId xmlns:a16="http://schemas.microsoft.com/office/drawing/2014/main" id="{00000000-0008-0000-0100-000006000000}"/>
              </a:ext>
            </a:extLst>
          </xdr:cNvPr>
          <xdr:cNvSpPr>
            <a:spLocks noEditPoints="1" noChangeArrowheads="1"/>
          </xdr:cNvSpPr>
        </xdr:nvSpPr>
        <xdr:spPr bwMode="auto">
          <a:xfrm rot="-5400000">
            <a:off x="316849" y="8817054"/>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4400 w 21600"/>
              <a:gd name="T15" fmla="*/ 720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7200"/>
                </a:lnTo>
                <a:lnTo>
                  <a:pt x="14400" y="720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7" name="AutoShape 5">
            <a:extLst>
              <a:ext uri="{FF2B5EF4-FFF2-40B4-BE49-F238E27FC236}">
                <a16:creationId xmlns:a16="http://schemas.microsoft.com/office/drawing/2014/main" id="{00000000-0008-0000-0100-000007000000}"/>
              </a:ext>
            </a:extLst>
          </xdr:cNvPr>
          <xdr:cNvSpPr>
            <a:spLocks noChangeArrowheads="1"/>
          </xdr:cNvSpPr>
        </xdr:nvSpPr>
        <xdr:spPr bwMode="auto">
          <a:xfrm>
            <a:off x="200025" y="190500"/>
            <a:ext cx="5612946" cy="9422946"/>
          </a:xfrm>
          <a:prstGeom prst="roundRect">
            <a:avLst>
              <a:gd name="adj" fmla="val 0"/>
            </a:avLst>
          </a:prstGeom>
          <a:noFill/>
          <a:ln w="44450">
            <a:solidFill>
              <a:srgbClr val="FF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8" name="AutoShape 6">
            <a:extLst>
              <a:ext uri="{FF2B5EF4-FFF2-40B4-BE49-F238E27FC236}">
                <a16:creationId xmlns:a16="http://schemas.microsoft.com/office/drawing/2014/main" id="{00000000-0008-0000-0100-000008000000}"/>
              </a:ext>
            </a:extLst>
          </xdr:cNvPr>
          <xdr:cNvSpPr>
            <a:spLocks noChangeArrowheads="1"/>
          </xdr:cNvSpPr>
        </xdr:nvSpPr>
        <xdr:spPr bwMode="auto">
          <a:xfrm>
            <a:off x="266700" y="266700"/>
            <a:ext cx="5470071" cy="9270546"/>
          </a:xfrm>
          <a:prstGeom prst="roundRect">
            <a:avLst>
              <a:gd name="adj" fmla="val 0"/>
            </a:avLst>
          </a:prstGeom>
          <a:noFill/>
          <a:ln w="28575">
            <a:solidFill>
              <a:srgbClr val="0000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editAs="oneCell">
    <xdr:from>
      <xdr:col>7</xdr:col>
      <xdr:colOff>312963</xdr:colOff>
      <xdr:row>6</xdr:row>
      <xdr:rowOff>0</xdr:rowOff>
    </xdr:from>
    <xdr:to>
      <xdr:col>10</xdr:col>
      <xdr:colOff>476249</xdr:colOff>
      <xdr:row>9</xdr:row>
      <xdr:rowOff>625929</xdr:rowOff>
    </xdr:to>
    <xdr:pic>
      <xdr:nvPicPr>
        <xdr:cNvPr id="9" name="Picture 11" descr="Jai Telangana">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93820" y="2979964"/>
          <a:ext cx="2408465" cy="1973036"/>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1174750</xdr:colOff>
      <xdr:row>26</xdr:row>
      <xdr:rowOff>190500</xdr:rowOff>
    </xdr:from>
    <xdr:ext cx="1714500" cy="670560"/>
    <xdr:sp macro="" textlink="">
      <xdr:nvSpPr>
        <xdr:cNvPr id="2" name="TextBox 1">
          <a:extLst>
            <a:ext uri="{FF2B5EF4-FFF2-40B4-BE49-F238E27FC236}">
              <a16:creationId xmlns:a16="http://schemas.microsoft.com/office/drawing/2014/main" id="{BE6F11C2-4721-4337-BDCA-B7A86A4C211F}"/>
            </a:ext>
          </a:extLst>
        </xdr:cNvPr>
        <xdr:cNvSpPr txBox="1"/>
      </xdr:nvSpPr>
      <xdr:spPr>
        <a:xfrm>
          <a:off x="4622800" y="19878675"/>
          <a:ext cx="171450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2</xdr:col>
      <xdr:colOff>1394113</xdr:colOff>
      <xdr:row>27</xdr:row>
      <xdr:rowOff>7620</xdr:rowOff>
    </xdr:from>
    <xdr:ext cx="1982931" cy="670560"/>
    <xdr:sp macro="" textlink="">
      <xdr:nvSpPr>
        <xdr:cNvPr id="3" name="TextBox 2">
          <a:extLst>
            <a:ext uri="{FF2B5EF4-FFF2-40B4-BE49-F238E27FC236}">
              <a16:creationId xmlns:a16="http://schemas.microsoft.com/office/drawing/2014/main" id="{307B5C05-12DF-47FD-A8A7-95956BCC1333}"/>
            </a:ext>
          </a:extLst>
        </xdr:cNvPr>
        <xdr:cNvSpPr txBox="1"/>
      </xdr:nvSpPr>
      <xdr:spPr>
        <a:xfrm>
          <a:off x="2398568" y="18373552"/>
          <a:ext cx="1982931"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27</xdr:row>
      <xdr:rowOff>7620</xdr:rowOff>
    </xdr:from>
    <xdr:ext cx="2444750" cy="731520"/>
    <xdr:sp macro="" textlink="">
      <xdr:nvSpPr>
        <xdr:cNvPr id="4" name="TextBox 3">
          <a:extLst>
            <a:ext uri="{FF2B5EF4-FFF2-40B4-BE49-F238E27FC236}">
              <a16:creationId xmlns:a16="http://schemas.microsoft.com/office/drawing/2014/main" id="{FF0C68D6-FFB4-4A04-86A5-30EC0864B20E}"/>
            </a:ext>
          </a:extLst>
        </xdr:cNvPr>
        <xdr:cNvSpPr txBox="1"/>
      </xdr:nvSpPr>
      <xdr:spPr>
        <a:xfrm>
          <a:off x="0" y="19895820"/>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1657350</xdr:colOff>
      <xdr:row>39</xdr:row>
      <xdr:rowOff>57150</xdr:rowOff>
    </xdr:from>
    <xdr:to>
      <xdr:col>7</xdr:col>
      <xdr:colOff>371475</xdr:colOff>
      <xdr:row>41</xdr:row>
      <xdr:rowOff>123825</xdr:rowOff>
    </xdr:to>
    <xdr:sp macro="" textlink="">
      <xdr:nvSpPr>
        <xdr:cNvPr id="3" name="Rectangle 15">
          <a:extLst>
            <a:ext uri="{FF2B5EF4-FFF2-40B4-BE49-F238E27FC236}">
              <a16:creationId xmlns:a16="http://schemas.microsoft.com/office/drawing/2014/main" id="{00000000-0008-0000-0300-000003000000}"/>
            </a:ext>
          </a:extLst>
        </xdr:cNvPr>
        <xdr:cNvSpPr>
          <a:spLocks noChangeArrowheads="1"/>
        </xdr:cNvSpPr>
      </xdr:nvSpPr>
      <xdr:spPr bwMode="auto">
        <a:xfrm>
          <a:off x="1857375" y="10925175"/>
          <a:ext cx="1809750" cy="42862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95250</xdr:colOff>
      <xdr:row>39</xdr:row>
      <xdr:rowOff>57150</xdr:rowOff>
    </xdr:from>
    <xdr:to>
      <xdr:col>2</xdr:col>
      <xdr:colOff>1428750</xdr:colOff>
      <xdr:row>41</xdr:row>
      <xdr:rowOff>133350</xdr:rowOff>
    </xdr:to>
    <xdr:sp macro="" textlink="">
      <xdr:nvSpPr>
        <xdr:cNvPr id="4" name="Rectangle 16">
          <a:extLst>
            <a:ext uri="{FF2B5EF4-FFF2-40B4-BE49-F238E27FC236}">
              <a16:creationId xmlns:a16="http://schemas.microsoft.com/office/drawing/2014/main" id="{00000000-0008-0000-0300-000004000000}"/>
            </a:ext>
          </a:extLst>
        </xdr:cNvPr>
        <xdr:cNvSpPr>
          <a:spLocks noChangeArrowheads="1"/>
        </xdr:cNvSpPr>
      </xdr:nvSpPr>
      <xdr:spPr bwMode="auto">
        <a:xfrm>
          <a:off x="95250" y="10925175"/>
          <a:ext cx="1609725" cy="438150"/>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oneCellAnchor>
    <xdr:from>
      <xdr:col>7</xdr:col>
      <xdr:colOff>152400</xdr:colOff>
      <xdr:row>38</xdr:row>
      <xdr:rowOff>190500</xdr:rowOff>
    </xdr:from>
    <xdr:ext cx="1885950" cy="670560"/>
    <xdr:sp macro="" textlink="">
      <xdr:nvSpPr>
        <xdr:cNvPr id="2" name="TextBox 1">
          <a:extLst>
            <a:ext uri="{FF2B5EF4-FFF2-40B4-BE49-F238E27FC236}">
              <a16:creationId xmlns:a16="http://schemas.microsoft.com/office/drawing/2014/main" id="{67391E33-0CEE-4B57-8C75-98BB98BAAFD4}"/>
            </a:ext>
          </a:extLst>
        </xdr:cNvPr>
        <xdr:cNvSpPr txBox="1"/>
      </xdr:nvSpPr>
      <xdr:spPr>
        <a:xfrm>
          <a:off x="4619625" y="16354425"/>
          <a:ext cx="188595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2</xdr:col>
      <xdr:colOff>942975</xdr:colOff>
      <xdr:row>39</xdr:row>
      <xdr:rowOff>7620</xdr:rowOff>
    </xdr:from>
    <xdr:ext cx="1943100" cy="670560"/>
    <xdr:sp macro="" textlink="">
      <xdr:nvSpPr>
        <xdr:cNvPr id="5" name="TextBox 4">
          <a:extLst>
            <a:ext uri="{FF2B5EF4-FFF2-40B4-BE49-F238E27FC236}">
              <a16:creationId xmlns:a16="http://schemas.microsoft.com/office/drawing/2014/main" id="{2A8D046E-34AB-4858-8546-B172C07D65D9}"/>
            </a:ext>
          </a:extLst>
        </xdr:cNvPr>
        <xdr:cNvSpPr txBox="1"/>
      </xdr:nvSpPr>
      <xdr:spPr>
        <a:xfrm>
          <a:off x="2419350" y="16371570"/>
          <a:ext cx="194310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39</xdr:row>
      <xdr:rowOff>7620</xdr:rowOff>
    </xdr:from>
    <xdr:ext cx="2444750" cy="731520"/>
    <xdr:sp macro="" textlink="">
      <xdr:nvSpPr>
        <xdr:cNvPr id="6" name="TextBox 5">
          <a:extLst>
            <a:ext uri="{FF2B5EF4-FFF2-40B4-BE49-F238E27FC236}">
              <a16:creationId xmlns:a16="http://schemas.microsoft.com/office/drawing/2014/main" id="{FDDA9742-DD16-42CE-A30A-48981D2EE462}"/>
            </a:ext>
          </a:extLst>
        </xdr:cNvPr>
        <xdr:cNvSpPr txBox="1"/>
      </xdr:nvSpPr>
      <xdr:spPr>
        <a:xfrm>
          <a:off x="0" y="18590895"/>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1657350</xdr:colOff>
      <xdr:row>272</xdr:row>
      <xdr:rowOff>57150</xdr:rowOff>
    </xdr:from>
    <xdr:to>
      <xdr:col>7</xdr:col>
      <xdr:colOff>371475</xdr:colOff>
      <xdr:row>274</xdr:row>
      <xdr:rowOff>123825</xdr:rowOff>
    </xdr:to>
    <xdr:sp macro="" textlink="">
      <xdr:nvSpPr>
        <xdr:cNvPr id="2" name="Rectangle 15">
          <a:extLst>
            <a:ext uri="{FF2B5EF4-FFF2-40B4-BE49-F238E27FC236}">
              <a16:creationId xmlns:a16="http://schemas.microsoft.com/office/drawing/2014/main" id="{DD092047-D04F-4826-8D8C-471D0EF882D5}"/>
            </a:ext>
          </a:extLst>
        </xdr:cNvPr>
        <xdr:cNvSpPr>
          <a:spLocks noChangeArrowheads="1"/>
        </xdr:cNvSpPr>
      </xdr:nvSpPr>
      <xdr:spPr bwMode="auto">
        <a:xfrm>
          <a:off x="3133725" y="16421100"/>
          <a:ext cx="1704975" cy="46672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95250</xdr:colOff>
      <xdr:row>272</xdr:row>
      <xdr:rowOff>57150</xdr:rowOff>
    </xdr:from>
    <xdr:to>
      <xdr:col>2</xdr:col>
      <xdr:colOff>1428750</xdr:colOff>
      <xdr:row>274</xdr:row>
      <xdr:rowOff>133350</xdr:rowOff>
    </xdr:to>
    <xdr:sp macro="" textlink="">
      <xdr:nvSpPr>
        <xdr:cNvPr id="3" name="Rectangle 16">
          <a:extLst>
            <a:ext uri="{FF2B5EF4-FFF2-40B4-BE49-F238E27FC236}">
              <a16:creationId xmlns:a16="http://schemas.microsoft.com/office/drawing/2014/main" id="{CC9B2339-B483-440E-932A-A62E493BF534}"/>
            </a:ext>
          </a:extLst>
        </xdr:cNvPr>
        <xdr:cNvSpPr>
          <a:spLocks noChangeArrowheads="1"/>
        </xdr:cNvSpPr>
      </xdr:nvSpPr>
      <xdr:spPr bwMode="auto">
        <a:xfrm>
          <a:off x="95250" y="16421100"/>
          <a:ext cx="2809875" cy="476250"/>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oneCellAnchor>
    <xdr:from>
      <xdr:col>5</xdr:col>
      <xdr:colOff>180975</xdr:colOff>
      <xdr:row>271</xdr:row>
      <xdr:rowOff>190500</xdr:rowOff>
    </xdr:from>
    <xdr:ext cx="2114551" cy="670560"/>
    <xdr:sp macro="" textlink="">
      <xdr:nvSpPr>
        <xdr:cNvPr id="4" name="TextBox 3">
          <a:extLst>
            <a:ext uri="{FF2B5EF4-FFF2-40B4-BE49-F238E27FC236}">
              <a16:creationId xmlns:a16="http://schemas.microsoft.com/office/drawing/2014/main" id="{06BD2444-F4AF-4560-B691-5511AA1CE571}"/>
            </a:ext>
          </a:extLst>
        </xdr:cNvPr>
        <xdr:cNvSpPr txBox="1"/>
      </xdr:nvSpPr>
      <xdr:spPr>
        <a:xfrm>
          <a:off x="5429250" y="72742425"/>
          <a:ext cx="2114551"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2</xdr:col>
      <xdr:colOff>942975</xdr:colOff>
      <xdr:row>272</xdr:row>
      <xdr:rowOff>7620</xdr:rowOff>
    </xdr:from>
    <xdr:ext cx="1943100" cy="670560"/>
    <xdr:sp macro="" textlink="">
      <xdr:nvSpPr>
        <xdr:cNvPr id="5" name="TextBox 4">
          <a:extLst>
            <a:ext uri="{FF2B5EF4-FFF2-40B4-BE49-F238E27FC236}">
              <a16:creationId xmlns:a16="http://schemas.microsoft.com/office/drawing/2014/main" id="{69AC43FE-7E34-4E01-8180-44FCCB2FB16E}"/>
            </a:ext>
          </a:extLst>
        </xdr:cNvPr>
        <xdr:cNvSpPr txBox="1"/>
      </xdr:nvSpPr>
      <xdr:spPr>
        <a:xfrm>
          <a:off x="2419350" y="16371570"/>
          <a:ext cx="194310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272</xdr:row>
      <xdr:rowOff>7620</xdr:rowOff>
    </xdr:from>
    <xdr:ext cx="2444750" cy="731520"/>
    <xdr:sp macro="" textlink="">
      <xdr:nvSpPr>
        <xdr:cNvPr id="6" name="TextBox 5">
          <a:extLst>
            <a:ext uri="{FF2B5EF4-FFF2-40B4-BE49-F238E27FC236}">
              <a16:creationId xmlns:a16="http://schemas.microsoft.com/office/drawing/2014/main" id="{CA25B404-FD7A-4A7E-A3D3-CA6B8225E222}"/>
            </a:ext>
          </a:extLst>
        </xdr:cNvPr>
        <xdr:cNvSpPr txBox="1"/>
      </xdr:nvSpPr>
      <xdr:spPr>
        <a:xfrm>
          <a:off x="0" y="16371570"/>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205408</xdr:colOff>
      <xdr:row>12</xdr:row>
      <xdr:rowOff>115957</xdr:rowOff>
    </xdr:from>
    <xdr:to>
      <xdr:col>8</xdr:col>
      <xdr:colOff>521804</xdr:colOff>
      <xdr:row>13</xdr:row>
      <xdr:rowOff>62122</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flipV="1">
          <a:off x="453058" y="2840107"/>
          <a:ext cx="4145446" cy="1366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132522</xdr:colOff>
      <xdr:row>14</xdr:row>
      <xdr:rowOff>99393</xdr:rowOff>
    </xdr:from>
    <xdr:to>
      <xdr:col>7</xdr:col>
      <xdr:colOff>438978</xdr:colOff>
      <xdr:row>16</xdr:row>
      <xdr:rowOff>24849</xdr:rowOff>
    </xdr:to>
    <xdr:sp macro="" textlink="">
      <xdr:nvSpPr>
        <xdr:cNvPr id="3" name="Oval 2">
          <a:extLst>
            <a:ext uri="{FF2B5EF4-FFF2-40B4-BE49-F238E27FC236}">
              <a16:creationId xmlns:a16="http://schemas.microsoft.com/office/drawing/2014/main" id="{00000000-0008-0000-0500-000003000000}"/>
            </a:ext>
          </a:extLst>
        </xdr:cNvPr>
        <xdr:cNvSpPr/>
      </xdr:nvSpPr>
      <xdr:spPr>
        <a:xfrm>
          <a:off x="3014870" y="3205371"/>
          <a:ext cx="819978" cy="306456"/>
        </a:xfrm>
        <a:prstGeom prst="ellipse">
          <a:avLst/>
        </a:prstGeom>
        <a:ln w="285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marL="0" indent="0" algn="ctr"/>
          <a:endParaRPr lang="en-US" sz="1100">
            <a:solidFill>
              <a:schemeClr val="dk1"/>
            </a:solidFill>
            <a:latin typeface="+mn-lt"/>
            <a:ea typeface="+mn-ea"/>
            <a:cs typeface="+mn-cs"/>
          </a:endParaRPr>
        </a:p>
      </xdr:txBody>
    </xdr:sp>
    <xdr:clientData/>
  </xdr:twoCellAnchor>
  <xdr:twoCellAnchor>
    <xdr:from>
      <xdr:col>1</xdr:col>
      <xdr:colOff>176834</xdr:colOff>
      <xdr:row>14</xdr:row>
      <xdr:rowOff>16565</xdr:rowOff>
    </xdr:from>
    <xdr:to>
      <xdr:col>9</xdr:col>
      <xdr:colOff>107674</xdr:colOff>
      <xdr:row>14</xdr:row>
      <xdr:rowOff>94008</xdr:rowOff>
    </xdr:to>
    <xdr:cxnSp macro="">
      <xdr:nvCxnSpPr>
        <xdr:cNvPr id="4" name="Straight Connector 3">
          <a:extLst>
            <a:ext uri="{FF2B5EF4-FFF2-40B4-BE49-F238E27FC236}">
              <a16:creationId xmlns:a16="http://schemas.microsoft.com/office/drawing/2014/main" id="{00000000-0008-0000-0500-000004000000}"/>
            </a:ext>
          </a:extLst>
        </xdr:cNvPr>
        <xdr:cNvCxnSpPr/>
      </xdr:nvCxnSpPr>
      <xdr:spPr>
        <a:xfrm flipV="1">
          <a:off x="424484" y="3121715"/>
          <a:ext cx="4369490" cy="774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33130</xdr:colOff>
      <xdr:row>5</xdr:row>
      <xdr:rowOff>91110</xdr:rowOff>
    </xdr:from>
    <xdr:to>
      <xdr:col>12</xdr:col>
      <xdr:colOff>24853</xdr:colOff>
      <xdr:row>9</xdr:row>
      <xdr:rowOff>66263</xdr:rowOff>
    </xdr:to>
    <xdr:cxnSp macro="">
      <xdr:nvCxnSpPr>
        <xdr:cNvPr id="5" name="Curved Connector 9">
          <a:extLst>
            <a:ext uri="{FF2B5EF4-FFF2-40B4-BE49-F238E27FC236}">
              <a16:creationId xmlns:a16="http://schemas.microsoft.com/office/drawing/2014/main" id="{00000000-0008-0000-0500-000005000000}"/>
            </a:ext>
          </a:extLst>
        </xdr:cNvPr>
        <xdr:cNvCxnSpPr/>
      </xdr:nvCxnSpPr>
      <xdr:spPr>
        <a:xfrm rot="10800000">
          <a:off x="3424030" y="1462710"/>
          <a:ext cx="3239748" cy="737153"/>
        </a:xfrm>
        <a:prstGeom prst="curved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164420</xdr:colOff>
      <xdr:row>4</xdr:row>
      <xdr:rowOff>64400</xdr:rowOff>
    </xdr:from>
    <xdr:to>
      <xdr:col>12</xdr:col>
      <xdr:colOff>198788</xdr:colOff>
      <xdr:row>8</xdr:row>
      <xdr:rowOff>33130</xdr:rowOff>
    </xdr:to>
    <xdr:cxnSp macro="">
      <xdr:nvCxnSpPr>
        <xdr:cNvPr id="6" name="Curved Connector 14">
          <a:extLst>
            <a:ext uri="{FF2B5EF4-FFF2-40B4-BE49-F238E27FC236}">
              <a16:creationId xmlns:a16="http://schemas.microsoft.com/office/drawing/2014/main" id="{00000000-0008-0000-0500-000006000000}"/>
            </a:ext>
          </a:extLst>
        </xdr:cNvPr>
        <xdr:cNvCxnSpPr/>
      </xdr:nvCxnSpPr>
      <xdr:spPr>
        <a:xfrm rot="10800000">
          <a:off x="3555320" y="1245500"/>
          <a:ext cx="3282393" cy="730730"/>
        </a:xfrm>
        <a:prstGeom prst="curved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14</xdr:row>
      <xdr:rowOff>41414</xdr:rowOff>
    </xdr:from>
    <xdr:to>
      <xdr:col>3</xdr:col>
      <xdr:colOff>228600</xdr:colOff>
      <xdr:row>16</xdr:row>
      <xdr:rowOff>16565</xdr:rowOff>
    </xdr:to>
    <xdr:sp macro="" textlink="">
      <xdr:nvSpPr>
        <xdr:cNvPr id="7" name="Oval 6">
          <a:extLst>
            <a:ext uri="{FF2B5EF4-FFF2-40B4-BE49-F238E27FC236}">
              <a16:creationId xmlns:a16="http://schemas.microsoft.com/office/drawing/2014/main" id="{00000000-0008-0000-0500-000007000000}"/>
            </a:ext>
          </a:extLst>
        </xdr:cNvPr>
        <xdr:cNvSpPr/>
      </xdr:nvSpPr>
      <xdr:spPr>
        <a:xfrm>
          <a:off x="857250" y="3146564"/>
          <a:ext cx="838200" cy="356151"/>
        </a:xfrm>
        <a:prstGeom prst="ellipse">
          <a:avLst/>
        </a:prstGeom>
        <a:ln w="285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8</xdr:col>
      <xdr:colOff>521805</xdr:colOff>
      <xdr:row>2</xdr:row>
      <xdr:rowOff>165651</xdr:rowOff>
    </xdr:from>
    <xdr:to>
      <xdr:col>10</xdr:col>
      <xdr:colOff>74545</xdr:colOff>
      <xdr:row>12</xdr:row>
      <xdr:rowOff>107673</xdr:rowOff>
    </xdr:to>
    <xdr:cxnSp macro="">
      <xdr:nvCxnSpPr>
        <xdr:cNvPr id="9" name="Straight Connector 8">
          <a:extLst>
            <a:ext uri="{FF2B5EF4-FFF2-40B4-BE49-F238E27FC236}">
              <a16:creationId xmlns:a16="http://schemas.microsoft.com/office/drawing/2014/main" id="{00000000-0008-0000-0500-000009000000}"/>
            </a:ext>
          </a:extLst>
        </xdr:cNvPr>
        <xdr:cNvCxnSpPr/>
      </xdr:nvCxnSpPr>
      <xdr:spPr>
        <a:xfrm rot="5400000">
          <a:off x="4051439" y="1512817"/>
          <a:ext cx="1866072" cy="7719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107674</xdr:colOff>
      <xdr:row>4</xdr:row>
      <xdr:rowOff>2</xdr:rowOff>
    </xdr:from>
    <xdr:to>
      <xdr:col>10</xdr:col>
      <xdr:colOff>323022</xdr:colOff>
      <xdr:row>14</xdr:row>
      <xdr:rowOff>8287</xdr:rowOff>
    </xdr:to>
    <xdr:cxnSp macro="">
      <xdr:nvCxnSpPr>
        <xdr:cNvPr id="10" name="Straight Connector 9">
          <a:extLst>
            <a:ext uri="{FF2B5EF4-FFF2-40B4-BE49-F238E27FC236}">
              <a16:creationId xmlns:a16="http://schemas.microsoft.com/office/drawing/2014/main" id="{00000000-0008-0000-0500-00000A000000}"/>
            </a:ext>
          </a:extLst>
        </xdr:cNvPr>
        <xdr:cNvCxnSpPr/>
      </xdr:nvCxnSpPr>
      <xdr:spPr>
        <a:xfrm rot="5400000">
          <a:off x="4240280" y="1734796"/>
          <a:ext cx="1932335" cy="82494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244909</xdr:colOff>
      <xdr:row>4</xdr:row>
      <xdr:rowOff>41413</xdr:rowOff>
    </xdr:from>
    <xdr:to>
      <xdr:col>7</xdr:col>
      <xdr:colOff>182217</xdr:colOff>
      <xdr:row>5</xdr:row>
      <xdr:rowOff>57978</xdr:rowOff>
    </xdr:to>
    <xdr:sp macro="" textlink="">
      <xdr:nvSpPr>
        <xdr:cNvPr id="11" name="Oval 10">
          <a:extLst>
            <a:ext uri="{FF2B5EF4-FFF2-40B4-BE49-F238E27FC236}">
              <a16:creationId xmlns:a16="http://schemas.microsoft.com/office/drawing/2014/main" id="{00000000-0008-0000-0500-00000B000000}"/>
            </a:ext>
          </a:extLst>
        </xdr:cNvPr>
        <xdr:cNvSpPr/>
      </xdr:nvSpPr>
      <xdr:spPr>
        <a:xfrm>
          <a:off x="3121459" y="1222513"/>
          <a:ext cx="451658" cy="207065"/>
        </a:xfrm>
        <a:prstGeom prst="ellipse">
          <a:avLst/>
        </a:prstGeom>
        <a:ln w="285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marL="0" indent="0" algn="ctr"/>
          <a:endParaRPr lang="en-US" sz="1100">
            <a:solidFill>
              <a:schemeClr val="dk1"/>
            </a:solidFill>
            <a:latin typeface="+mn-lt"/>
            <a:ea typeface="+mn-ea"/>
            <a:cs typeface="+mn-cs"/>
          </a:endParaRPr>
        </a:p>
      </xdr:txBody>
    </xdr:sp>
    <xdr:clientData/>
  </xdr:twoCellAnchor>
  <xdr:twoCellAnchor>
    <xdr:from>
      <xdr:col>8</xdr:col>
      <xdr:colOff>198783</xdr:colOff>
      <xdr:row>1</xdr:row>
      <xdr:rowOff>0</xdr:rowOff>
    </xdr:from>
    <xdr:to>
      <xdr:col>8</xdr:col>
      <xdr:colOff>563217</xdr:colOff>
      <xdr:row>2</xdr:row>
      <xdr:rowOff>152400</xdr:rowOff>
    </xdr:to>
    <xdr:sp macro="" textlink="">
      <xdr:nvSpPr>
        <xdr:cNvPr id="12" name="Isosceles Triangle 11">
          <a:extLst>
            <a:ext uri="{FF2B5EF4-FFF2-40B4-BE49-F238E27FC236}">
              <a16:creationId xmlns:a16="http://schemas.microsoft.com/office/drawing/2014/main" id="{00000000-0008-0000-0500-00000C000000}"/>
            </a:ext>
          </a:extLst>
        </xdr:cNvPr>
        <xdr:cNvSpPr/>
      </xdr:nvSpPr>
      <xdr:spPr>
        <a:xfrm>
          <a:off x="4275483" y="609600"/>
          <a:ext cx="364434" cy="34290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7</xdr:col>
      <xdr:colOff>314738</xdr:colOff>
      <xdr:row>10</xdr:row>
      <xdr:rowOff>0</xdr:rowOff>
    </xdr:from>
    <xdr:to>
      <xdr:col>8</xdr:col>
      <xdr:colOff>468795</xdr:colOff>
      <xdr:row>11</xdr:row>
      <xdr:rowOff>165651</xdr:rowOff>
    </xdr:to>
    <xdr:sp macro="" textlink="">
      <xdr:nvSpPr>
        <xdr:cNvPr id="14" name="Oval 13">
          <a:extLst>
            <a:ext uri="{FF2B5EF4-FFF2-40B4-BE49-F238E27FC236}">
              <a16:creationId xmlns:a16="http://schemas.microsoft.com/office/drawing/2014/main" id="{00000000-0008-0000-0500-00000E000000}"/>
            </a:ext>
          </a:extLst>
        </xdr:cNvPr>
        <xdr:cNvSpPr/>
      </xdr:nvSpPr>
      <xdr:spPr>
        <a:xfrm>
          <a:off x="3710608" y="2327413"/>
          <a:ext cx="841513" cy="356151"/>
        </a:xfrm>
        <a:prstGeom prst="ellipse">
          <a:avLst/>
        </a:prstGeom>
        <a:ln w="285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endParaRPr lang="en-US" sz="1100"/>
        </a:p>
      </xdr:txBody>
    </xdr:sp>
    <xdr:clientData/>
  </xdr:twoCellAnchor>
  <xdr:twoCellAnchor>
    <xdr:from>
      <xdr:col>2</xdr:col>
      <xdr:colOff>1657350</xdr:colOff>
      <xdr:row>26</xdr:row>
      <xdr:rowOff>57150</xdr:rowOff>
    </xdr:from>
    <xdr:to>
      <xdr:col>7</xdr:col>
      <xdr:colOff>371475</xdr:colOff>
      <xdr:row>28</xdr:row>
      <xdr:rowOff>123825</xdr:rowOff>
    </xdr:to>
    <xdr:sp macro="" textlink="">
      <xdr:nvSpPr>
        <xdr:cNvPr id="8" name="Rectangle 15">
          <a:extLst>
            <a:ext uri="{FF2B5EF4-FFF2-40B4-BE49-F238E27FC236}">
              <a16:creationId xmlns:a16="http://schemas.microsoft.com/office/drawing/2014/main" id="{9B92B902-5A64-43E4-8F91-9195685F4B09}"/>
            </a:ext>
          </a:extLst>
        </xdr:cNvPr>
        <xdr:cNvSpPr>
          <a:spLocks noChangeArrowheads="1"/>
        </xdr:cNvSpPr>
      </xdr:nvSpPr>
      <xdr:spPr bwMode="auto">
        <a:xfrm>
          <a:off x="2533650" y="7353300"/>
          <a:ext cx="2447925" cy="46672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95250</xdr:colOff>
      <xdr:row>26</xdr:row>
      <xdr:rowOff>57150</xdr:rowOff>
    </xdr:from>
    <xdr:to>
      <xdr:col>2</xdr:col>
      <xdr:colOff>1428750</xdr:colOff>
      <xdr:row>28</xdr:row>
      <xdr:rowOff>133350</xdr:rowOff>
    </xdr:to>
    <xdr:sp macro="" textlink="">
      <xdr:nvSpPr>
        <xdr:cNvPr id="13" name="Rectangle 16">
          <a:extLst>
            <a:ext uri="{FF2B5EF4-FFF2-40B4-BE49-F238E27FC236}">
              <a16:creationId xmlns:a16="http://schemas.microsoft.com/office/drawing/2014/main" id="{B4DEF789-1633-4830-89DC-5CF0A0F823CD}"/>
            </a:ext>
          </a:extLst>
        </xdr:cNvPr>
        <xdr:cNvSpPr>
          <a:spLocks noChangeArrowheads="1"/>
        </xdr:cNvSpPr>
      </xdr:nvSpPr>
      <xdr:spPr bwMode="auto">
        <a:xfrm>
          <a:off x="95250" y="7353300"/>
          <a:ext cx="2438400" cy="476250"/>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oneCellAnchor>
    <xdr:from>
      <xdr:col>10</xdr:col>
      <xdr:colOff>438978</xdr:colOff>
      <xdr:row>25</xdr:row>
      <xdr:rowOff>190500</xdr:rowOff>
    </xdr:from>
    <xdr:ext cx="1838740" cy="670560"/>
    <xdr:sp macro="" textlink="">
      <xdr:nvSpPr>
        <xdr:cNvPr id="15" name="TextBox 14">
          <a:extLst>
            <a:ext uri="{FF2B5EF4-FFF2-40B4-BE49-F238E27FC236}">
              <a16:creationId xmlns:a16="http://schemas.microsoft.com/office/drawing/2014/main" id="{210D068C-B9E1-4E2C-9853-8D9D42E63D4C}"/>
            </a:ext>
          </a:extLst>
        </xdr:cNvPr>
        <xdr:cNvSpPr txBox="1"/>
      </xdr:nvSpPr>
      <xdr:spPr>
        <a:xfrm>
          <a:off x="5748130" y="5599043"/>
          <a:ext cx="183874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6</xdr:col>
      <xdr:colOff>240195</xdr:colOff>
      <xdr:row>26</xdr:row>
      <xdr:rowOff>7620</xdr:rowOff>
    </xdr:from>
    <xdr:ext cx="2037521" cy="670560"/>
    <xdr:sp macro="" textlink="">
      <xdr:nvSpPr>
        <xdr:cNvPr id="16" name="TextBox 15">
          <a:extLst>
            <a:ext uri="{FF2B5EF4-FFF2-40B4-BE49-F238E27FC236}">
              <a16:creationId xmlns:a16="http://schemas.microsoft.com/office/drawing/2014/main" id="{50484026-C959-4102-A16D-AD3106D2E400}"/>
            </a:ext>
          </a:extLst>
        </xdr:cNvPr>
        <xdr:cNvSpPr txBox="1"/>
      </xdr:nvSpPr>
      <xdr:spPr>
        <a:xfrm>
          <a:off x="3122543" y="5614946"/>
          <a:ext cx="2037521"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26</xdr:row>
      <xdr:rowOff>7620</xdr:rowOff>
    </xdr:from>
    <xdr:ext cx="2444750" cy="731520"/>
    <xdr:sp macro="" textlink="">
      <xdr:nvSpPr>
        <xdr:cNvPr id="17" name="TextBox 16">
          <a:extLst>
            <a:ext uri="{FF2B5EF4-FFF2-40B4-BE49-F238E27FC236}">
              <a16:creationId xmlns:a16="http://schemas.microsoft.com/office/drawing/2014/main" id="{0CB55B3E-DED9-4267-9F36-D86200698B44}"/>
            </a:ext>
          </a:extLst>
        </xdr:cNvPr>
        <xdr:cNvSpPr txBox="1"/>
      </xdr:nvSpPr>
      <xdr:spPr>
        <a:xfrm>
          <a:off x="0" y="7303770"/>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xdr:col>
      <xdr:colOff>1657350</xdr:colOff>
      <xdr:row>17</xdr:row>
      <xdr:rowOff>57150</xdr:rowOff>
    </xdr:from>
    <xdr:to>
      <xdr:col>7</xdr:col>
      <xdr:colOff>371475</xdr:colOff>
      <xdr:row>19</xdr:row>
      <xdr:rowOff>123825</xdr:rowOff>
    </xdr:to>
    <xdr:sp macro="" textlink="">
      <xdr:nvSpPr>
        <xdr:cNvPr id="2" name="Rectangle 15">
          <a:extLst>
            <a:ext uri="{FF2B5EF4-FFF2-40B4-BE49-F238E27FC236}">
              <a16:creationId xmlns:a16="http://schemas.microsoft.com/office/drawing/2014/main" id="{FC567661-019F-49FF-90B6-219DDD9F7E67}"/>
            </a:ext>
          </a:extLst>
        </xdr:cNvPr>
        <xdr:cNvSpPr>
          <a:spLocks noChangeArrowheads="1"/>
        </xdr:cNvSpPr>
      </xdr:nvSpPr>
      <xdr:spPr bwMode="auto">
        <a:xfrm>
          <a:off x="2609850" y="72809100"/>
          <a:ext cx="4800600" cy="46672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95250</xdr:colOff>
      <xdr:row>17</xdr:row>
      <xdr:rowOff>57150</xdr:rowOff>
    </xdr:from>
    <xdr:to>
      <xdr:col>2</xdr:col>
      <xdr:colOff>1428750</xdr:colOff>
      <xdr:row>19</xdr:row>
      <xdr:rowOff>133350</xdr:rowOff>
    </xdr:to>
    <xdr:sp macro="" textlink="">
      <xdr:nvSpPr>
        <xdr:cNvPr id="3" name="Rectangle 16">
          <a:extLst>
            <a:ext uri="{FF2B5EF4-FFF2-40B4-BE49-F238E27FC236}">
              <a16:creationId xmlns:a16="http://schemas.microsoft.com/office/drawing/2014/main" id="{2F541CEE-6C37-4570-8416-B490BAD2E9B9}"/>
            </a:ext>
          </a:extLst>
        </xdr:cNvPr>
        <xdr:cNvSpPr>
          <a:spLocks noChangeArrowheads="1"/>
        </xdr:cNvSpPr>
      </xdr:nvSpPr>
      <xdr:spPr bwMode="auto">
        <a:xfrm>
          <a:off x="95250" y="72809100"/>
          <a:ext cx="2514600" cy="476250"/>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oneCellAnchor>
    <xdr:from>
      <xdr:col>8</xdr:col>
      <xdr:colOff>128984</xdr:colOff>
      <xdr:row>16</xdr:row>
      <xdr:rowOff>190500</xdr:rowOff>
    </xdr:from>
    <xdr:ext cx="1914922" cy="670560"/>
    <xdr:sp macro="" textlink="">
      <xdr:nvSpPr>
        <xdr:cNvPr id="4" name="TextBox 3">
          <a:extLst>
            <a:ext uri="{FF2B5EF4-FFF2-40B4-BE49-F238E27FC236}">
              <a16:creationId xmlns:a16="http://schemas.microsoft.com/office/drawing/2014/main" id="{9C8099EF-B8E8-4A2B-B941-92B8A8BB1436}"/>
            </a:ext>
          </a:extLst>
        </xdr:cNvPr>
        <xdr:cNvSpPr txBox="1"/>
      </xdr:nvSpPr>
      <xdr:spPr>
        <a:xfrm>
          <a:off x="5546328" y="7463234"/>
          <a:ext cx="1914922"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3</xdr:col>
      <xdr:colOff>297656</xdr:colOff>
      <xdr:row>17</xdr:row>
      <xdr:rowOff>7620</xdr:rowOff>
    </xdr:from>
    <xdr:ext cx="1964532" cy="670560"/>
    <xdr:sp macro="" textlink="">
      <xdr:nvSpPr>
        <xdr:cNvPr id="5" name="TextBox 4">
          <a:extLst>
            <a:ext uri="{FF2B5EF4-FFF2-40B4-BE49-F238E27FC236}">
              <a16:creationId xmlns:a16="http://schemas.microsoft.com/office/drawing/2014/main" id="{DED53741-2ED5-462B-8EDB-377B78790EC4}"/>
            </a:ext>
          </a:extLst>
        </xdr:cNvPr>
        <xdr:cNvSpPr txBox="1"/>
      </xdr:nvSpPr>
      <xdr:spPr>
        <a:xfrm>
          <a:off x="2837656" y="7478792"/>
          <a:ext cx="1964532"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17</xdr:row>
      <xdr:rowOff>7620</xdr:rowOff>
    </xdr:from>
    <xdr:ext cx="2444750" cy="731520"/>
    <xdr:sp macro="" textlink="">
      <xdr:nvSpPr>
        <xdr:cNvPr id="6" name="TextBox 5">
          <a:extLst>
            <a:ext uri="{FF2B5EF4-FFF2-40B4-BE49-F238E27FC236}">
              <a16:creationId xmlns:a16="http://schemas.microsoft.com/office/drawing/2014/main" id="{C42C94EF-191B-4DEC-AC9E-323BE8EA4831}"/>
            </a:ext>
          </a:extLst>
        </xdr:cNvPr>
        <xdr:cNvSpPr txBox="1"/>
      </xdr:nvSpPr>
      <xdr:spPr>
        <a:xfrm>
          <a:off x="0" y="72759570"/>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xdr:col>
      <xdr:colOff>1657350</xdr:colOff>
      <xdr:row>19</xdr:row>
      <xdr:rowOff>57150</xdr:rowOff>
    </xdr:from>
    <xdr:to>
      <xdr:col>7</xdr:col>
      <xdr:colOff>371475</xdr:colOff>
      <xdr:row>21</xdr:row>
      <xdr:rowOff>123825</xdr:rowOff>
    </xdr:to>
    <xdr:sp macro="" textlink="">
      <xdr:nvSpPr>
        <xdr:cNvPr id="2" name="Rectangle 15">
          <a:extLst>
            <a:ext uri="{FF2B5EF4-FFF2-40B4-BE49-F238E27FC236}">
              <a16:creationId xmlns:a16="http://schemas.microsoft.com/office/drawing/2014/main" id="{60917F24-3E80-458E-882F-F7E17BA8EE6F}"/>
            </a:ext>
          </a:extLst>
        </xdr:cNvPr>
        <xdr:cNvSpPr>
          <a:spLocks noChangeArrowheads="1"/>
        </xdr:cNvSpPr>
      </xdr:nvSpPr>
      <xdr:spPr bwMode="auto">
        <a:xfrm>
          <a:off x="2533650" y="7353300"/>
          <a:ext cx="2447925" cy="46672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95250</xdr:colOff>
      <xdr:row>19</xdr:row>
      <xdr:rowOff>57150</xdr:rowOff>
    </xdr:from>
    <xdr:to>
      <xdr:col>2</xdr:col>
      <xdr:colOff>1428750</xdr:colOff>
      <xdr:row>21</xdr:row>
      <xdr:rowOff>133350</xdr:rowOff>
    </xdr:to>
    <xdr:sp macro="" textlink="">
      <xdr:nvSpPr>
        <xdr:cNvPr id="3" name="Rectangle 16">
          <a:extLst>
            <a:ext uri="{FF2B5EF4-FFF2-40B4-BE49-F238E27FC236}">
              <a16:creationId xmlns:a16="http://schemas.microsoft.com/office/drawing/2014/main" id="{7179D42D-69C0-43A2-8FF0-516004150B75}"/>
            </a:ext>
          </a:extLst>
        </xdr:cNvPr>
        <xdr:cNvSpPr>
          <a:spLocks noChangeArrowheads="1"/>
        </xdr:cNvSpPr>
      </xdr:nvSpPr>
      <xdr:spPr bwMode="auto">
        <a:xfrm>
          <a:off x="95250" y="7353300"/>
          <a:ext cx="2438400" cy="476250"/>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oneCellAnchor>
    <xdr:from>
      <xdr:col>4</xdr:col>
      <xdr:colOff>885825</xdr:colOff>
      <xdr:row>18</xdr:row>
      <xdr:rowOff>190500</xdr:rowOff>
    </xdr:from>
    <xdr:ext cx="2105025" cy="670560"/>
    <xdr:sp macro="" textlink="">
      <xdr:nvSpPr>
        <xdr:cNvPr id="4" name="TextBox 3">
          <a:extLst>
            <a:ext uri="{FF2B5EF4-FFF2-40B4-BE49-F238E27FC236}">
              <a16:creationId xmlns:a16="http://schemas.microsoft.com/office/drawing/2014/main" id="{8508837A-5693-4853-9708-073D8D35C728}"/>
            </a:ext>
          </a:extLst>
        </xdr:cNvPr>
        <xdr:cNvSpPr txBox="1"/>
      </xdr:nvSpPr>
      <xdr:spPr>
        <a:xfrm>
          <a:off x="4543425" y="6562725"/>
          <a:ext cx="2105025"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2</xdr:col>
      <xdr:colOff>695325</xdr:colOff>
      <xdr:row>19</xdr:row>
      <xdr:rowOff>7620</xdr:rowOff>
    </xdr:from>
    <xdr:ext cx="1914525" cy="670560"/>
    <xdr:sp macro="" textlink="">
      <xdr:nvSpPr>
        <xdr:cNvPr id="5" name="TextBox 4">
          <a:extLst>
            <a:ext uri="{FF2B5EF4-FFF2-40B4-BE49-F238E27FC236}">
              <a16:creationId xmlns:a16="http://schemas.microsoft.com/office/drawing/2014/main" id="{9342E2DE-BC73-441E-ABBD-B57E99F5EC4F}"/>
            </a:ext>
          </a:extLst>
        </xdr:cNvPr>
        <xdr:cNvSpPr txBox="1"/>
      </xdr:nvSpPr>
      <xdr:spPr>
        <a:xfrm>
          <a:off x="2352675" y="6579870"/>
          <a:ext cx="1914525"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19</xdr:row>
      <xdr:rowOff>7620</xdr:rowOff>
    </xdr:from>
    <xdr:ext cx="2444750" cy="731520"/>
    <xdr:sp macro="" textlink="">
      <xdr:nvSpPr>
        <xdr:cNvPr id="6" name="TextBox 5">
          <a:extLst>
            <a:ext uri="{FF2B5EF4-FFF2-40B4-BE49-F238E27FC236}">
              <a16:creationId xmlns:a16="http://schemas.microsoft.com/office/drawing/2014/main" id="{2EBFC1E8-3EEA-44DB-98EE-7F55C14CE7AE}"/>
            </a:ext>
          </a:extLst>
        </xdr:cNvPr>
        <xdr:cNvSpPr txBox="1"/>
      </xdr:nvSpPr>
      <xdr:spPr>
        <a:xfrm>
          <a:off x="0" y="7303770"/>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3</xdr:col>
      <xdr:colOff>9526</xdr:colOff>
      <xdr:row>18</xdr:row>
      <xdr:rowOff>19050</xdr:rowOff>
    </xdr:from>
    <xdr:to>
      <xdr:col>3</xdr:col>
      <xdr:colOff>1514475</xdr:colOff>
      <xdr:row>21</xdr:row>
      <xdr:rowOff>133350</xdr:rowOff>
    </xdr:to>
    <xdr:sp macro="" textlink="">
      <xdr:nvSpPr>
        <xdr:cNvPr id="3" name="Rectangle 13">
          <a:extLst>
            <a:ext uri="{FF2B5EF4-FFF2-40B4-BE49-F238E27FC236}">
              <a16:creationId xmlns:a16="http://schemas.microsoft.com/office/drawing/2014/main" id="{00000000-0008-0000-0900-000003000000}"/>
            </a:ext>
          </a:extLst>
        </xdr:cNvPr>
        <xdr:cNvSpPr>
          <a:spLocks noChangeArrowheads="1"/>
        </xdr:cNvSpPr>
      </xdr:nvSpPr>
      <xdr:spPr bwMode="auto">
        <a:xfrm>
          <a:off x="3990976" y="4067175"/>
          <a:ext cx="1504949" cy="60007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1</xdr:col>
      <xdr:colOff>1666874</xdr:colOff>
      <xdr:row>17</xdr:row>
      <xdr:rowOff>142875</xdr:rowOff>
    </xdr:from>
    <xdr:to>
      <xdr:col>3</xdr:col>
      <xdr:colOff>123825</xdr:colOff>
      <xdr:row>20</xdr:row>
      <xdr:rowOff>66675</xdr:rowOff>
    </xdr:to>
    <xdr:sp macro="" textlink="">
      <xdr:nvSpPr>
        <xdr:cNvPr id="4" name="Rectangle 14">
          <a:extLst>
            <a:ext uri="{FF2B5EF4-FFF2-40B4-BE49-F238E27FC236}">
              <a16:creationId xmlns:a16="http://schemas.microsoft.com/office/drawing/2014/main" id="{00000000-0008-0000-0900-000004000000}"/>
            </a:ext>
          </a:extLst>
        </xdr:cNvPr>
        <xdr:cNvSpPr>
          <a:spLocks noChangeArrowheads="1"/>
        </xdr:cNvSpPr>
      </xdr:nvSpPr>
      <xdr:spPr bwMode="auto">
        <a:xfrm>
          <a:off x="2143124" y="4029075"/>
          <a:ext cx="1962151" cy="40957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457200</xdr:colOff>
      <xdr:row>17</xdr:row>
      <xdr:rowOff>85725</xdr:rowOff>
    </xdr:from>
    <xdr:to>
      <xdr:col>1</xdr:col>
      <xdr:colOff>1714500</xdr:colOff>
      <xdr:row>21</xdr:row>
      <xdr:rowOff>152400</xdr:rowOff>
    </xdr:to>
    <xdr:sp macro="" textlink="">
      <xdr:nvSpPr>
        <xdr:cNvPr id="5" name="Rectangle 15">
          <a:extLst>
            <a:ext uri="{FF2B5EF4-FFF2-40B4-BE49-F238E27FC236}">
              <a16:creationId xmlns:a16="http://schemas.microsoft.com/office/drawing/2014/main" id="{00000000-0008-0000-0900-000005000000}"/>
            </a:ext>
          </a:extLst>
        </xdr:cNvPr>
        <xdr:cNvSpPr>
          <a:spLocks noChangeArrowheads="1"/>
        </xdr:cNvSpPr>
      </xdr:nvSpPr>
      <xdr:spPr bwMode="auto">
        <a:xfrm>
          <a:off x="457200" y="3971925"/>
          <a:ext cx="1733550" cy="71437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2</xdr:col>
      <xdr:colOff>1657350</xdr:colOff>
      <xdr:row>16</xdr:row>
      <xdr:rowOff>57150</xdr:rowOff>
    </xdr:from>
    <xdr:to>
      <xdr:col>7</xdr:col>
      <xdr:colOff>371475</xdr:colOff>
      <xdr:row>18</xdr:row>
      <xdr:rowOff>123825</xdr:rowOff>
    </xdr:to>
    <xdr:sp macro="" textlink="">
      <xdr:nvSpPr>
        <xdr:cNvPr id="2" name="Rectangle 15">
          <a:extLst>
            <a:ext uri="{FF2B5EF4-FFF2-40B4-BE49-F238E27FC236}">
              <a16:creationId xmlns:a16="http://schemas.microsoft.com/office/drawing/2014/main" id="{101EDB77-E39F-4F79-9EB8-C33C7A0CD07B}"/>
            </a:ext>
          </a:extLst>
        </xdr:cNvPr>
        <xdr:cNvSpPr>
          <a:spLocks noChangeArrowheads="1"/>
        </xdr:cNvSpPr>
      </xdr:nvSpPr>
      <xdr:spPr bwMode="auto">
        <a:xfrm>
          <a:off x="2705100" y="6629400"/>
          <a:ext cx="4343400" cy="46672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95250</xdr:colOff>
      <xdr:row>16</xdr:row>
      <xdr:rowOff>57150</xdr:rowOff>
    </xdr:from>
    <xdr:to>
      <xdr:col>2</xdr:col>
      <xdr:colOff>1428750</xdr:colOff>
      <xdr:row>18</xdr:row>
      <xdr:rowOff>133350</xdr:rowOff>
    </xdr:to>
    <xdr:sp macro="" textlink="">
      <xdr:nvSpPr>
        <xdr:cNvPr id="6" name="Rectangle 16">
          <a:extLst>
            <a:ext uri="{FF2B5EF4-FFF2-40B4-BE49-F238E27FC236}">
              <a16:creationId xmlns:a16="http://schemas.microsoft.com/office/drawing/2014/main" id="{BFD1B4AD-46DD-46D1-BAD9-4F4FBC66EA5C}"/>
            </a:ext>
          </a:extLst>
        </xdr:cNvPr>
        <xdr:cNvSpPr>
          <a:spLocks noChangeArrowheads="1"/>
        </xdr:cNvSpPr>
      </xdr:nvSpPr>
      <xdr:spPr bwMode="auto">
        <a:xfrm>
          <a:off x="95250" y="6629400"/>
          <a:ext cx="2609850" cy="476250"/>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oneCellAnchor>
    <xdr:from>
      <xdr:col>3</xdr:col>
      <xdr:colOff>247650</xdr:colOff>
      <xdr:row>16</xdr:row>
      <xdr:rowOff>0</xdr:rowOff>
    </xdr:from>
    <xdr:ext cx="1838325" cy="670560"/>
    <xdr:sp macro="" textlink="">
      <xdr:nvSpPr>
        <xdr:cNvPr id="7" name="TextBox 6">
          <a:extLst>
            <a:ext uri="{FF2B5EF4-FFF2-40B4-BE49-F238E27FC236}">
              <a16:creationId xmlns:a16="http://schemas.microsoft.com/office/drawing/2014/main" id="{1E1CD24A-B4B6-427F-82BA-512142EA3BDE}"/>
            </a:ext>
          </a:extLst>
        </xdr:cNvPr>
        <xdr:cNvSpPr txBox="1"/>
      </xdr:nvSpPr>
      <xdr:spPr>
        <a:xfrm>
          <a:off x="4410075" y="3990975"/>
          <a:ext cx="1838325"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1</xdr:col>
      <xdr:colOff>1752601</xdr:colOff>
      <xdr:row>16</xdr:row>
      <xdr:rowOff>7620</xdr:rowOff>
    </xdr:from>
    <xdr:ext cx="1905000" cy="670560"/>
    <xdr:sp macro="" textlink="">
      <xdr:nvSpPr>
        <xdr:cNvPr id="8" name="TextBox 7">
          <a:extLst>
            <a:ext uri="{FF2B5EF4-FFF2-40B4-BE49-F238E27FC236}">
              <a16:creationId xmlns:a16="http://schemas.microsoft.com/office/drawing/2014/main" id="{77384809-6663-4EBC-B8AF-4115A62F65EE}"/>
            </a:ext>
          </a:extLst>
        </xdr:cNvPr>
        <xdr:cNvSpPr txBox="1"/>
      </xdr:nvSpPr>
      <xdr:spPr>
        <a:xfrm>
          <a:off x="2228851" y="3998595"/>
          <a:ext cx="190500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16</xdr:row>
      <xdr:rowOff>7620</xdr:rowOff>
    </xdr:from>
    <xdr:ext cx="2444750" cy="731520"/>
    <xdr:sp macro="" textlink="">
      <xdr:nvSpPr>
        <xdr:cNvPr id="9" name="TextBox 8">
          <a:extLst>
            <a:ext uri="{FF2B5EF4-FFF2-40B4-BE49-F238E27FC236}">
              <a16:creationId xmlns:a16="http://schemas.microsoft.com/office/drawing/2014/main" id="{9DADA82C-6B39-4887-987C-6171CC4321EA}"/>
            </a:ext>
          </a:extLst>
        </xdr:cNvPr>
        <xdr:cNvSpPr txBox="1"/>
      </xdr:nvSpPr>
      <xdr:spPr>
        <a:xfrm>
          <a:off x="0" y="6579870"/>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1\xp\LOCALS~1\Temp\Rar$DIa0.219\Estimates\pmgsy-phaseII\Nalgonda\Graded-27.Dachar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1\xp\LOCALS~1\Temp\Rar$DIa0.219\Estimates\pmgsy\Deverakonda\87.Gazinaga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1\xp\LOCALS~1\Temp\Rar$DIa0.219\Estimates\pmgsy\Package1304\07.1.package13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1\xp\LOCALS~1\Temp\Rar$DIa0.219\Estimates\Buildings\Mpp_newplan\Miryalaguda\MPP_Rajap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1\xp\LOCALS~1\Temp\Rar$DIa0.219\Estimates\Buildings\MPP_Buildings\mpp%20estimate%20NADIGUDE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1\xp\LOCALS~1\Temp\Rar$DIa0.219\Estimates\pmgsy-phase4\Thungathurthy\Thirumalagiri-Thatipamula-sri%20ram%20tanda\CD%20work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urali-irr\irrigation\saonkasa\work%20slip\Vijayanand%20DEE\CDs%20of%20Venkataiah%20R&amp;B\Himayat%20sagar-%20Dargasali%20road\Book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ocuments\Buildings\Data\data9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Estimates\Buildings\Mpp_newplan\Miryalaguda\MPP_Rajape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xp\Desktop\RDF-2013-14%20ROADS%20KMM%20RURAL\Estimates\pmgsy-phaseII\Nalgonda\Graded-27.Dachara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xp\Desktop\RDF-2013-14%20ROADS%20KMM%20RURAL\Estimates\pmgsy\Deverakonda\87.Gazinaga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xp\Desktop\RDF-2013-14%20ROADS%20KMM%20RURAL\Estimates\pmgsy\Package1304\07.1.package13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xp\Desktop\RDF-2013-14%20ROADS%20KMM%20RURAL\Estimates\Buildings\Mpp_newplan\Miryalaguda\MPP_Rajape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xp\Desktop\RDF-2013-14%20ROADS%20KMM%20RURAL\Estimates\Buildings\MPP_Buildings\mpp%20estimate%20NADIGUDE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xp\Desktop\RDF-2013-14%20ROADS%20KMM%20RURAL\Estimates\pmgsy-phase4\Thungathurthy\Thirumalagiri-Thatipamula-sri%20ram%20tanda\CD%20work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ndiramma\e\Estimates\pmgsy-phaseII\Nalgonda\Graded-27.Dachara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diramma\e\Estimates\pmgsy\Deverakonda\87.Gazinaga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diramma\e\Estimates\pmgsy\Package1304\07.1.package13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ndiramma\e\Estimates\Buildings\Mpp_newplan\Miryalaguda\MPP_Rajape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ndiramma\e\Estimates\Buildings\MPP_Buildings\mpp%20estimate%20NADIGUDEM.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ndiramma\e\Estimates\pmgsy-phase4\Thungathurthy\Thirumalagiri-Thatipamula-sri%20ram%20tanda\CD%20work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1\my%20documents\Estimates\pmgsy-phaseII\Nalgonda\Graded-27.Dacharam.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1\my%20documents\Estimates\pmgsy\Deverakonda\87.Gazinaga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1\my%20documents\Estimates\pmgsy\Package1304\07.1.package13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1\my%20documents\Estimates\Buildings\Mpp_newplan\Miryalaguda\MPP_Rajape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1\my%20documents\Estimates\Buildings\MPP_Buildings\mpp%20estimate%20NADIGUDEM.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1\my%20documents\Estimates\pmgsy-phase4\Thungathurthy\Thirumalagiri-Thatipamula-sri%20ram%20tanda\CD%20work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rccdu\d\Gopalapuram\NELLORE%20-%20MUTHUKUR%20ROAD\Estimates\pmgsy-phaseII\Nalgonda\Graded-27.Dacharam.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rccdu\d\Gopalapuram\NELLORE%20-%20MUTHUKUR%20ROAD\Estimates\pmgsy\Deverakonda\87.Gazinaga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rccdu\d\Gopalapuram\NELLORE%20-%20MUTHUKUR%20ROAD\Estimates\pmgsy\Package1304\07.1.package13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rccdu\d\Gopalapuram\NELLORE%20-%20MUTHUKUR%20ROAD\Estimates\Buildings\Mpp_newplan\Miryalaguda\MPP_Rajape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rccdu\d\Gopalapuram\NELLORE%20-%20MUTHUKUR%20ROAD\Estimates\Buildings\MPP_Buildings\mpp%20estimate%20NADIGUDE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rccdu\d\Gopalapuram\NELLORE%20-%20MUTHUKUR%20ROAD\Estimates\pmgsy-phase4\Thungathurthy\Thirumalagiri-Thatipamula-sri%20ram%20tanda\CD%20work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Estimates\pmgsy-phaseII\Nalgonda\Graded-27.Dacharam.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kanug\Desktop\hnr%20files\raju%20AEE\ssr%202008-0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Estimates\pmgsy\Deverakonda\87.Gazinaga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Estimates\pmgsy\Package1304\07.1.package13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Estimates\Buildings\Mpp_newplan\Miryalaguda\MPP_Rajape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Estimates\Buildings\MPP_Buildings\mpp%20estimate%20NADIGUDEM.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Estimates\pmgsy-phase4\Thungathurthy\Thirumalagiri-Thatipamula-sri%20ram%20tanda\CD%20work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raju%20AEE\ssr%202008-0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Documents%20and%20Settings\Vyshna\Desktop\New%20Folder\Copy%20of%20SP%206.86%20LFfina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murali-irr\irrigation\saonkasa\work%20slip\Vijayanand%20DEE\CDs%20of%20Venkataiah%20R&amp;B\Himayat%20sagar-%20Dargasali%20road\N%20N%20ROA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Users\kanug\Desktop\hnr%20files\P4%20Work%20File\Package%20-%204%20%20%2008.10.17\Users\davi\Desktop\raju%20AEE\ssr%202008-0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NB10\Desktop\ROADS\Private%20roads\Final%20private%20roads\CHINTHAKANI\DECEMBER%20DPR'S\main%20temp\Final%20DPR%20template%20Dont%20touch\15%20estimates\Nariah%20banj"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I:\Documents%20and%20Settings\Homepc\Desktop\working%20files\new%20note%20files\PWD%20to%20Kurumuthy\Modified%20Kurumurthy%20road.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Bhagyanagar\Tank%20Estimate%20Bhagyanagar.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WORK/HY%202.6-7.0%20WE/WORK%20SLIP%205.00%20CRORE/HUYA%20ESTIMATE%20%20WE.xls" TargetMode="External"/><Relationship Id="rId1" Type="http://schemas.openxmlformats.org/officeDocument/2006/relationships/externalLinkPath" Target="/WORK/HY%202.6-7.0%20WE/WORK%20SLIP%205.00%20CRORE/HUYA%20ESTIMATE%20%20W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Users\USER\AppData\Local\Temp\WORK\HY%202.6-7.0%20WE\WORK%20SLIP%205.00%20CRORE\HUYA%20ESTIMATE%20%20W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DOCUME~1\xp\LOCALS~1\Temp\Rar$DIa0.219\Est\14.05.10\SSR%2010-11\Estimates\pmgsy-phase4\Thungathurthy\Thirumalagiri-Thatipamula-sri%20ram%20tanda\CD%20work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Documents%20and%20Settings\Administrator\Desktop\acpcanal_Design\RFDist_drops_Est.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WORK/PEN%20DRIVE%20BACKUP/WORKS/2015-16/AEE%20RAJSHEKHAR-hm%20road/DWE/HM%20PUSHKAR%20final.xls" TargetMode="External"/><Relationship Id="rId1" Type="http://schemas.openxmlformats.org/officeDocument/2006/relationships/externalLinkPath" Target="/WORK/PEN%20DRIVE%20BACKUP/WORKS/2015-16/AEE%20RAJSHEKHAR-hm%20road/DWE/HM%20PUSHKAR%20final.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sers\USER\AppData\Local\Temp\WORK\PEN%20DRIVE%20BACKUP\WORKS\2015-16\AEE%20RAJSHEKHAR-hm%20road\DWE\HM%20PUSHKAR%20fina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Kiran%20pendrive%2007-1-13\N-M%20ER%20Low%20berms%20%20estimates\FDR%20HNM%2060-68%20new.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Users\kanug\Desktop\hnr%20files\Bhagyanagar\Tank%20Estimate%20Bhagya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J:\pmgsy-phaseII\Nalgonda\Graded-27.Dacharam.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Kurnool2013-14/Kurnool%202013-14/2013-14%20estimate%20files/Internal%20roads%20in%20kurnool/Internal%20roads%20in%20kurnool.xls" TargetMode="External"/><Relationship Id="rId1" Type="http://schemas.openxmlformats.org/officeDocument/2006/relationships/externalLinkPath" Target="/Kurnool2013-14/Kurnool%202013-14/2013-14%20estimate%20files/Internal%20roads%20in%20kurnool/Internal%20roads%20in%20kurnoo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Users\USER\AppData\Local\Temp\Kurnool2013-14\Kurnool%202013-14\2013-14%20estimate%20files\Internal%20roads%20in%20kurnool\Internal%20roads%20in%20kurnool.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J:\pmgsy\Deverakonda\87.Gazinagar.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J:\pmgsy\Package1304\07.1.package130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Prccdu\d\P.R.%20Atmakur\Estimates\P.R%20Guest%20house\Ramesh%20PWSS\2007-08\CR-Vchamber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J:\Buildings\Mpp_newplan\Miryalaguda\MPP_Rajape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J:\Buildings\MPP_Buildings\mpp%20estimate%20NADIGUDEM.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J:\pmgsy-phase4\Thungathurthy\Thirumalagiri-Thatipamula-sri%20ram%20tanda\CD%20work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murali-irr\irrigation\dehagaon\WUA\Bhagyanagar\Tank%20Estimate%20Bhagyanagar.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Estimates\RIDF-X%20estimate\Documents%20and%20Settings\tanesh\My%20Documents\T-G%20road\Road%2003-04\Road.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Estimates\RIDF-X%20estimate\Documents%20and%20Settings\tanesh\My%20Documents\T-G%20road\slab%20culvert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I:\Users\user\Desktop\Estimates\RDF-Madhira\mahesh\t-s_models\MODEL1(chandrashekar).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mahesh\t-s_models\MODEL1(chandrashekar).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I:\Users\user\Desktop\Estimates\RDF-Madhira\My%20Documents%20250806\New%20P-B%20Rd.16-25.2\Vallampatla%20-Tharigoppul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My%20Documents%20250806\New%20P-B%20Rd.16-25.2\Vallampatla%20-Tharigoppula.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Users\user\Desktop\AEEK\NABARD%20BOMMENA\NEW%20NH16%20TO%20BOMMENA%2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AEEK\NABARD%20BOMMENA\NEW%20NH16%20TO%20BOMMENA%201.xls"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Users/Gts/Desktop/HUZUR_NAGAR_PUSHKARALU/WE/Mattapally%20Parking%20DWE1.xlsx" TargetMode="External"/><Relationship Id="rId1" Type="http://schemas.openxmlformats.org/officeDocument/2006/relationships/externalLinkPath" Target="/Users/Gts/Desktop/HUZUR_NAGAR_PUSHKARALU/WE/Mattapally%20Parking%20DWE1.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Users\USER\AppData\Local\Temp\Users\Gts\Desktop\HUZUR_NAGAR_PUSHKARALU\WE\Mattapally%20Parking%20DWE1.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Users\kanug\Desktop\hnr%20files\P4%20Work%20File\Package%20-%204%20%20%2008.10.17\Users\davi\Desktop\Users\VEERA\Downloads\4.K-D%20road%20Bridge%2028-31,%2037-39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Users\VEERA\Downloads\4.K-D%20road%20Bridge%2028-31,%2037-39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I:\Users\user\Desktop\Estimates\RDF-Madhira\mahesh\mODEL_XI%20wet_200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mahesh\mODEL_XI%20wet_200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Users\user\Desktop\Estimates\RDF-Madhira\My%20Documents%20250806\New%20P-B%20Rd.16-25.2\Estimates\RIDF-XI\WARANGAL\RN%20road-05-06.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My%20Documents%20250806\New%20P-B%20Rd.16-25.2\Estimates\RIDF-XI\WARANGAL\RN%20road-05-06.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mahesh\t-s_models\LATEST\WG\Madhavaram_Kamsalipalem.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AEEK\NABARD%20BOMMENA\NEW%20NH16%20TO%20BOMMENA%2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Documents%20and%20Settings\Admin\Desktop\FDR%20&amp;%20ER%20estimates%20Npt\ER%20BT%20path%20work%20&amp;%20Berms%20HNM.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Bhagyanagar\Tank%20Estimate%20Bhagyanagar.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Documents%20and%20Settings\arshad\My%20Documents\SPUREST.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MYDOCS\SPUREST.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erver\ce-mi-gb-data\Users\irrigation\Downloads\SUB-DIVISION%20FOLDERS\P.Vijaya%20Raju\Ooracheru,%20Narsingapur(v)\Documents\FORMATES\CC.BILL%20FORMATS%20LS-K2-WORKSLIP\CC.bill%20Proforma.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Users\kanug\Desktop\hnr%20files\P4%20Work%20File\Package%20-%204%20%20%2008.10.17\Users\davi\Desktop\Irrigation\Medaram\SPUREST.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Users\kanug\Desktop\hnr%20files\My%20Documents\mittapallifnt.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mittapallifn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Users\kanug\Desktop\hnr%20files\My%20Documents\kondampet\SPUREST.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kondampet\SPUREST.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Users\kanug\Desktop\hnr%20files\My%20Documents\SPUREST.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SPUREST.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Users\kanug\Desktop\hnr%20files\P4%20Work%20File\Package%20-%204%20%20%2008.10.17\Users\davi\Desktop\MYDOCS\SPUREST.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Irrigation\Feb-01-2005\CD\Kummarivagu\Datas\SPUREST.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Users\kanug\Desktop\hnr%20files\P4%20Work%20File\Package%20-%204%20%20%2008.10.17\Users\davi\Desktop\My%20Documents\kondampet\SPUREST.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Users\user\Desktop\Estimates\RDF-Madhira\mahesh\t-s_models\model_final.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C:\mahesh\t-s_models\model_final.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Waller\cd-reader%20e\My%20Documents\FINAL%20REPORT\Part%20B\TRUNK%20&amp;%20ALL%20ROAD%20DATA.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Users\DELL\AppData\Local\Temp\Temp1_Modal%20Estimate%20of%20MINI%20TANK%20Bund%20(1).zip\lAKARAM%20-%20Modified(EE)%20(TS).xls"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Shobha/MISSION%20KAKATIYA%20FILES/HD%20Thirupathi%20Reddy%20Sir/Road%20Estimate/Road%20estimate%20IB%20tank%20bund.xls" TargetMode="External"/><Relationship Id="rId1" Type="http://schemas.openxmlformats.org/officeDocument/2006/relationships/externalLinkPath" Target="/Shobha/MISSION%20KAKATIYA%20FILES/HD%20Thirupathi%20Reddy%20Sir/Road%20Estimate/Road%20estimate%20IB%20tank%20bund.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works%20ts\DCE-II\OT%201\mounika\WBM%20Road.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C:\My%20Documents%20250806\SR-2006-07\SR-ET-030706.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I:\Users\user\Desktop\Estimates\RDF-Madhira\My%20Documents%20250806\SR-2006-07\SR-ET-030706.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murali-irr\irrigation\fdr\fdr-2011-12-PRINT\tantoli.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Documents\FORMATES\CC.BILL%20FORMATS%20LS-K2-WORKSLIP\CC.bill%20Proforma.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omp_1\c\My%20Documents\A3\Perfomance\Dandupally\NABARD\mbnr-est&amp;shed.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H:\type%20estimate.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Documents%20and%20Settings\123456\Desktop\type%20estimat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C:\Documents\FORMATES\CC.BILL%20FORMATS%20LS-K2-WORKSLIP\CC.bill%20Proforma.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dhanu(AEE)\kathalapur\MLA%20PROPOSALS\pedda%20cheru-ootpally_2\Documents\FORMATES\CC.BILL%20FORMATS%20LS-K2-WORKSLIP\CC.bill%20Proforma.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RAVI_Backup\Desktop\Bheemini\2\THALODI%20CD\NREG%20CD%20THALODI.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epl-mg-11\slab_cul\supriya\Telugu%20Ganga\Road%20Bridge\slb_42.493\supriya\S\Katni\Earthwork\Km%20141%20to%20146\Abstract_Katni_Km_151.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kondampet\kondcrop.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Users\kanug\Desktop\hnr%20files\My%20Documents\kondampet\kondcrop.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kond05010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C:\Users\kanug\Desktop\hnr%20files\My%20Documents\kond05010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Rampurest19082005.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Users\kanug\Desktop\hnr%20files\My%20Documents\Rampurest19082005.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Server\ce-mi-gb-data\Users\irrigation\Downloads\SUB-DIVISION%20FOLDERS\P.Vijaya%20Raju\Bandha%20(Bantla)%20kunta,%20Korem%20(v)\Documents\FORMATES\CC.BILL%20FORMATS%20LS-K2-WORKSLIP\CC.bill%20Proforma.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Prccdu\d\P.R.%20Atmakur\Estimates\P.R%20Guest%20house\2006-07%20estimate.XLS"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Comp1%20Feb%2005/PMGSY%20Ph.V/ARRR%20JANNEPALLY.xls" TargetMode="External"/><Relationship Id="rId1" Type="http://schemas.openxmlformats.org/officeDocument/2006/relationships/externalLinkPath" Target="/Comp1%20Feb%2005/PMGSY%20Ph.V/ARRR%20JANNEPALLY.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e1\my%20documents\Documents\Buildings\Data\data9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Users\kanug\Desktop\hnr%20files\rajuaeesd3\raju%20AEE\ACHP\ach_est\achla-20089-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rajuaeesd3\raju%20AEE\ACHP\ach_est\achla-20089-4.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A:\OLD_FILES\NABARD\Nabard.2\Bridges\Bridge.R\KK.road.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Users\Chaitra\Desktop\Restoration%20Programme\Wankidi\Restoration%20of%20Tanks\Wankidi\WANKIDI%20TANK%20RESTORATIO.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Prccdu\d\P.R.%20Atmakur\Estimates\P.R%20Guest%20house\Estimate\Estimate\ModelEstimate\CS-Taps.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C:\Reddy%20office%20work\estimates\Budget%202020-21%20estimates\FDR%20WORKS\Permenant%20restoration\CISTERN%20WALL%20OF%20WEIR%20PEDDA%20CHERUVU\Permenant%20weir%20restoration.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Users\acer\Desktop\sai%20reddy\agamothkur\Agamothkur%20Abstract.xlsm"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2012\HUZURNAGAR__13\HUZURNAGAR...13\ASULVANIKUNTA(HUZURNAGAR)\Memories%20estimate\Memories%20ESTIMATE\SPURES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I:\Users\user\Desktop\Backup_010808\ANR_ME\PAIDIM~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D:\Backup_010808\ANR_ME\PAIDIM~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Office\dsktop30-5-12\kharji-01-03-12-1\DGHERE_121111.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C:\Users\kanug\Desktop\hnr%20files\Office\dsktop30-5-12\kharji-01-03-12-1\DGHERE_12111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Users\IRRIGATION\Desktop\Oora%20Cheruvu,%20Vilasagar%202014-15.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Server\works%20ts\type%20estimate.XLS" TargetMode="External"/></Relationships>
</file>

<file path=xl/externalLinks/_rels/externalLink140.xml.rels><?xml version="1.0" encoding="UTF-8" standalone="yes"?>
<Relationships xmlns="http://schemas.openxmlformats.org/package/2006/relationships"><Relationship Id="rId2" Type="http://schemas.openxmlformats.org/officeDocument/2006/relationships/externalLinkPath" Target="../../type%20estimate.XLS" TargetMode="External"/><Relationship Id="rId1" Type="http://schemas.openxmlformats.org/officeDocument/2006/relationships/externalLinkPath" Target="/type%20estimate.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Mpp1\e\PMGSY-I%20BAL-04-05\Road%20from%206-0%20km%20of%20T01%20to%20Balwanthapur%20(Mal-5).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Users\kanug\Desktop\hnr%20files\1-Irrigation%20dept%20works\SD3%20Metpally\Estimates%20-%20%20CADWAM\8).%20R1%20-%20D42%20culverts\5%20-%20Detailed%20estimate%20.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Dee\10gb%20(e)\Documents%20and%20Settings\india\Local%20Settings\Temporary%20Internet%20Files\Content.IE5\6NWF30L0\Documents%20and%20Settings\Administrator\Desktop\Master_DATA2006_07.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Server\ce-mi-gb-data\Manakondur\MODEL%20ESTIMATE%20wirh%20n13.56%20%25%20-%20Copy.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Estimates\RIDF-X%20estimate\Documents%20and%20Settings\tanesh\My%20Documents\Building%2003-04\Building%20Y.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Indiramma\e\Documents\Buildings\Data\data99.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Dee1\C\PMGSY%20ESTIMATES\PMGSY%2004-05\R-F%20Dacharam%20to%20Kandikatkoor%20(Sir-22).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Server\f\My%20Documents\ESTIMATES\Estimate%20copy.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B0D7B77E\UT%20SLAB%20DRAIN%200.920.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Office\Doripula%20vagu\korlanka%20Estimate\Calculations\Korlanka_Abstracts.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D:\Sonsal%20LBC%20Struc\Slab%20Drain%200.920\UT%20SLAB%20DRAIN%200.920.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Sys1\d-sys1\Store_Box\NABARD_Estimates\cd%20namnoor%20gullakota11.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dhanu(AEE)\kathalapur\MLA%20PROPOSALS\pedda%20cheru-ootpally_2\Documents\FORMATES\CC.BILL%20FORMATS%20LS-K2-WORKSLIP\CC.bill%20Proforma.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Ceprnab1-nab4\d\AVRCR\Documents%20and%20Settings\hcl\Desktop\ARRR-ver-11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Intel4\d\MY%20PC\KARNAMAMIDI%20ESTIMATE\Karnamamaidi%20Estimate%2002.07.14\Technical%20Sanction%20Padt%20on%2015-01-2014%20hyderabad\PD%20Buildings%20Compound%20wall.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Dee5\c\Swamy%20Files\Swamy-2\Chodavaram%20Estimnates\Administrator\My%20Documents\Pmgsy\PMGSY%20PH%20III\satya\My%20Documents\ROADS\estOpenWell_11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D:\DOCUME~1\xp\LOCALS~1\Temp\Rar$DIa0.219\KINGSTON%20J%20Files\Estimates\pmgsy-phaseII\Nalgonda\Graded-27.Dacharam.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Prccdu\d\P.R.%20Atmakur\Estimates\P.R%20Guest%20house\Estimate\Estimate\ModelEstimate\CS-PHouse-Leg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C:\RAVI_Backup\Desktop\Bheemini\New%20Folder\THALODI%20CD\Muthnoor%20Canals.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I:\Documents\FORMATES\CC.BILL%20FORMATS%20LS-K2-WORKSLIP\CC.bill%20Proforma.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Prccdu\d\WINDOWS\Desktop\PMGSY%20PH-V\ARRR-ver-1104.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D:\penin\RAJU%20PR\2008-09%20BUILDINGS\HERITAGE%202008-09\SRIVARIMETTU%20-%20New\WINDOWS\Desktop\PMGSY%20PH-V\ARRR-ver-1104.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Server\ce-mi-gb-data\Manakondur\admn%20approva14-15\est%20with%20desiltingManakondur\Aleti%20cheruvu\Estimte.xls" TargetMode="External"/></Relationships>
</file>

<file path=xl/externalLinks/_rels/externalLink164.xml.rels><?xml version="1.0" encoding="UTF-8" standalone="yes"?>
<Relationships xmlns="http://schemas.openxmlformats.org/package/2006/relationships"><Relationship Id="rId2" Type="http://schemas.openxmlformats.org/officeDocument/2006/relationships/externalLinkPath" Target="../../Kurnool/Kurnool/2012-13/5.%20Chagalamarry-Mahadevapuram(SRP)/Corrected%20DATA%202.9.2010.xls" TargetMode="External"/><Relationship Id="rId1" Type="http://schemas.openxmlformats.org/officeDocument/2006/relationships/externalLinkPath" Target="/Kurnool/Kurnool/2012-13/5.%20Chagalamarry-Mahadevapuram(SRP)/Corrected%20DATA%202.9.2010.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C:\Users\USER\AppData\Local\Temp\Kurnool\Kurnool\2012-13\5.%20Chagalamarry-Mahadevapuram(SRP)\Corrected%20DATA%202.9.2010.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Roads-pmgsy\c\WINDOWS\Desktop\singh\db1\BIJNEPALLY\VATTEM_PALEM_BT_ROAD_15KM'S.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Eeprsystem1\system1c\WINDOWS\Desktop\singh\db1\BIJNEPALLY\VATTEM_PALEM_BT_ROAD_15KM'S.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DOCUME~1\xp\LOCALS~1\Temp\Rar$DIa0.219\Documents%20and%20Settings\hcl\Desktop\ARRR-ver-1104.xls" TargetMode="External"/></Relationships>
</file>

<file path=xl/externalLinks/_rels/externalLink169.xml.rels><?xml version="1.0" encoding="UTF-8" standalone="yes"?>
<Relationships xmlns="http://schemas.openxmlformats.org/package/2006/relationships"><Relationship Id="rId2" Type="http://schemas.openxmlformats.org/officeDocument/2006/relationships/externalLinkPath" Target="../../Technical%20Note.xls" TargetMode="External"/><Relationship Id="rId1" Type="http://schemas.openxmlformats.org/officeDocument/2006/relationships/externalLinkPath" Target="/Technical%20Note.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C:\Users\USER\AppData\Local\Temp\Technical%20Note.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D:\penin\SKHT%20MANDAL\heritage_division\bokkisampalem\WINDOWS\Desktop\PMGSY%20PH-V\ARRR-ver-1104.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A:\Design%20&amp;%20Estimate\EWE%20STAETMENT.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Users\kanug\Desktop\hnr%20files\My%2010Gb%20Contents\D%20Drive\DCE(MI)\Useful\Very%20Imp\Design%201.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Prccdu\d\Dept%20Info\VIDAVALUR%20ESTIMATES\Dampur%20GP%20estimate_BW_P.SET\Dampur%20GP%20Estimate.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3C582332\General%20Abstract,abstract,lead,data,inventary,flow%20diagram%20wua%2012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D:\Ramesh\MJR\Dist\HPs\D%2012\D%2012%20HPs.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C53F7DC7\D%2012%20HPs.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Design\d\Sripad%20Sagar%20Current\My%20Documents-Planning\Estimates\JV%20Estimations\Abstract\Abstract%20of%20Quantities%20of%20CM%20&amp;%20CD%20works%2020.6.09.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C:\type%20estimate.XLS" TargetMode="External"/></Relationships>
</file>

<file path=xl/externalLinks/_rels/externalLink180.xml.rels><?xml version="1.0" encoding="UTF-8" standalone="yes"?>
<Relationships xmlns="http://schemas.openxmlformats.org/package/2006/relationships"><Relationship Id="rId2" Type="http://schemas.openxmlformats.org/officeDocument/2006/relationships/externalLinkPath" Target="../../Irrigation/Minor%20Irrigation/HP%20PENDRIVE/ADMIN%20SANCTION%20ESTIMATES2/PIN%20CHERU/type%20estimate.XLS" TargetMode="External"/><Relationship Id="rId1" Type="http://schemas.openxmlformats.org/officeDocument/2006/relationships/externalLinkPath" Target="/Irrigation/Minor%20Irrigation/HP%20PENDRIVE/ADMIN%20SANCTION%20ESTIMATES2/PIN%20CHERU/type%20estimate.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Server\ce-mi-gb-data\Manakondur%20sub%20division\Kondapalkala\Estimate.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D:\DOCUME~1\xp\LOCALS~1\Temp\Rar$DIa0.219\KINGSTON%20J%20Files\Estimates\Buildings\MPP_Buildings\mpp%20estimate%20NADIGUDEM.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Avd\d\Est%20with%20Revised%20data%20and%20SSR%2010-11\Documents\Buildings\Data\data99.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C:\Gangadhara%20Estimate\Gangadhara%20estimate%20final%2019-02-2019.xlsx"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G:\DPR'S%202015-16\Revised%20-Dprs\Putlagadda%202015-16%20March\Putlagadda%20estimate%20with%202015-16%20March%20.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C:\NSP%20WORKS\Estimates\Chalakurthy%20and%20L2%20Estimates\DPR'S%202015-16\Revised%20-Dprs\Putlagadda%202015-16%20March\Putlagadda%20estimate%20with%202015-16%20March%20.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D:\DOCUME~1\xp\LOCALS~1\Temp\Rar$DIa0.219\KINGSTON%20J%20Files\KARIMNAGAR\RIDF%20-XVI%20Ph-II\Papakkapalli%20to%20Rachapally%20SDBC\Documents%20and%20Settings\hcl\Desktop\ARRR-ver-1104.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Kumar\c\Program%20Files\Ramdas\Ramdassystem\Tender\Other%20Tenders\TWAD\tanj\tanjore.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Dee\10gb%20(e)\Documents%20and%20Settings\india\Local%20Settings\Temporary%20Internet%20Files\Content.IE5\6NWF30L0\Documents%20and%20Settings\Administrator\My%20Documents\LEAD%201.xls" TargetMode="External"/></Relationships>
</file>

<file path=xl/externalLinks/_rels/externalLink190.xml.rels><?xml version="1.0" encoding="UTF-8" standalone="yes"?>
<Relationships xmlns="http://schemas.openxmlformats.org/package/2006/relationships"><Relationship Id="rId2" Type="http://schemas.openxmlformats.org/officeDocument/2006/relationships/externalLinkPath" Target="../../Documents%20and%20Settings/jkl/My%20Documents/Downloads/type%20estimate.XLS" TargetMode="External"/><Relationship Id="rId1" Type="http://schemas.openxmlformats.org/officeDocument/2006/relationships/externalLinkPath" Target="/Documents%20and%20Settings/jkl/My%20Documents/Downloads/type%20estimate.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Office\Medaram\TechSanction\Medaram_Abstracts.xls" TargetMode="External"/></Relationships>
</file>

<file path=xl/externalLinks/_rels/externalLink192.xml.rels><?xml version="1.0" encoding="UTF-8" standalone="yes"?>
<Relationships xmlns="http://schemas.openxmlformats.org/package/2006/relationships"><Relationship Id="rId2" Type="http://schemas.openxmlformats.org/officeDocument/2006/relationships/externalLinkPath" Target="../../Hnr/hnr%20files/P4%20Work%20File/Package%20-%204%20%20%2008.10.17/Users/davi/Desktop/Users/VEERA/Downloads/4.K-D%20road%20Bridge%2028-31,%2037-390.xls" TargetMode="External"/><Relationship Id="rId1" Type="http://schemas.openxmlformats.org/officeDocument/2006/relationships/externalLinkPath" Target="/Hnr/hnr%20files/P4%20Work%20File/Package%20-%204%20%20%2008.10.17/Users/davi/Desktop/Users/VEERA/Downloads/4.K-D%20road%20Bridge%2028-31,%2037-390.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C:\Manakondur\MODEL%20ESTIMATE%20wirh%20n13.56%20%25%20-%20Copy.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Dee6\c\lakshmi\Viziag\Sunkarametla\PMGSY-I%20BAL-04-05\Road%20from%206-0%20km%20of%20T01%20to%20Balwanthapur%20(Mal-5).xls" TargetMode="External"/></Relationships>
</file>

<file path=xl/externalLinks/_rels/externalLink195.xml.rels><?xml version="1.0" encoding="UTF-8" standalone="yes"?>
<Relationships xmlns="http://schemas.openxmlformats.org/package/2006/relationships"><Relationship Id="rId2" Type="http://schemas.openxmlformats.org/officeDocument/2006/relationships/externalLinkPath" Target="../../OFFICE%20%20FILES/PMGSY/ARRR-ver-1104.xls" TargetMode="External"/><Relationship Id="rId1" Type="http://schemas.openxmlformats.org/officeDocument/2006/relationships/externalLinkPath" Target="/OFFICE%20%20FILES/PMGSY/ARRR-ver-1104.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C:\Users\kanug\Desktop\hnr%20files\Documents%20and%20Settings\hcl\Desktop\ARRR-ver-1104.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C:\Comp1%20Feb%2005\PMGSY%20Ph.V\ARRR%20JANNEPALLY.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Dee3\c\Phase-V\ARRR-ver-1104-Chandegaon.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Users\kanug\Desktop\hnr%20files\ARRR-ver-1105.xls" TargetMode="External"/></Relationships>
</file>

<file path=xl/externalLinks/_rels/externalLink200.xml.rels><?xml version="1.0" encoding="UTF-8" standalone="yes"?>
<Relationships xmlns="http://schemas.openxmlformats.org/package/2006/relationships"><Relationship Id="rId2" Type="http://schemas.openxmlformats.org/officeDocument/2006/relationships/externalLinkPath" Target="../../Irrigation/Minor%20Irrigation/HP%20PENDRIVE/ADMIN%20SANCTION%20ESTIMATES2/PIN%20CHERU/Comp1%20Feb%2005/PMGSY%20Ph.V/ARRR%20JANNEPALLY.xls" TargetMode="External"/><Relationship Id="rId1" Type="http://schemas.openxmlformats.org/officeDocument/2006/relationships/externalLinkPath" Target="/Irrigation/Minor%20Irrigation/HP%20PENDRIVE/ADMIN%20SANCTION%20ESTIMATES2/PIN%20CHERU/Comp1%20Feb%2005/PMGSY%20Ph.V/ARRR%20JANNEPALLY.xls" TargetMode="External"/></Relationships>
</file>

<file path=xl/externalLinks/_rels/externalLink201.xml.rels><?xml version="1.0" encoding="UTF-8" standalone="yes"?>
<Relationships xmlns="http://schemas.openxmlformats.org/package/2006/relationships"><Relationship Id="rId2" Type="http://schemas.openxmlformats.org/officeDocument/2006/relationships/externalLinkPath" Target="../../Irrigation/Minor%20Irrigation/HP%20PENDRIVE/ADMIN%20SANCTION%20ESTIMATES2/PIN%20CHERU/OFFICE%20%20FILES/PMGSY/ARRR-ver-1104.xls" TargetMode="External"/><Relationship Id="rId1" Type="http://schemas.openxmlformats.org/officeDocument/2006/relationships/externalLinkPath" Target="/Irrigation/Minor%20Irrigation/HP%20PENDRIVE/ADMIN%20SANCTION%20ESTIMATES2/PIN%20CHERU/OFFICE%20%20FILES/PMGSY/ARRR-ver-1104.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C:\OFFICE%20%20FILES\PMGSY\ARRR-ver-11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prasanna\In_Wards\Ranjani\Misc\ARRR-ver-1104.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C:\Users\kanug\Desktop\hnr%20files\P4%20Work%20File\Package%20-%204%20%20%2008.10.17\Users\davi\Desktop\Irrigation\Medaram\edubndRRP.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A:\Documents%20and%20Settings\arshad\My%20Documents\edubndRRP.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C:\Users\kanug\Desktop\hnr%20files\My%20Documents\edubnd.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edubnd.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Users\kanug\Desktop\hnr%20files\My%20Documents\spuram\edubndRRP.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spuram\edubndRRP.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C:\Users\kanug\Desktop\hnr%20files\My%20Documents\edubndRRP.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My%20Documents\edubndRRP.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Documents%20and%20Settings\Admin\Desktop\Medaram\TechSanction\Medaram_NABARD_Estimate.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A:\data%20base\ssr20012002.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C:\ISD%20Chennur\Mission%20Kakatiya\Sanctioned\2nd%20List\Chennur\Suddala\Oora%20Cheruvu\FDR%20to%20Rajulaguda\Kothapally%20(%20c%20).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C:\Users\ABC\Desktop\Estimates%20Pushkars%2004.11.2015\Pushkar%20estimates%2007.11.2015\Estimatea%20%20Old%20Cement%20road\Documents%20and%20Settings\spani\Desktop\Datas060104.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Se1\my%20documents\Estimates\Nabard\Deverakonda\Koppole_bollaram\Est_KB.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Indiramma\e\Estimates\Nabard\Deverakonda\Koppole_bollaram\Est_KB.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C:\NEW%20ESTIMATES%20%202009-10\Muthnoor%20Canals.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C:\Users\DELL\Desktop\desktop%20files\mk%202%20bejanki%20mndl\ooacheruvu%20regulapalli\ooracheruvu%20regulapalli.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C:\TS%20Tadwai-Bayyaram-N.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I:\Users\user\Desktop\Estimates\RDF-Madhira\TS%20Tadwai-Bayyaram-N.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Sai4\d\muncipality\old%20muncipality\qpur%20%20total%20stuff\Qpur1\TRASH\DATAs\cgnagar%20data3.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Intel4\d\Nellore%20Roads%20and%20Drains%20datas%20-%202006%20-%202007(4TH%20QUATER).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C:\Users\DHANU\Desktop\Pedda%20cheruvu%20Bill\Garjanapalli\forms\MODEL%20ESTIMATE.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Ceprnab1-nab4\d\AVRCR\Documents%20and%20Settings\RAMU\Desktop\ARRR-ver-1105-vsr.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D:\DOCUME~1\xp\LOCALS~1\Temp\Rar$DIa0.219\Documents\MORD%20DATA\ARRR-Final-Andhra%20Pradesh.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I:\Users\user\Desktop\Estimates\RDF-Madhira\Documents%20and%20Settings\SRINIVASAREDDY\Desktop\sushma\CRF%20estimates\Home%20estimates\RangaReddy%20CRF\New%20Works%2081\G-A%20road\GHATKE" TargetMode="External"/></Relationships>
</file>

<file path=xl/externalLinks/_rels/externalLink228.xml.rels><?xml version="1.0" encoding="UTF-8" standalone="yes"?>
<Relationships xmlns="http://schemas.openxmlformats.org/package/2006/relationships"><Relationship Id="rId2" Type="http://schemas.openxmlformats.org/officeDocument/2006/relationships/externalLinkPath" Target="../../Dept_NGKL_SubDvn/CHECK_DATA2006_07F.xls" TargetMode="External"/><Relationship Id="rId1" Type="http://schemas.openxmlformats.org/officeDocument/2006/relationships/externalLinkPath" Target="/Dept_NGKL_SubDvn/CHECK_DATA2006_07F.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C:\Dept_NGKL_SubDvn\CHECK_DATA2006_07F.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C:\Users\USER\AppData\Local\Temp\Dept_NGKL_SubDvn\CHECK_DATA2006_07F.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C:\Users\irrigetion\Desktop\Pushkaraluadb\03%20Madhapur%20_151.7\raju%20AEE\P.P.RAO\P.P.R.P_9.93Cr\pprp\PPRP_7.4Cr30-7-09\C8AB1000"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C:\Users\kanug\Desktop\hnr%20files\raju%20AEE\P.P.RAO\P.P.R.P_9.93Cr\pprp\PPRP_7.4Cr30-7-09\C8AB1000"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D:\Users\Node-CE-MI\Downloads\Mini%20tank%20bund%20Manakondur%20Soft\Venkats_Master_DATA2014_15%20(2).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0694C84A\UT%20Combined%20@%20KM%207.857.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D:\Ramesh\Palemvagu\UTs\UT%20@%207.857\UT%20Combined%20@%20KM%207.857.xls" TargetMode="External"/></Relationships>
</file>

<file path=xl/externalLinks/_rels/externalLink236.xml.rels><?xml version="1.0" encoding="UTF-8" standalone="yes"?>
<Relationships xmlns="http://schemas.openxmlformats.org/package/2006/relationships"><Relationship Id="rId2" Type="http://schemas.openxmlformats.org/officeDocument/2006/relationships/externalLinkPath" Target="../../Kurnool/Kurnool/2012-13/20.%20NH7%20to%20Gondiparla%204.8%20to%206.6(SRP)/Corrected%20DATA%20Km%2026-27.xls" TargetMode="External"/><Relationship Id="rId1" Type="http://schemas.openxmlformats.org/officeDocument/2006/relationships/externalLinkPath" Target="/Kurnool/Kurnool/2012-13/20.%20NH7%20to%20Gondiparla%204.8%20to%206.6(SRP)/Corrected%20DATA%20Km%2026-27.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Users\USER\AppData\Local\Temp\Kurnool\Kurnool\2012-13\20.%20NH7%20to%20Gondiparla%204.8%20to%206.6(SRP)\Corrected%20DATA%20Km%2026-27.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D:\Pandurangapuram%20R&amp;B%20road%20to%20Pattapupalelm%20in%20Bapatla%20Mandal\Documents%20and%20Settings\Nikon\My%20Documents\KUMAR\hys%20-est\leak%20-%20c%20wall\nagara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Ceprnab4\C\RIDF%20X\MNMGEN\progRpts\absaug99.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Se1\my%20documents\Levels\Kodad\Adloor\Dondapadu-2.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Indiramma\e\Levels\Kodad\Adloor\Dondapadu-2.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A:\singh\db1\BIJNEPALLY\VATTEM_PALEM_BT_ROAD_15KM'S.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prasanna\In_Wards\Vijayawada%20UGD\Vijaywada%20UGD\sancioned%20in%20Delhi\zone-1\Nellore%20Mani\WINDOWS\Desktop\SED\LowestRate.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Server\ce-mi-gb-data\Users\irrigation\Downloads\SUB-DIVISION%20FOLDERS\P.Vijaya%20Raju\1.C.C.BILLS%20-%20MISSION%20KAKATIYA%20OF%20BOINPALLY%20MANDAL\CC1&amp;P%20Toorupu%20cheru,%20Boinpally.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C:\D3%20&amp;%20C.C.road\Final-Tchl.%20D3%20approach%20&amp;%20C.C%20roadRevised%20estimates\C.C.Road%20Laxmi%20canal\C.C.Road%20to%20Laxmi%20Canal-Tech\CC%20Dewatering\KRI\Dandupally\NABARD\mbnr-est&amp;shed.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A:\Dandupally\NABARD\mbnr-est&amp;shed.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C:\Users\USER\AppData\Local\Temp\Dept1\AMEst06_07B\JNRoad06_07A.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D55F1626\Off-take%20Design%20&amp;%20Estimate.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D:\YerraCalva\Off-take%20Design%20&amp;%20Estimate.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C:\Gangaprasad\PRSDDMK\Machareddy\R&amp;B%20Dept\court%20builidng\courtnew2.XLS" TargetMode="External"/></Relationships>
</file>

<file path=xl/externalLinks/_rels/externalLink251.xml.rels><?xml version="1.0" encoding="UTF-8" standalone="yes"?>
<Relationships xmlns="http://schemas.openxmlformats.org/package/2006/relationships"><Relationship Id="rId2" Type="http://schemas.openxmlformats.org/officeDocument/2006/relationships/externalLinkPath" Target="../../Irrigation/Minor%20Irrigation/HP%20PENDRIVE/ADMIN%20SANCTION%20ESTIMATES2/PIN%20CHERU/Gangaprasad/PRSDDMK/Machareddy/R&amp;B%20Dept/court%20builidng/courtnew2.XLS" TargetMode="External"/><Relationship Id="rId1" Type="http://schemas.openxmlformats.org/officeDocument/2006/relationships/externalLinkPath" Target="/Irrigation/Minor%20Irrigation/HP%20PENDRIVE/ADMIN%20SANCTION%20ESTIMATES2/PIN%20CHERU/Gangaprasad/PRSDDMK/Machareddy/R&amp;B%20Dept/court%20builidng/courtnew2.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Users\R&amp;B\Downloads\WE%20M-S%20via%20KOYAGUDEM\WE2%20%20M-S%20road%2004.04.2018%20final.xlsx"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D:\TS%20Tadwai-Bayyaram-N.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MYDOCS\SPUREST.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Mi\c\Buildings-C\Ravi\Phase-III%20(Revised%20Proposals)\nizamabad\Ramadugu\Phase-III\Nizamabad\Lingi%20thanda.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Avd\d\Est%20with%20Revised%20data%20and%20SSR%2010-11\Estimates\pmgsy-phase4\Thungathurthy\Thirumalagiri-Thatipamula-sri%20ram%20tanda\CD%20works.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D:\S%20W%20Hostels\tenali%20-%202%20veeraih.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C:\My%20Documents\docu\docu\R&amp;B%20Dept.%20Estimates\East-Section.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I:\Users\user\Desktop\My%20Documents\docu\docu\R&amp;B%20Dept.%20Estimates\East-Section.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Dee1\C\chatu\PMGSY%20PH_IV%20estimates\PMGSY\Yamanapalli%20to%20Mahamutharam%20(Maha%204%20kms).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C:\OFFICE\IB%20SDN%20SRCL\pedda%20cheruvu-mustabad\bund%20levels\ts%20est%20-%2020.06.2017\JEEVANSINGH%20AEE\Kotha%20cheruvu\USeful%20data%20latest.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Se1\my%20documents\Estimates\Buildings\Mpp_newplan\Nalgonda\MPP_Vemulapally.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Indiramma\e\Estimates\Buildings\Mpp_newplan\Nalgonda\MPP_Vemulapally.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D:\DOCUME~1\xp\LOCALS~1\Temp\Rar$DIa0.219\Repairs_Model_estt_PMGSY_Road_Datas_2013-14-SSR.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C:\O&amp;M%20ESTIMATES\Nalgonda%20Sub-Division%20Estimates\Narayanpur%20Mandal\As%20per%20SSR%202009-10%20Rates\8001%20-%20Siddankoni%20Cheru,%20Gudi%20Malkapur\Datas%20-%208001%20-%20Siddankoni%20Cheru,%20Gudi%20Malkapur%20Village.xls" TargetMode="External"/></Relationships>
</file>

<file path=xl/externalLinks/_rels/externalLink266.xml.rels><?xml version="1.0" encoding="UTF-8" standalone="yes"?>
<Relationships xmlns="http://schemas.openxmlformats.org/package/2006/relationships"><Relationship Id="rId2" Type="http://schemas.openxmlformats.org/officeDocument/2006/relationships/externalLinkPath" Target="../../Nalgonda%20Sub-Division%20Estimates/Narayanpur%20Mandal/As%20per%20SSR%202009-10%20Rates/8001%20-%20Siddankoni%20Cheru,%20Gudi%20Malkapur/Datas%20-%208001%20-%20Siddankoni%20Cheru,%20Gudi%20Malkapur%20Village.xls" TargetMode="External"/><Relationship Id="rId1" Type="http://schemas.openxmlformats.org/officeDocument/2006/relationships/externalLinkPath" Target="/Nalgonda%20Sub-Division%20Estimates/Narayanpur%20Mandal/As%20per%20SSR%202009-10%20Rates/8001%20-%20Siddankoni%20Cheru,%20Gudi%20Malkapur/Datas%20-%208001%20-%20Siddankoni%20Cheru,%20Gudi%20Malkapur%20Village.xls" TargetMode="External"/></Relationships>
</file>

<file path=xl/externalLinks/_rels/externalLink267.xml.rels><?xml version="1.0" encoding="UTF-8" standalone="yes"?>
<Relationships xmlns="http://schemas.openxmlformats.org/package/2006/relationships"><Relationship Id="rId2" Type="http://schemas.microsoft.com/office/2019/04/relationships/externalLinkLongPath" Target="file:///C:\Users\USER\AppData\Local\Temp\Drive%20O\Mtmply%20O&amp;M%20Estimates\Nalgonda%20Sub-Division%20Estimates\Narayanpur%20Mandal\As%20per%20SSR%202009-10%20Rates\8001%20-%20Siddankoni%20Cheru,%20Gudi%20Malkapur\Datas%20-%208001%20-%20Siddankoni%20Cheru,%20Gudi%20Malkapur%20Village.xls?75D850A5" TargetMode="External"/><Relationship Id="rId1" Type="http://schemas.openxmlformats.org/officeDocument/2006/relationships/externalLinkPath" Target="file:///\\75D850A5\Datas%20-%208001%20-%20Siddankoni%20Cheru,%20Gudi%20Malkapur%20Village.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Nalgonda%20Sub-Division%20Estimates\Data%20Oora%20Cheru%20Thadakamalla%20Village,%20Miryalguda%20M.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Nalgonda%20Sub-Division%20Estimates\Narayanpur%20Mandal\As%20per%20SSR%202009-10%20Rates\8001%20-%20Siddankoni%20Cheru,%20Gudi%20Malkapur\Datas%20-%208001%20-%20Siddankoni%20Cheru,%20Gudi%20Malkapur%20Village.xls" TargetMode="External"/></Relationships>
</file>

<file path=xl/externalLinks/_rels/externalLink270.xml.rels><?xml version="1.0" encoding="UTF-8" standalone="yes"?>
<Relationships xmlns="http://schemas.openxmlformats.org/package/2006/relationships"><Relationship Id="rId2" Type="http://schemas.openxmlformats.org/officeDocument/2006/relationships/externalLinkPath" Target="../../Gangaprasad/PRSDDMK/Machareddy/R&amp;B%20Dept/court%20builidng/courtnew2.XLS" TargetMode="External"/><Relationship Id="rId1" Type="http://schemas.openxmlformats.org/officeDocument/2006/relationships/externalLinkPath" Target="/Gangaprasad/PRSDDMK/Machareddy/R&amp;B%20Dept/court%20builidng/courtnew2.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D:\DOCUME~1\xp\LOCALS~1\Temp\Rar$DIa0.219\KINGSTON%20J%20Files\SINGH\ROADS\Price_Escalation_Bills\1_Model_Price_escalation_Roads_Building\Price_Escalation_new_model\NABARD_MODEL\1_Model_Price_Escalation_Index_Pric"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D:\Gangaprasad\PRSDDMK\Machareddy\R&amp;B%20Dept\court%20builidng\courtnew2.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D:\I&amp;CADD\SMISD2\New%20Est%202011-12\Kohinoor.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D:\Pandurangapuram%20R&amp;B%20road%20to%20Pattapupalelm%20in%20Bapatla%20Mandal\VASU,%20Nagaram\Electrical.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Prccdu\d\model%20estimate_vidavalur%20refined\model%20estimate%20folder\model%20estimate%20with%20labour%20charges.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LEAD%201.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I:\Users\user\Desktop\DRIVE-F\CRF%20NEW%20ESTIMATES%2001.09.2008\TS%20ESTIMATES\6%20PHASE\KALAHASTI%20-%20MADDIKANDDRIGA\KALAHASTI%20-MADDIKANDIRIGA.xls" TargetMode="External"/></Relationships>
</file>

<file path=xl/externalLinks/_rels/externalLink278.xml.rels><?xml version="1.0" encoding="UTF-8" standalone="yes"?>
<Relationships xmlns="http://schemas.openxmlformats.org/package/2006/relationships"><Relationship Id="rId2" Type="http://schemas.openxmlformats.org/officeDocument/2006/relationships/externalLinkPath" Target="../../Kurnool/Kurnool/2012-13/28.%20Muchumarri%20CC(PLAN)/Estimate1.xls" TargetMode="External"/><Relationship Id="rId1" Type="http://schemas.openxmlformats.org/officeDocument/2006/relationships/externalLinkPath" Target="/Kurnool/Kurnool/2012-13/28.%20Muchumarri%20CC(PLAN)/Estimate1.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C:\Users\USER\AppData\Local\Temp\Kurnool\Kurnool\2012-13\28.%20Muchumarri%20CC(PLAN)\Estimate1.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AEE%20Rambabu%20Yellandu\WE%20M-S%20via%20KOYAGUDEM\12)%20SRIPURAM%20-%20LAXMIPURAM%20ROAD.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I:\Users\user\Desktop\DRIVE-F\CRF%20NEW%20ESTIMATES%2001.09.2008\TS%20ESTIMATES\2%20PHASE\8%20KADAPA\ALLADUPALLI%20-ETURU\AE%20%20Road%20-%20.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D:\Pandurangapuram%20R&amp;B%20road%20to%20Pattapupalelm%20in%20Bapatla%20Mandal\anga.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C:\My%20Files\Office\All%20Files\P.P%20Rao%20SD2\Korlanka\LF%20Canal\Approved%20HP's\Designs%20&amp;%20Drawings\LF%20Canal\Reach%20III%20(Ch_124%20to%20Ch_204)\Korlanka_Abstracts.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G:\Users\venu\Downloads\Users\BuchiBABU\Desktop\NAG\Kodad%20%20Data%202010-11.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Indiramma\e\Estimates\Buildings\Mpp_newplan\Miryalaguda\MPP_Gundlapally1.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Se1\my%20documents\Estimates\Buildings\Mpp_newplan\Miryalaguda\MPP_Gundlapally1.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Dee3\c\chatu\PMGSY%20PH_IV%20estimates\PMGSY\Yamanapalli%20to%20Mahamutharam%20(Maha%204%20kms).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penin\SKHT%20MANDAL\heritage_division\bokkisampalem\WINDOWS\Desktop\PMGSY%20PH-V\ARRR-ver-1104.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C:\Users\Ravi\Desktop\katepally\RaviDROP_70_Est.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C:\Users\kanug\Desktop\hnr%20files\P4%20Work%20File\Package%20-%204%20%20%2008.10.17\Users\davi\Desktop\Package%20-4%2023.05.17\Korlanka_Abstracts.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J:\DATA%202008-09\Documents%20and%20Settings\hcl\Desktop\ARRR-ver-1104.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C:\New%20Folder\New%20Folder\Muthnoor%20Canals.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C:\Users\User\Desktop\type%20estimate.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OFFICE\IB%20SDN%20SRCL\pedda%20cheruvu-mustabad\bund%20levels\ts%20est%20-%2020.06.2017\Documents\FORMATES\CC.BILL%20FORMATS%20LS-K2-WORKSLIP\CC.bill%20Proforma.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DOCUME~1\xp\LOCALS~1\Temp\Rar$DIa0.219\KINGSTON%20J%20Files\C.%20Viswam%20AEE%20PR%20Kadiri\NH%20ODC%20(Revised)%2018-02-061\NH%20ODC%20-PMGSY\NH-ODC%20to%20KH%20Road.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Q:\VP-FIN-KT\Bud00ph%20(Rs)%20Mid%20revi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rdamdata"/>
      <sheetName val="Lead"/>
      <sheetName val="Materials"/>
      <sheetName val="Data "/>
      <sheetName val="Retaing"/>
      <sheetName val="Abstract(F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H7">
            <v>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cdAbst"/>
      <sheetName val="cost"/>
      <sheetName val="data"/>
      <sheetName val="hp900"/>
      <sheetName val="CDdata (2)"/>
      <sheetName val="1v900"/>
      <sheetName val="2v900"/>
      <sheetName val="3v900"/>
      <sheetName val="impRdam"/>
      <sheetName val="CDdata"/>
      <sheetName val="lchart"/>
      <sheetName val="keymap"/>
      <sheetName val="LS"/>
      <sheetName val="CS"/>
      <sheetName val="leads"/>
      <sheetName val="Labour"/>
      <sheetName val="Material"/>
      <sheetName val="Plant &amp;  Machinery"/>
      <sheetName val="r"/>
      <sheetName val="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6pave"/>
      <sheetName val="F7hp900"/>
      <sheetName val="F7hp600"/>
      <sheetName val="F7slb3m"/>
      <sheetName val="F7slb4m"/>
      <sheetName val="F8rate"/>
      <sheetName val="Sheet2"/>
      <sheetName val="CDdata"/>
      <sheetName val="Sheet1"/>
      <sheetName val="leads"/>
    </sheetNames>
    <sheetDataSet>
      <sheetData sheetId="0"/>
      <sheetData sheetId="1"/>
      <sheetData sheetId="2"/>
      <sheetData sheetId="3" refreshError="1"/>
      <sheetData sheetId="4"/>
      <sheetData sheetId="5"/>
      <sheetData sheetId="6"/>
      <sheetData sheetId="7" refreshError="1"/>
      <sheetData sheetId="8" refreshError="1">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Sheet1"/>
    </sheetNames>
    <sheetDataSet>
      <sheetData sheetId="0"/>
      <sheetData sheetId="1"/>
      <sheetData sheetId="2"/>
      <sheetData sheetId="3"/>
      <sheetData sheetId="4"/>
      <sheetData sheetId="5"/>
      <sheetData sheetId="6"/>
      <sheetData sheetId="7"/>
      <sheetData sheetId="8" refreshError="1">
        <row r="4">
          <cell r="F4">
            <v>65</v>
          </cell>
        </row>
      </sheetData>
      <sheetData sheetId="9"/>
      <sheetData sheetId="10"/>
      <sheetData sheetId="11"/>
      <sheetData sheetId="12"/>
      <sheetData sheetId="13"/>
      <sheetData sheetId="14"/>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 val="Lev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r"/>
      <sheetName val="v"/>
    </sheetNames>
    <sheetDataSet>
      <sheetData sheetId="0"/>
      <sheetData sheetId="1" refreshError="1">
        <row r="6">
          <cell r="J6">
            <v>336.1</v>
          </cell>
        </row>
        <row r="7">
          <cell r="J7">
            <v>640.6</v>
          </cell>
        </row>
        <row r="8">
          <cell r="J8">
            <v>528.1</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p"/>
      <sheetName val="data_new"/>
      <sheetName val="lead-st"/>
      <sheetName val="v"/>
      <sheetName val="r"/>
      <sheetName val="l"/>
      <sheetName val="Lead statement ss5"/>
      <sheetName val="Data.F8.BTR"/>
      <sheetName val="leads"/>
      <sheetName val="rdamdata"/>
      <sheetName val="Delivery mains"/>
      <sheetName val="bundqty"/>
      <sheetName val="DATA"/>
      <sheetName val="clvrt_data"/>
      <sheetName val="Labour"/>
      <sheetName val="Material"/>
      <sheetName val="Plant &amp;  Machinery"/>
      <sheetName val="HDPE"/>
      <sheetName val="DI"/>
      <sheetName val="pvc"/>
      <sheetName val="Data_F8_BTR"/>
      <sheetName val="Plant_&amp;__Machinery"/>
      <sheetName val="t_prsr"/>
      <sheetName val="wh"/>
      <sheetName val="Lead_statement_ss5"/>
      <sheetName val="Lead"/>
      <sheetName val="data existing_do not delete"/>
      <sheetName val="ssr-rates"/>
      <sheetName val="DATA_PRG"/>
      <sheetName val="Plant 㫨  Machinery"/>
      <sheetName val="Plant_㫨__Machinery"/>
      <sheetName val="Works"/>
      <sheetName val="RMR"/>
      <sheetName val="General"/>
      <sheetName val="Lɥad"/>
      <sheetName val="id"/>
      <sheetName val="Bitumen trunk"/>
      <sheetName val="Feeder"/>
      <sheetName val="R99 etc"/>
      <sheetName val="Trunk unpaved"/>
      <sheetName val="m"/>
      <sheetName val="Levels"/>
      <sheetName val="MRATES"/>
      <sheetName val="mlead"/>
      <sheetName val="abs road"/>
      <sheetName val="coverpage"/>
      <sheetName val="Road data"/>
      <sheetName val="R_Det"/>
      <sheetName val="DATA-BASE"/>
      <sheetName val="DATA-ABSTRACT"/>
      <sheetName val="Class IV Qtr. Ele"/>
      <sheetName val="Bridge Data 2005-06"/>
      <sheetName val="bom"/>
      <sheetName val="Lead statement"/>
      <sheetName val="GROUND FLOOR"/>
      <sheetName val="Rates-May-14"/>
      <sheetName val="Sheet1"/>
      <sheetName val="TOP SLAB-beams"/>
      <sheetName val="int-Dia-pvc"/>
      <sheetName val="Data_F8_BTR3"/>
      <sheetName val="Plant_&amp;__Machinery3"/>
      <sheetName val="Lead_statement_ss53"/>
      <sheetName val="Data_F8_BTR1"/>
      <sheetName val="Plant_&amp;__Machinery1"/>
      <sheetName val="Lead_statement_ss51"/>
      <sheetName val="Data_F8_BTR2"/>
      <sheetName val="Plant_&amp;__Machinery2"/>
      <sheetName val="Lead_statement_ss52"/>
      <sheetName val="Nspt-smp-final-ORIGINAL"/>
      <sheetName val="water-hammar-strenght"/>
      <sheetName val="hdpe weights"/>
      <sheetName val="PVC weights"/>
      <sheetName val="0000000000000"/>
      <sheetName val="SSR"/>
      <sheetName val="VC 80"/>
      <sheetName val="VC 450"/>
      <sheetName val="hdpe_basic"/>
      <sheetName val="pvc_basic"/>
      <sheetName val="Rates"/>
      <sheetName val="PROCTOR"/>
      <sheetName val="Ins &amp; Bonds"/>
      <sheetName val="A-3.1"/>
      <sheetName val="Client req"/>
      <sheetName val="PUMP_DATA"/>
      <sheetName val="C-data"/>
      <sheetName val="MRoad data"/>
      <sheetName val="Sheet2"/>
      <sheetName val="Sheet3"/>
      <sheetName val="Sheet1 (2)"/>
      <sheetName val="wt of CID joint"/>
      <sheetName val="AC DAta"/>
      <sheetName val="Pipe Pilne MAch"/>
      <sheetName val="Sheet4"/>
      <sheetName val="Indurhty"/>
      <sheetName val="Indurhty 2016-17"/>
      <sheetName val="Sheet5"/>
      <sheetName val="1"/>
      <sheetName val="2"/>
      <sheetName val="3"/>
      <sheetName val="4"/>
      <sheetName val="detls"/>
      <sheetName val="Tees"/>
      <sheetName val="PH data"/>
      <sheetName val="CONST"/>
      <sheetName val="Common "/>
      <sheetName val="maya"/>
      <sheetName val="Specification"/>
      <sheetName val="Specification report"/>
      <sheetName val="data_existing_do_not_delete2"/>
      <sheetName val="Bitumen_trunk2"/>
      <sheetName val="R99_etc2"/>
      <sheetName val="Trunk_unpaved2"/>
      <sheetName val="abs_road2"/>
      <sheetName val="Road_data2"/>
      <sheetName val="Class_IV_Qtr__Ele2"/>
      <sheetName val="Bridge_Data_2005-062"/>
      <sheetName val="Lead_statement2"/>
      <sheetName val="GROUND_FLOOR2"/>
      <sheetName val="data_existing_do_not_delete"/>
      <sheetName val="Bitumen_trunk"/>
      <sheetName val="R99_etc"/>
      <sheetName val="Trunk_unpaved"/>
      <sheetName val="abs_road"/>
      <sheetName val="Road_data"/>
      <sheetName val="Class_IV_Qtr__Ele"/>
      <sheetName val="Bridge_Data_2005-06"/>
      <sheetName val="Lead_statement"/>
      <sheetName val="GROUND_FLOOR"/>
      <sheetName val="data_existing_do_not_delete1"/>
      <sheetName val="Bitumen_trunk1"/>
      <sheetName val="R99_etc1"/>
      <sheetName val="Trunk_unpaved1"/>
      <sheetName val="abs_road1"/>
      <sheetName val="Road_data1"/>
      <sheetName val="Class_IV_Qtr__Ele1"/>
      <sheetName val="Bridge_Data_2005-061"/>
      <sheetName val="Lead_statement1"/>
      <sheetName val="GROUND_FLOOR1"/>
      <sheetName val="Analy"/>
      <sheetName val="1-Pop Proj"/>
      <sheetName val="Estimate "/>
      <sheetName val="banilad"/>
      <sheetName val="SECPROP"/>
      <sheetName val="CABLENOS."/>
      <sheetName val="Main sheet"/>
      <sheetName val="Usage"/>
      <sheetName val="final abstract"/>
      <sheetName val="Design"/>
      <sheetName val="FORM-W3"/>
      <sheetName val="index"/>
      <sheetName val="Cash2"/>
      <sheetName val="BWSCPlt"/>
      <sheetName val="CI"/>
      <sheetName val="G.R.P"/>
      <sheetName val="PSC REVISED"/>
      <sheetName val="Quarry"/>
      <sheetName val="Line"/>
      <sheetName val="BTR"/>
      <sheetName val="CRUST"/>
      <sheetName val="QDTS"/>
      <sheetName val="Abs_CD_2"/>
      <sheetName val="road est"/>
      <sheetName val="ECV"/>
      <sheetName val="RWS"/>
      <sheetName val="Entry"/>
      <sheetName val="Cover"/>
      <sheetName val="Rates SSR 2008-09"/>
      <sheetName val="ANAL-PIPE LINE"/>
      <sheetName val="MS Pipe Working"/>
      <sheetName val="wh_data"/>
      <sheetName val="wh_data_R"/>
      <sheetName val="CPHEEO"/>
      <sheetName val="input"/>
      <sheetName val="civ data"/>
      <sheetName val="HDPE-pipe-rates"/>
      <sheetName val="pvc-pipe-rates"/>
      <sheetName val="650kL-design-final"/>
      <sheetName val="_5wgdhabfinal00_01"/>
      <sheetName val="DATA SHEET"/>
      <sheetName val="gen_abstrct"/>
      <sheetName val="BOQ (2)"/>
      <sheetName val="SPT vs PHI"/>
      <sheetName val="PS1"/>
      <sheetName val="Rate Analysis"/>
      <sheetName val="RMR.PS"/>
      <sheetName val="BTR.PS"/>
      <sheetName val="Road data.PS"/>
      <sheetName val="Road data-TDR"/>
      <sheetName val="Data_F8_BTR4"/>
      <sheetName val="Plant_&amp;__Machinery4"/>
      <sheetName val="Lead_statement_ss54"/>
      <sheetName val="data_existing_do_not_delete3"/>
      <sheetName val="TOP_SLAB-beams"/>
      <sheetName val="Plant_㫨__Machinery1"/>
      <sheetName val="Common_"/>
      <sheetName val="Bitumen_trunk3"/>
      <sheetName val="R99_etc3"/>
      <sheetName val="Trunk_unpaved3"/>
      <sheetName val="abs_road3"/>
      <sheetName val="Road_data3"/>
      <sheetName val="Class_IV_Qtr__Ele3"/>
      <sheetName val="Bridge_Data_2005-063"/>
      <sheetName val="Lead_statement3"/>
      <sheetName val="GROUND_FLOOR3"/>
      <sheetName val="hdpe_weights"/>
      <sheetName val="PVC_weights"/>
      <sheetName val="VC_80"/>
      <sheetName val="VC_450"/>
      <sheetName val="PH_data"/>
      <sheetName val="Delivery_mains"/>
      <sheetName val="Ins_&amp;_Bonds"/>
      <sheetName val="A-3_1"/>
      <sheetName val="Client_req"/>
      <sheetName val="Specification_report"/>
      <sheetName val="1-Pop_Proj"/>
      <sheetName val="Estimate_"/>
      <sheetName val="CABLENOS_"/>
      <sheetName val="Main_sheet"/>
      <sheetName val="MRoad_data"/>
      <sheetName val="final_abstract"/>
      <sheetName val="Sheet1_(2)"/>
      <sheetName val="wt_of_CID_joint"/>
      <sheetName val="AC_DAta"/>
      <sheetName val="Pipe_Pilne_MAch"/>
      <sheetName val="Indurhty_2016-17"/>
      <sheetName val="Data-ELSR"/>
      <sheetName val="Bed Class"/>
      <sheetName val="CPIPE"/>
      <sheetName val="CPIPE2"/>
      <sheetName val="Cs"/>
      <sheetName val="DVALUE"/>
      <sheetName val="THK"/>
      <sheetName val="20kL-design-final"/>
      <sheetName val="Bill-12"/>
      <sheetName val="sup dat"/>
      <sheetName val="Mactan"/>
      <sheetName val="Mandaue"/>
      <sheetName val="Detail In Door Stad"/>
      <sheetName val="IDCCALHYD_GOO"/>
      <sheetName val="Detailed"/>
      <sheetName val="concrete"/>
      <sheetName val="Civil Boq"/>
      <sheetName val="Summary"/>
      <sheetName val="LEAD S 10-11"/>
      <sheetName val="sand"/>
      <sheetName val="stone"/>
      <sheetName val="WATER-HAMMER"/>
      <sheetName val="Mix Design"/>
      <sheetName val="Cost of O &amp; O"/>
      <sheetName val="DATA 2021-22"/>
      <sheetName val="Staff Civil o&amp;m draft policy"/>
      <sheetName val="Exp"/>
      <sheetName val="A 3_7"/>
      <sheetName val="other rates"/>
      <sheetName val="Convey"/>
      <sheetName val="C.D.Abs.Est."/>
      <sheetName val="SALIENT"/>
      <sheetName val="gen"/>
      <sheetName val="10"/>
      <sheetName val="11"/>
      <sheetName val="12"/>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TBAL9697 -group wise  sdpl"/>
      <sheetName val="p&amp;m"/>
      <sheetName val="Staff Acco."/>
      <sheetName val="Cd"/>
      <sheetName val="SewerCAD MH Data"/>
      <sheetName val="Design 2040 Design Flows-(1)"/>
      <sheetName val="SewerCAD Pipe Data-Actual 2040"/>
      <sheetName val="CONNECT"/>
      <sheetName val="analysis"/>
      <sheetName val="GF SB Ok "/>
      <sheetName val="MTC-estimate"/>
      <sheetName val="Gen Abs"/>
      <sheetName val="Data_Base"/>
      <sheetName val="Work_sheet"/>
      <sheetName val="SUMP1420KL@HW"/>
      <sheetName val="1V800"/>
      <sheetName val="Admin"/>
      <sheetName val="foundation(V)"/>
      <sheetName val="Data-2011-12"/>
      <sheetName val="DL CAL"/>
      <sheetName val="slab"/>
      <sheetName val="Flanged Beams"/>
      <sheetName val="Rectangular Beam"/>
      <sheetName val="Interface_SC"/>
      <sheetName val="Calc_ISC"/>
      <sheetName val="Calc_SC"/>
      <sheetName val="Interface_ISC"/>
      <sheetName val="GD"/>
      <sheetName val="Boq"/>
      <sheetName val="nodes"/>
      <sheetName val="int-Dia"/>
      <sheetName val="habs-list"/>
      <sheetName val="Abs"/>
      <sheetName val="X-2"/>
      <sheetName val="not req 3"/>
      <sheetName val="Cable-data"/>
      <sheetName val="MRMECADAMoad data"/>
      <sheetName val="Rate"/>
      <sheetName val="ssr20506"/>
    </sheetNames>
    <sheetDataSet>
      <sheetData sheetId="0" refreshError="1"/>
      <sheetData sheetId="1" refreshError="1"/>
      <sheetData sheetId="2" refreshError="1"/>
      <sheetData sheetId="3" refreshError="1"/>
      <sheetData sheetId="4" refreshError="1">
        <row r="2">
          <cell r="F2">
            <v>100</v>
          </cell>
        </row>
        <row r="3">
          <cell r="F3">
            <v>90</v>
          </cell>
        </row>
        <row r="4">
          <cell r="F4">
            <v>65</v>
          </cell>
        </row>
        <row r="29">
          <cell r="F29">
            <v>44</v>
          </cell>
        </row>
        <row r="30">
          <cell r="F30">
            <v>0.25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Sheet1"/>
      <sheetName val="mlead"/>
      <sheetName val="splmidata"/>
      <sheetName val="RMR"/>
      <sheetName val="ppraodata"/>
      <sheetName val="ssr-rates"/>
      <sheetName val="pvc"/>
      <sheetName val="HDPE"/>
      <sheetName val="DI"/>
      <sheetName val="DATA"/>
      <sheetName val="census91"/>
      <sheetName val="leads"/>
      <sheetName val="rdamdata"/>
      <sheetName val="0000000000000"/>
      <sheetName val="Lead statement"/>
      <sheetName val="maya"/>
      <sheetName val="C-data"/>
      <sheetName val="MRATES"/>
      <sheetName val="stone"/>
      <sheetName val="Road data"/>
      <sheetName val="Nspt-smp-final-ORIGINAL"/>
      <sheetName val="Labour"/>
      <sheetName val="Lead"/>
      <sheetName val="DATA_PRG"/>
      <sheetName val="GF SB Ok "/>
      <sheetName val="Levels"/>
      <sheetName val="HDPE-pipe-rates"/>
      <sheetName val="pvc-pipe-rates"/>
      <sheetName val="Material"/>
      <sheetName val="Plant &amp;  Machinery"/>
      <sheetName val="BTR"/>
      <sheetName val="DES"/>
      <sheetName val="COVER"/>
      <sheetName val="HP PIPE  DATA"/>
      <sheetName val="SLAB  DATA"/>
      <sheetName val="m"/>
      <sheetName val="CONST"/>
      <sheetName val="Estimate "/>
      <sheetName val="EDWise"/>
      <sheetName val="BHANDUP"/>
      <sheetName val="PRECAST lightconc-II"/>
      <sheetName val="data existing_do not delete"/>
      <sheetName val="Sheet3"/>
      <sheetName val="Quarry"/>
      <sheetName val="Line"/>
      <sheetName val="CRUST"/>
      <sheetName val="QDTS"/>
      <sheetName val="Rates"/>
      <sheetName val="MRoad data"/>
      <sheetName val="AV-HDPE"/>
      <sheetName val="Di_gate-HDPE"/>
      <sheetName val="Common "/>
      <sheetName val="final abstract"/>
      <sheetName val="Basicrates"/>
      <sheetName val="discount"/>
      <sheetName val="mas_hab"/>
      <sheetName val="BLK3"/>
      <sheetName val="BLK2"/>
      <sheetName val="radar"/>
      <sheetName val="E &amp; R"/>
      <sheetName val="hdpe_basic"/>
      <sheetName val="pvc_basic"/>
      <sheetName val="t_prsr"/>
      <sheetName val="wh"/>
      <sheetName val="Sheet2"/>
      <sheetName val="bom"/>
      <sheetName val="SPT vs PHI"/>
      <sheetName val="wh_data_R"/>
      <sheetName val="wh_data"/>
      <sheetName val="CPHEEO"/>
      <sheetName val="input"/>
      <sheetName val="hdpe weights"/>
      <sheetName val="PVC weights"/>
      <sheetName val="DATA-BASE"/>
      <sheetName val="DATA-ABSTRACT"/>
      <sheetName val="sand"/>
      <sheetName val="clvrt_data"/>
      <sheetName val="Data.F8.BTR"/>
      <sheetName val="GA"/>
      <sheetName val="hdpe-rates"/>
      <sheetName val="pvc-rates"/>
      <sheetName val="detls"/>
      <sheetName val=" data sheet "/>
      <sheetName val="Rate Analysis"/>
      <sheetName val="Civil Boq"/>
      <sheetName val="Summary"/>
      <sheetName val="Note"/>
      <sheetName val="Specification"/>
      <sheetName val="analy"/>
      <sheetName val="basdat"/>
      <sheetName val="Abs"/>
      <sheetName val="Lead_statement"/>
      <sheetName val="GF_SB_Ok_"/>
      <sheetName val="Plant_&amp;__Machinery"/>
      <sheetName val="ROAD_DATA"/>
      <sheetName val="HP_PIPE__DATA"/>
      <sheetName val="SLAB__DATA"/>
      <sheetName val="Estimate_"/>
      <sheetName val="PRECAST_lightconc-II"/>
      <sheetName val="data_existing_do_not_delete"/>
      <sheetName val="MRoad_data"/>
      <sheetName val="id"/>
      <sheetName val="WITH STACKING CHARGES"/>
      <sheetName val="Main sheet"/>
      <sheetName val="Legal Risk Analysis"/>
      <sheetName val="Data_Base"/>
      <sheetName val="G F  (2)"/>
      <sheetName val="WATER-HAMMER"/>
      <sheetName val="GT DUMP"/>
      <sheetName val="sancdump"/>
      <sheetName val="strong stylecolor blueDate Wise"/>
      <sheetName val="R_Det"/>
      <sheetName val="coverpage"/>
      <sheetName val="ROADS"/>
      <sheetName val="Table10"/>
      <sheetName val="Table11"/>
      <sheetName val="Table12"/>
      <sheetName val="Road Detail Est."/>
      <sheetName val="abs road"/>
      <sheetName val="TS memo"/>
      <sheetName val="G Hostel"/>
      <sheetName val="Main Bldg"/>
      <sheetName val="B Student Hostel"/>
      <sheetName val="B Resident Hostel"/>
      <sheetName val="Qtrs"/>
      <sheetName val="Kitchen&amp;Dining"/>
      <sheetName val="STP"/>
      <sheetName val="WTP"/>
      <sheetName val="Sump"/>
      <sheetName val="Sump (2)"/>
      <sheetName val="Compound wall"/>
      <sheetName val="Sheet1 (3)"/>
      <sheetName val="Global factors"/>
    </sheetNames>
    <sheetDataSet>
      <sheetData sheetId="0">
        <row r="4">
          <cell r="F4">
            <v>65</v>
          </cell>
        </row>
      </sheetData>
      <sheetData sheetId="1"/>
      <sheetData sheetId="2"/>
      <sheetData sheetId="3"/>
      <sheetData sheetId="4"/>
      <sheetData sheetId="5"/>
      <sheetData sheetId="6"/>
      <sheetData sheetId="7"/>
      <sheetData sheetId="8" refreshError="1">
        <row r="2">
          <cell r="F2">
            <v>100</v>
          </cell>
        </row>
        <row r="4">
          <cell r="F4">
            <v>65</v>
          </cell>
        </row>
      </sheetData>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rdamdata"/>
      <sheetName val="Lead"/>
      <sheetName val="Materials"/>
      <sheetName val="Data "/>
      <sheetName val="Retaing"/>
      <sheetName val="Abstract(F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H7">
            <v>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cdAbst"/>
      <sheetName val="cost"/>
      <sheetName val="data"/>
      <sheetName val="hp900"/>
      <sheetName val="CDdata (2)"/>
      <sheetName val="1v900"/>
      <sheetName val="2v900"/>
      <sheetName val="3v900"/>
      <sheetName val="impRdam"/>
      <sheetName val="CDdata"/>
      <sheetName val="lchart"/>
      <sheetName val="keymap"/>
      <sheetName val="LS"/>
      <sheetName val="CS"/>
      <sheetName val="leads"/>
      <sheetName val="Labour"/>
      <sheetName val="Material"/>
      <sheetName val="Plant &amp;  Machiner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6pave"/>
      <sheetName val="F7hp900"/>
      <sheetName val="F7hp600"/>
      <sheetName val="F7slb3m"/>
      <sheetName val="F7slb4m"/>
      <sheetName val="F8rate"/>
      <sheetName val="Sheet2"/>
      <sheetName val="CDdata"/>
      <sheetName val="Sheet1"/>
      <sheetName val="leads"/>
    </sheetNames>
    <sheetDataSet>
      <sheetData sheetId="0"/>
      <sheetData sheetId="1"/>
      <sheetData sheetId="2"/>
      <sheetData sheetId="3" refreshError="1"/>
      <sheetData sheetId="4"/>
      <sheetData sheetId="5"/>
      <sheetData sheetId="6"/>
      <sheetData sheetId="7" refreshError="1"/>
      <sheetData sheetId="8" refreshError="1">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Sheet1"/>
    </sheetNames>
    <sheetDataSet>
      <sheetData sheetId="0"/>
      <sheetData sheetId="1"/>
      <sheetData sheetId="2"/>
      <sheetData sheetId="3"/>
      <sheetData sheetId="4"/>
      <sheetData sheetId="5"/>
      <sheetData sheetId="6"/>
      <sheetData sheetId="7"/>
      <sheetData sheetId="8" refreshError="1">
        <row r="4">
          <cell r="F4">
            <v>65</v>
          </cell>
        </row>
      </sheetData>
      <sheetData sheetId="9"/>
      <sheetData sheetId="10"/>
      <sheetData sheetId="11"/>
      <sheetData sheetId="12"/>
      <sheetData sheetId="13"/>
      <sheetData sheetId="14"/>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 val="Lev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r"/>
      <sheetName val="v"/>
    </sheetNames>
    <sheetDataSet>
      <sheetData sheetId="0"/>
      <sheetData sheetId="1" refreshError="1">
        <row r="6">
          <cell r="J6">
            <v>336.1</v>
          </cell>
        </row>
        <row r="7">
          <cell r="J7">
            <v>640.6</v>
          </cell>
        </row>
        <row r="8">
          <cell r="J8">
            <v>528.1</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Sheet1"/>
      <sheetName val="Bitumen trunk"/>
      <sheetName val="works"/>
      <sheetName val="material"/>
      <sheetName val="rmr"/>
      <sheetName val="general"/>
      <sheetName val="Feeder"/>
      <sheetName val="R99 etc"/>
      <sheetName val="Trunk unpav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Sno</v>
          </cell>
          <cell r="B3" t="str">
            <v>Lead</v>
          </cell>
          <cell r="D3" t="str">
            <v>Earth</v>
          </cell>
          <cell r="E3" t="str">
            <v>Metal</v>
          </cell>
        </row>
        <row r="4">
          <cell r="A4">
            <v>0.1</v>
          </cell>
          <cell r="B4">
            <v>100</v>
          </cell>
          <cell r="C4" t="str">
            <v>m</v>
          </cell>
          <cell r="D4">
            <v>63</v>
          </cell>
          <cell r="E4">
            <v>72</v>
          </cell>
        </row>
        <row r="5">
          <cell r="A5">
            <v>0.2</v>
          </cell>
          <cell r="B5">
            <v>200</v>
          </cell>
          <cell r="C5" t="str">
            <v>m</v>
          </cell>
          <cell r="D5">
            <v>63</v>
          </cell>
          <cell r="E5">
            <v>72</v>
          </cell>
        </row>
        <row r="6">
          <cell r="A6">
            <v>0.3</v>
          </cell>
          <cell r="B6">
            <v>300</v>
          </cell>
          <cell r="C6" t="str">
            <v>m</v>
          </cell>
          <cell r="D6">
            <v>63</v>
          </cell>
          <cell r="E6">
            <v>72</v>
          </cell>
        </row>
        <row r="7">
          <cell r="A7">
            <v>0.4</v>
          </cell>
          <cell r="B7">
            <v>400</v>
          </cell>
          <cell r="C7" t="str">
            <v>m</v>
          </cell>
          <cell r="D7">
            <v>63</v>
          </cell>
          <cell r="E7">
            <v>72</v>
          </cell>
          <cell r="H7">
            <v>48</v>
          </cell>
        </row>
        <row r="8">
          <cell r="A8">
            <v>0.5</v>
          </cell>
          <cell r="B8">
            <v>500</v>
          </cell>
          <cell r="C8" t="str">
            <v>m</v>
          </cell>
          <cell r="D8">
            <v>63</v>
          </cell>
          <cell r="E8">
            <v>72</v>
          </cell>
        </row>
        <row r="9">
          <cell r="A9">
            <v>1</v>
          </cell>
          <cell r="B9">
            <v>1</v>
          </cell>
          <cell r="C9" t="str">
            <v>KM</v>
          </cell>
          <cell r="D9">
            <v>65</v>
          </cell>
          <cell r="E9">
            <v>75</v>
          </cell>
        </row>
        <row r="10">
          <cell r="A10">
            <v>2</v>
          </cell>
          <cell r="B10">
            <v>2</v>
          </cell>
          <cell r="C10" t="str">
            <v>KM</v>
          </cell>
          <cell r="D10">
            <v>68</v>
          </cell>
          <cell r="E10">
            <v>77</v>
          </cell>
        </row>
        <row r="11">
          <cell r="A11">
            <v>3</v>
          </cell>
          <cell r="B11">
            <v>3</v>
          </cell>
          <cell r="C11" t="str">
            <v>KM</v>
          </cell>
          <cell r="D11">
            <v>72</v>
          </cell>
          <cell r="E11">
            <v>81</v>
          </cell>
        </row>
        <row r="12">
          <cell r="A12">
            <v>4</v>
          </cell>
          <cell r="B12">
            <v>4</v>
          </cell>
          <cell r="C12" t="str">
            <v>KM</v>
          </cell>
          <cell r="D12">
            <v>75</v>
          </cell>
          <cell r="E12">
            <v>84</v>
          </cell>
        </row>
        <row r="13">
          <cell r="A13">
            <v>5</v>
          </cell>
          <cell r="B13">
            <v>5</v>
          </cell>
          <cell r="C13" t="str">
            <v>KM</v>
          </cell>
          <cell r="D13">
            <v>78</v>
          </cell>
          <cell r="E13">
            <v>87</v>
          </cell>
        </row>
        <row r="14">
          <cell r="A14">
            <v>6</v>
          </cell>
          <cell r="B14">
            <v>6</v>
          </cell>
          <cell r="C14" t="str">
            <v>KM</v>
          </cell>
          <cell r="D14">
            <v>81</v>
          </cell>
          <cell r="E14">
            <v>92</v>
          </cell>
        </row>
        <row r="15">
          <cell r="A15">
            <v>7</v>
          </cell>
          <cell r="B15">
            <v>7</v>
          </cell>
          <cell r="C15" t="str">
            <v>KM</v>
          </cell>
          <cell r="D15">
            <v>85</v>
          </cell>
          <cell r="E15">
            <v>94</v>
          </cell>
        </row>
        <row r="16">
          <cell r="A16">
            <v>8</v>
          </cell>
          <cell r="B16">
            <v>8</v>
          </cell>
          <cell r="C16" t="str">
            <v>KM</v>
          </cell>
          <cell r="D16">
            <v>88</v>
          </cell>
          <cell r="E16">
            <v>96</v>
          </cell>
        </row>
        <row r="17">
          <cell r="A17">
            <v>9</v>
          </cell>
          <cell r="B17">
            <v>9</v>
          </cell>
          <cell r="C17" t="str">
            <v>KM</v>
          </cell>
          <cell r="D17">
            <v>92</v>
          </cell>
          <cell r="E17">
            <v>101</v>
          </cell>
        </row>
        <row r="18">
          <cell r="A18">
            <v>10</v>
          </cell>
          <cell r="B18">
            <v>10</v>
          </cell>
          <cell r="C18" t="str">
            <v>KM</v>
          </cell>
          <cell r="D18">
            <v>95</v>
          </cell>
          <cell r="E18">
            <v>103</v>
          </cell>
        </row>
        <row r="19">
          <cell r="A19">
            <v>11</v>
          </cell>
          <cell r="B19">
            <v>11</v>
          </cell>
          <cell r="C19" t="str">
            <v>KM</v>
          </cell>
          <cell r="D19">
            <v>100</v>
          </cell>
          <cell r="E19">
            <v>106</v>
          </cell>
        </row>
        <row r="20">
          <cell r="A20">
            <v>12</v>
          </cell>
          <cell r="B20">
            <v>12</v>
          </cell>
          <cell r="C20" t="str">
            <v>KM</v>
          </cell>
          <cell r="D20">
            <v>102</v>
          </cell>
          <cell r="E20">
            <v>111</v>
          </cell>
        </row>
        <row r="21">
          <cell r="A21">
            <v>13</v>
          </cell>
          <cell r="B21">
            <v>13</v>
          </cell>
          <cell r="C21" t="str">
            <v>KM</v>
          </cell>
          <cell r="D21">
            <v>105</v>
          </cell>
          <cell r="E21">
            <v>114</v>
          </cell>
        </row>
        <row r="22">
          <cell r="A22">
            <v>14</v>
          </cell>
          <cell r="B22">
            <v>14</v>
          </cell>
          <cell r="C22" t="str">
            <v>KM</v>
          </cell>
          <cell r="D22">
            <v>109</v>
          </cell>
          <cell r="E22">
            <v>118</v>
          </cell>
        </row>
        <row r="23">
          <cell r="A23">
            <v>15</v>
          </cell>
          <cell r="B23">
            <v>15</v>
          </cell>
          <cell r="C23" t="str">
            <v>KM</v>
          </cell>
          <cell r="D23">
            <v>112</v>
          </cell>
          <cell r="E23">
            <v>120</v>
          </cell>
        </row>
        <row r="24">
          <cell r="A24">
            <v>16</v>
          </cell>
          <cell r="B24">
            <v>16</v>
          </cell>
          <cell r="C24" t="str">
            <v>KM</v>
          </cell>
          <cell r="D24">
            <v>114</v>
          </cell>
          <cell r="E24">
            <v>123</v>
          </cell>
        </row>
        <row r="25">
          <cell r="A25">
            <v>18</v>
          </cell>
          <cell r="B25">
            <v>18</v>
          </cell>
          <cell r="C25" t="str">
            <v>KM</v>
          </cell>
          <cell r="D25">
            <v>122</v>
          </cell>
          <cell r="E25">
            <v>130</v>
          </cell>
        </row>
        <row r="26">
          <cell r="A26">
            <v>19</v>
          </cell>
          <cell r="B26">
            <v>19</v>
          </cell>
          <cell r="C26" t="str">
            <v>KM</v>
          </cell>
          <cell r="D26">
            <v>125</v>
          </cell>
          <cell r="E26">
            <v>132</v>
          </cell>
        </row>
        <row r="27">
          <cell r="A27">
            <v>20</v>
          </cell>
          <cell r="B27">
            <v>20</v>
          </cell>
          <cell r="C27" t="str">
            <v>KM</v>
          </cell>
          <cell r="D27">
            <v>129</v>
          </cell>
          <cell r="E27">
            <v>137</v>
          </cell>
        </row>
        <row r="28">
          <cell r="A28">
            <v>21</v>
          </cell>
          <cell r="B28">
            <v>21</v>
          </cell>
          <cell r="C28" t="str">
            <v>KM</v>
          </cell>
          <cell r="D28">
            <v>131.80000000000001</v>
          </cell>
          <cell r="E28">
            <v>140.4</v>
          </cell>
        </row>
        <row r="29">
          <cell r="A29">
            <v>22</v>
          </cell>
          <cell r="B29">
            <v>22</v>
          </cell>
          <cell r="C29" t="str">
            <v>KM</v>
          </cell>
          <cell r="D29">
            <v>134.6</v>
          </cell>
          <cell r="E29">
            <v>143.80000000000001</v>
          </cell>
        </row>
        <row r="30">
          <cell r="A30">
            <v>23</v>
          </cell>
          <cell r="B30">
            <v>23</v>
          </cell>
          <cell r="C30" t="str">
            <v>KM</v>
          </cell>
          <cell r="D30">
            <v>137.4</v>
          </cell>
          <cell r="E30">
            <v>147.19999999999999</v>
          </cell>
        </row>
        <row r="31">
          <cell r="A31">
            <v>24</v>
          </cell>
          <cell r="B31">
            <v>24</v>
          </cell>
          <cell r="C31" t="str">
            <v>KM</v>
          </cell>
          <cell r="D31">
            <v>140.19999999999999</v>
          </cell>
          <cell r="E31">
            <v>150.6</v>
          </cell>
        </row>
        <row r="32">
          <cell r="A32">
            <v>25</v>
          </cell>
          <cell r="B32">
            <v>25</v>
          </cell>
          <cell r="C32" t="str">
            <v>KM</v>
          </cell>
          <cell r="D32">
            <v>143</v>
          </cell>
          <cell r="E32">
            <v>154</v>
          </cell>
        </row>
        <row r="33">
          <cell r="A33">
            <v>26</v>
          </cell>
          <cell r="B33">
            <v>26</v>
          </cell>
          <cell r="C33" t="str">
            <v>KM</v>
          </cell>
          <cell r="D33">
            <v>145.80000000000001</v>
          </cell>
          <cell r="E33">
            <v>157.4</v>
          </cell>
        </row>
        <row r="34">
          <cell r="A34">
            <v>27</v>
          </cell>
          <cell r="B34">
            <v>27</v>
          </cell>
          <cell r="C34" t="str">
            <v>KM</v>
          </cell>
          <cell r="D34">
            <v>148.6</v>
          </cell>
          <cell r="E34">
            <v>160.80000000000001</v>
          </cell>
        </row>
        <row r="35">
          <cell r="A35">
            <v>28</v>
          </cell>
          <cell r="B35">
            <v>28</v>
          </cell>
          <cell r="C35" t="str">
            <v>KM</v>
          </cell>
          <cell r="D35">
            <v>151.4</v>
          </cell>
          <cell r="E35">
            <v>164.2</v>
          </cell>
        </row>
        <row r="36">
          <cell r="A36">
            <v>29</v>
          </cell>
          <cell r="B36">
            <v>29</v>
          </cell>
          <cell r="C36" t="str">
            <v>KM</v>
          </cell>
          <cell r="D36">
            <v>154.19999999999999</v>
          </cell>
          <cell r="E36">
            <v>167.6</v>
          </cell>
        </row>
        <row r="37">
          <cell r="A37">
            <v>30</v>
          </cell>
          <cell r="B37">
            <v>30</v>
          </cell>
          <cell r="C37" t="str">
            <v>KM</v>
          </cell>
          <cell r="D37">
            <v>157</v>
          </cell>
          <cell r="E37">
            <v>171</v>
          </cell>
        </row>
        <row r="38">
          <cell r="A38">
            <v>31</v>
          </cell>
          <cell r="B38">
            <v>31</v>
          </cell>
          <cell r="C38" t="str">
            <v>KM</v>
          </cell>
          <cell r="D38">
            <v>159.80000000000001</v>
          </cell>
          <cell r="E38">
            <v>174.4</v>
          </cell>
        </row>
        <row r="39">
          <cell r="A39">
            <v>32</v>
          </cell>
          <cell r="B39">
            <v>32</v>
          </cell>
          <cell r="C39" t="str">
            <v>KM</v>
          </cell>
          <cell r="D39">
            <v>162.6</v>
          </cell>
          <cell r="E39">
            <v>177.8</v>
          </cell>
        </row>
        <row r="40">
          <cell r="A40">
            <v>33</v>
          </cell>
          <cell r="B40">
            <v>33</v>
          </cell>
          <cell r="C40" t="str">
            <v>KM</v>
          </cell>
          <cell r="D40">
            <v>165.4</v>
          </cell>
          <cell r="E40">
            <v>181.2</v>
          </cell>
        </row>
        <row r="41">
          <cell r="A41">
            <v>34</v>
          </cell>
          <cell r="B41">
            <v>34</v>
          </cell>
          <cell r="C41" t="str">
            <v>KM</v>
          </cell>
          <cell r="D41">
            <v>168.2</v>
          </cell>
          <cell r="E41">
            <v>184.6</v>
          </cell>
        </row>
        <row r="42">
          <cell r="A42">
            <v>35</v>
          </cell>
          <cell r="B42">
            <v>35</v>
          </cell>
          <cell r="C42" t="str">
            <v>KM</v>
          </cell>
          <cell r="D42">
            <v>171</v>
          </cell>
          <cell r="E42">
            <v>188</v>
          </cell>
        </row>
        <row r="43">
          <cell r="A43">
            <v>36</v>
          </cell>
          <cell r="B43">
            <v>36</v>
          </cell>
          <cell r="C43" t="str">
            <v>KM</v>
          </cell>
          <cell r="D43">
            <v>173.8</v>
          </cell>
          <cell r="E43">
            <v>191.4</v>
          </cell>
        </row>
        <row r="44">
          <cell r="A44">
            <v>37</v>
          </cell>
          <cell r="B44">
            <v>37</v>
          </cell>
          <cell r="C44" t="str">
            <v>KM</v>
          </cell>
          <cell r="D44">
            <v>176.6</v>
          </cell>
          <cell r="E44">
            <v>194.8</v>
          </cell>
        </row>
        <row r="45">
          <cell r="A45">
            <v>38</v>
          </cell>
          <cell r="B45">
            <v>38</v>
          </cell>
          <cell r="C45" t="str">
            <v>KM</v>
          </cell>
          <cell r="D45">
            <v>179.4</v>
          </cell>
          <cell r="E45">
            <v>198.2</v>
          </cell>
        </row>
        <row r="46">
          <cell r="A46">
            <v>39</v>
          </cell>
          <cell r="B46">
            <v>39</v>
          </cell>
          <cell r="C46" t="str">
            <v>KM</v>
          </cell>
          <cell r="D46">
            <v>182.2</v>
          </cell>
          <cell r="E46">
            <v>201.6</v>
          </cell>
        </row>
        <row r="47">
          <cell r="A47">
            <v>40</v>
          </cell>
          <cell r="B47">
            <v>40</v>
          </cell>
          <cell r="C47" t="str">
            <v>KM</v>
          </cell>
          <cell r="D47">
            <v>185</v>
          </cell>
          <cell r="E47">
            <v>205</v>
          </cell>
        </row>
        <row r="48">
          <cell r="A48">
            <v>41</v>
          </cell>
          <cell r="B48">
            <v>41</v>
          </cell>
          <cell r="C48" t="str">
            <v>KM</v>
          </cell>
          <cell r="D48">
            <v>187.8</v>
          </cell>
          <cell r="E48">
            <v>208.4</v>
          </cell>
        </row>
        <row r="49">
          <cell r="A49">
            <v>42</v>
          </cell>
          <cell r="B49">
            <v>42</v>
          </cell>
          <cell r="C49" t="str">
            <v>KM</v>
          </cell>
          <cell r="D49">
            <v>190.6</v>
          </cell>
          <cell r="E49">
            <v>211.8</v>
          </cell>
        </row>
        <row r="50">
          <cell r="A50">
            <v>43</v>
          </cell>
          <cell r="B50">
            <v>43</v>
          </cell>
          <cell r="C50" t="str">
            <v>KM</v>
          </cell>
          <cell r="D50">
            <v>193.4</v>
          </cell>
          <cell r="E50">
            <v>215.2</v>
          </cell>
        </row>
        <row r="51">
          <cell r="A51">
            <v>44</v>
          </cell>
          <cell r="B51">
            <v>44</v>
          </cell>
          <cell r="C51" t="str">
            <v>KM</v>
          </cell>
          <cell r="D51">
            <v>196.2</v>
          </cell>
          <cell r="E51">
            <v>218.6</v>
          </cell>
        </row>
        <row r="52">
          <cell r="A52">
            <v>45</v>
          </cell>
          <cell r="B52">
            <v>45</v>
          </cell>
          <cell r="C52" t="str">
            <v>KM</v>
          </cell>
          <cell r="D52">
            <v>199</v>
          </cell>
          <cell r="E52">
            <v>222</v>
          </cell>
        </row>
        <row r="53">
          <cell r="A53">
            <v>46</v>
          </cell>
          <cell r="B53">
            <v>46</v>
          </cell>
          <cell r="C53" t="str">
            <v>KM</v>
          </cell>
          <cell r="D53">
            <v>201.8</v>
          </cell>
          <cell r="E53">
            <v>225.4</v>
          </cell>
        </row>
        <row r="54">
          <cell r="A54">
            <v>47</v>
          </cell>
          <cell r="B54">
            <v>47</v>
          </cell>
          <cell r="C54" t="str">
            <v>KM</v>
          </cell>
          <cell r="D54">
            <v>204.6</v>
          </cell>
          <cell r="E54">
            <v>228.8</v>
          </cell>
        </row>
        <row r="55">
          <cell r="A55">
            <v>48</v>
          </cell>
          <cell r="B55">
            <v>48</v>
          </cell>
          <cell r="C55" t="str">
            <v>KM</v>
          </cell>
          <cell r="D55">
            <v>207.4</v>
          </cell>
          <cell r="E55">
            <v>232.2</v>
          </cell>
        </row>
        <row r="56">
          <cell r="A56">
            <v>49</v>
          </cell>
          <cell r="B56">
            <v>49</v>
          </cell>
          <cell r="C56" t="str">
            <v>KM</v>
          </cell>
          <cell r="D56">
            <v>210.2</v>
          </cell>
          <cell r="E56">
            <v>235.6</v>
          </cell>
        </row>
        <row r="57">
          <cell r="A57">
            <v>50</v>
          </cell>
          <cell r="B57">
            <v>50</v>
          </cell>
          <cell r="C57" t="str">
            <v>KM</v>
          </cell>
          <cell r="D57">
            <v>213</v>
          </cell>
          <cell r="E57">
            <v>239</v>
          </cell>
        </row>
        <row r="58">
          <cell r="A58">
            <v>51</v>
          </cell>
          <cell r="B58">
            <v>51</v>
          </cell>
          <cell r="C58" t="str">
            <v>KM</v>
          </cell>
          <cell r="D58">
            <v>215.6</v>
          </cell>
          <cell r="E58">
            <v>242.1</v>
          </cell>
        </row>
        <row r="59">
          <cell r="A59">
            <v>52</v>
          </cell>
          <cell r="B59">
            <v>52</v>
          </cell>
          <cell r="C59" t="str">
            <v>KM</v>
          </cell>
          <cell r="D59">
            <v>218.2</v>
          </cell>
          <cell r="E59">
            <v>245.2</v>
          </cell>
        </row>
        <row r="60">
          <cell r="A60">
            <v>53</v>
          </cell>
          <cell r="B60">
            <v>53</v>
          </cell>
          <cell r="C60" t="str">
            <v>KM</v>
          </cell>
          <cell r="D60">
            <v>220.8</v>
          </cell>
          <cell r="E60">
            <v>248.3</v>
          </cell>
        </row>
        <row r="61">
          <cell r="A61">
            <v>54</v>
          </cell>
          <cell r="B61">
            <v>54</v>
          </cell>
          <cell r="C61" t="str">
            <v>KM</v>
          </cell>
          <cell r="D61">
            <v>223.4</v>
          </cell>
          <cell r="E61">
            <v>251.4</v>
          </cell>
        </row>
        <row r="62">
          <cell r="A62">
            <v>55</v>
          </cell>
          <cell r="B62">
            <v>55</v>
          </cell>
          <cell r="C62" t="str">
            <v>KM</v>
          </cell>
          <cell r="D62">
            <v>226</v>
          </cell>
          <cell r="E62">
            <v>254.5</v>
          </cell>
        </row>
        <row r="63">
          <cell r="A63">
            <v>56</v>
          </cell>
          <cell r="B63">
            <v>56</v>
          </cell>
          <cell r="C63" t="str">
            <v>KM</v>
          </cell>
          <cell r="D63">
            <v>228.6</v>
          </cell>
          <cell r="E63">
            <v>257.60000000000002</v>
          </cell>
        </row>
        <row r="64">
          <cell r="A64">
            <v>57</v>
          </cell>
          <cell r="B64">
            <v>57</v>
          </cell>
          <cell r="C64" t="str">
            <v>KM</v>
          </cell>
          <cell r="D64">
            <v>231.2</v>
          </cell>
          <cell r="E64">
            <v>260.7</v>
          </cell>
        </row>
        <row r="65">
          <cell r="A65">
            <v>58</v>
          </cell>
          <cell r="B65">
            <v>58</v>
          </cell>
          <cell r="C65" t="str">
            <v>KM</v>
          </cell>
          <cell r="D65">
            <v>233.8</v>
          </cell>
          <cell r="E65">
            <v>263.8</v>
          </cell>
        </row>
        <row r="66">
          <cell r="A66">
            <v>59</v>
          </cell>
          <cell r="B66">
            <v>59</v>
          </cell>
          <cell r="C66" t="str">
            <v>KM</v>
          </cell>
          <cell r="D66">
            <v>236.4</v>
          </cell>
          <cell r="E66">
            <v>266.89999999999998</v>
          </cell>
        </row>
        <row r="67">
          <cell r="A67">
            <v>60</v>
          </cell>
          <cell r="B67">
            <v>60</v>
          </cell>
          <cell r="C67" t="str">
            <v>KM</v>
          </cell>
          <cell r="D67">
            <v>239</v>
          </cell>
          <cell r="E67">
            <v>270</v>
          </cell>
        </row>
        <row r="68">
          <cell r="A68">
            <v>61</v>
          </cell>
          <cell r="B68">
            <v>61</v>
          </cell>
          <cell r="C68" t="str">
            <v>KM</v>
          </cell>
          <cell r="D68">
            <v>241.6</v>
          </cell>
          <cell r="E68">
            <v>273.10000000000002</v>
          </cell>
        </row>
        <row r="69">
          <cell r="A69">
            <v>62</v>
          </cell>
          <cell r="B69">
            <v>62</v>
          </cell>
          <cell r="C69" t="str">
            <v>KM</v>
          </cell>
          <cell r="D69">
            <v>244.2</v>
          </cell>
          <cell r="E69">
            <v>276.2</v>
          </cell>
        </row>
        <row r="70">
          <cell r="A70">
            <v>63</v>
          </cell>
          <cell r="B70">
            <v>63</v>
          </cell>
          <cell r="C70" t="str">
            <v>KM</v>
          </cell>
          <cell r="D70">
            <v>246.8</v>
          </cell>
          <cell r="E70">
            <v>279.3</v>
          </cell>
        </row>
        <row r="71">
          <cell r="A71">
            <v>64</v>
          </cell>
          <cell r="B71">
            <v>64</v>
          </cell>
          <cell r="C71" t="str">
            <v>KM</v>
          </cell>
          <cell r="D71">
            <v>249.4</v>
          </cell>
          <cell r="E71">
            <v>282.39999999999998</v>
          </cell>
        </row>
        <row r="72">
          <cell r="A72">
            <v>65</v>
          </cell>
          <cell r="B72">
            <v>65</v>
          </cell>
          <cell r="C72" t="str">
            <v>KM</v>
          </cell>
          <cell r="D72">
            <v>252</v>
          </cell>
          <cell r="E72">
            <v>285.5</v>
          </cell>
        </row>
        <row r="73">
          <cell r="A73">
            <v>66</v>
          </cell>
          <cell r="B73">
            <v>66</v>
          </cell>
          <cell r="C73" t="str">
            <v>KM</v>
          </cell>
          <cell r="D73">
            <v>254.6</v>
          </cell>
          <cell r="E73">
            <v>288.60000000000002</v>
          </cell>
        </row>
        <row r="74">
          <cell r="A74">
            <v>67</v>
          </cell>
          <cell r="B74">
            <v>67</v>
          </cell>
          <cell r="C74" t="str">
            <v>KM</v>
          </cell>
          <cell r="D74">
            <v>257.2</v>
          </cell>
          <cell r="E74">
            <v>291.7</v>
          </cell>
        </row>
        <row r="75">
          <cell r="A75">
            <v>68</v>
          </cell>
          <cell r="B75">
            <v>68</v>
          </cell>
          <cell r="C75" t="str">
            <v>KM</v>
          </cell>
          <cell r="D75">
            <v>259.8</v>
          </cell>
          <cell r="E75">
            <v>294.8</v>
          </cell>
        </row>
        <row r="76">
          <cell r="A76">
            <v>69</v>
          </cell>
          <cell r="B76">
            <v>69</v>
          </cell>
          <cell r="C76" t="str">
            <v>KM</v>
          </cell>
          <cell r="D76">
            <v>262.39999999999998</v>
          </cell>
          <cell r="E76">
            <v>297.89999999999998</v>
          </cell>
        </row>
        <row r="77">
          <cell r="A77">
            <v>70</v>
          </cell>
          <cell r="B77">
            <v>70</v>
          </cell>
          <cell r="C77" t="str">
            <v>KM</v>
          </cell>
          <cell r="D77">
            <v>265</v>
          </cell>
          <cell r="E77">
            <v>301</v>
          </cell>
        </row>
        <row r="78">
          <cell r="A78">
            <v>71</v>
          </cell>
          <cell r="B78">
            <v>71</v>
          </cell>
          <cell r="C78" t="str">
            <v>KM</v>
          </cell>
          <cell r="D78">
            <v>267.60000000000002</v>
          </cell>
          <cell r="E78">
            <v>304.10000000000002</v>
          </cell>
        </row>
        <row r="79">
          <cell r="A79">
            <v>72</v>
          </cell>
          <cell r="B79">
            <v>72</v>
          </cell>
          <cell r="C79" t="str">
            <v>KM</v>
          </cell>
          <cell r="D79">
            <v>270.2</v>
          </cell>
          <cell r="E79">
            <v>307.2</v>
          </cell>
        </row>
        <row r="80">
          <cell r="A80">
            <v>73</v>
          </cell>
          <cell r="B80">
            <v>73</v>
          </cell>
          <cell r="C80" t="str">
            <v>KM</v>
          </cell>
          <cell r="D80">
            <v>272.8</v>
          </cell>
          <cell r="E80">
            <v>310.3</v>
          </cell>
        </row>
        <row r="81">
          <cell r="A81">
            <v>74</v>
          </cell>
          <cell r="B81">
            <v>74</v>
          </cell>
          <cell r="C81" t="str">
            <v>KM</v>
          </cell>
          <cell r="D81">
            <v>275.39999999999998</v>
          </cell>
          <cell r="E81">
            <v>313.39999999999998</v>
          </cell>
        </row>
        <row r="82">
          <cell r="A82">
            <v>75</v>
          </cell>
          <cell r="B82">
            <v>75</v>
          </cell>
          <cell r="C82" t="str">
            <v>KM</v>
          </cell>
          <cell r="D82">
            <v>278</v>
          </cell>
          <cell r="E82">
            <v>316.5</v>
          </cell>
        </row>
        <row r="83">
          <cell r="A83">
            <v>76</v>
          </cell>
          <cell r="B83">
            <v>76</v>
          </cell>
          <cell r="C83" t="str">
            <v>KM</v>
          </cell>
          <cell r="D83">
            <v>280.60000000000002</v>
          </cell>
          <cell r="E83">
            <v>319.60000000000002</v>
          </cell>
        </row>
        <row r="84">
          <cell r="A84">
            <v>77</v>
          </cell>
          <cell r="B84">
            <v>77</v>
          </cell>
          <cell r="C84" t="str">
            <v>KM</v>
          </cell>
          <cell r="D84">
            <v>283.2</v>
          </cell>
          <cell r="E84">
            <v>322.7</v>
          </cell>
        </row>
        <row r="85">
          <cell r="A85">
            <v>78</v>
          </cell>
          <cell r="B85">
            <v>78</v>
          </cell>
          <cell r="C85" t="str">
            <v>KM</v>
          </cell>
          <cell r="D85">
            <v>285.8</v>
          </cell>
          <cell r="E85">
            <v>325.8</v>
          </cell>
        </row>
        <row r="86">
          <cell r="A86">
            <v>79</v>
          </cell>
          <cell r="B86">
            <v>79</v>
          </cell>
          <cell r="C86" t="str">
            <v>KM</v>
          </cell>
          <cell r="D86">
            <v>288.39999999999998</v>
          </cell>
          <cell r="E86">
            <v>328.9</v>
          </cell>
        </row>
        <row r="87">
          <cell r="A87">
            <v>80</v>
          </cell>
          <cell r="B87">
            <v>80</v>
          </cell>
          <cell r="C87" t="str">
            <v>KM</v>
          </cell>
          <cell r="D87">
            <v>291</v>
          </cell>
          <cell r="E87">
            <v>332</v>
          </cell>
        </row>
        <row r="88">
          <cell r="A88">
            <v>81</v>
          </cell>
          <cell r="B88">
            <v>81</v>
          </cell>
          <cell r="C88" t="str">
            <v>KM</v>
          </cell>
          <cell r="D88">
            <v>293.60000000000002</v>
          </cell>
          <cell r="E88">
            <v>335.1</v>
          </cell>
        </row>
        <row r="89">
          <cell r="A89">
            <v>82</v>
          </cell>
          <cell r="B89">
            <v>82</v>
          </cell>
          <cell r="C89" t="str">
            <v>KM</v>
          </cell>
          <cell r="D89">
            <v>296.2</v>
          </cell>
          <cell r="E89">
            <v>338.2</v>
          </cell>
        </row>
        <row r="90">
          <cell r="A90">
            <v>83</v>
          </cell>
          <cell r="B90">
            <v>83</v>
          </cell>
          <cell r="C90" t="str">
            <v>KM</v>
          </cell>
          <cell r="D90">
            <v>298.8</v>
          </cell>
          <cell r="E90">
            <v>341.3</v>
          </cell>
        </row>
        <row r="91">
          <cell r="A91">
            <v>84</v>
          </cell>
          <cell r="B91">
            <v>84</v>
          </cell>
          <cell r="C91" t="str">
            <v>KM</v>
          </cell>
          <cell r="D91">
            <v>301.39999999999998</v>
          </cell>
          <cell r="E91">
            <v>344.4</v>
          </cell>
        </row>
        <row r="92">
          <cell r="A92">
            <v>85</v>
          </cell>
          <cell r="B92">
            <v>85</v>
          </cell>
          <cell r="C92" t="str">
            <v>KM</v>
          </cell>
          <cell r="D92">
            <v>304</v>
          </cell>
          <cell r="E92">
            <v>347.5</v>
          </cell>
        </row>
        <row r="93">
          <cell r="A93">
            <v>86</v>
          </cell>
          <cell r="B93">
            <v>86</v>
          </cell>
          <cell r="C93" t="str">
            <v>KM</v>
          </cell>
          <cell r="D93">
            <v>306.60000000000002</v>
          </cell>
          <cell r="E93">
            <v>350.6</v>
          </cell>
        </row>
        <row r="94">
          <cell r="A94">
            <v>87</v>
          </cell>
          <cell r="B94">
            <v>87</v>
          </cell>
          <cell r="C94" t="str">
            <v>KM</v>
          </cell>
          <cell r="D94">
            <v>309.2</v>
          </cell>
          <cell r="E94">
            <v>353.7</v>
          </cell>
        </row>
        <row r="95">
          <cell r="A95">
            <v>88</v>
          </cell>
          <cell r="B95">
            <v>88</v>
          </cell>
          <cell r="C95" t="str">
            <v>KM</v>
          </cell>
          <cell r="D95">
            <v>311.8</v>
          </cell>
          <cell r="E95">
            <v>356.8</v>
          </cell>
        </row>
        <row r="96">
          <cell r="A96">
            <v>89</v>
          </cell>
          <cell r="B96">
            <v>89</v>
          </cell>
          <cell r="C96" t="str">
            <v>KM</v>
          </cell>
          <cell r="D96">
            <v>314.39999999999998</v>
          </cell>
          <cell r="E96">
            <v>359.9</v>
          </cell>
        </row>
        <row r="97">
          <cell r="A97">
            <v>90</v>
          </cell>
          <cell r="B97">
            <v>90</v>
          </cell>
          <cell r="C97" t="str">
            <v>KM</v>
          </cell>
          <cell r="D97">
            <v>317</v>
          </cell>
          <cell r="E97">
            <v>363</v>
          </cell>
        </row>
        <row r="98">
          <cell r="A98">
            <v>91</v>
          </cell>
          <cell r="B98">
            <v>91</v>
          </cell>
          <cell r="C98" t="str">
            <v>KM</v>
          </cell>
          <cell r="D98">
            <v>319.60000000000002</v>
          </cell>
          <cell r="E98">
            <v>366.1</v>
          </cell>
        </row>
        <row r="99">
          <cell r="A99">
            <v>92</v>
          </cell>
          <cell r="B99">
            <v>92</v>
          </cell>
          <cell r="C99" t="str">
            <v>KM</v>
          </cell>
          <cell r="D99">
            <v>322.2</v>
          </cell>
          <cell r="E99">
            <v>369.2</v>
          </cell>
        </row>
        <row r="100">
          <cell r="A100">
            <v>93</v>
          </cell>
          <cell r="B100">
            <v>93</v>
          </cell>
          <cell r="C100" t="str">
            <v>KM</v>
          </cell>
          <cell r="D100">
            <v>324.8</v>
          </cell>
          <cell r="E100">
            <v>372.3</v>
          </cell>
        </row>
        <row r="101">
          <cell r="A101">
            <v>94</v>
          </cell>
          <cell r="B101">
            <v>94</v>
          </cell>
          <cell r="C101" t="str">
            <v>KM</v>
          </cell>
          <cell r="D101">
            <v>327.39999999999998</v>
          </cell>
          <cell r="E101">
            <v>375.4</v>
          </cell>
        </row>
        <row r="102">
          <cell r="A102">
            <v>95</v>
          </cell>
          <cell r="B102">
            <v>95</v>
          </cell>
          <cell r="C102" t="str">
            <v>KM</v>
          </cell>
          <cell r="D102">
            <v>330</v>
          </cell>
          <cell r="E102">
            <v>378.5</v>
          </cell>
        </row>
        <row r="103">
          <cell r="A103">
            <v>96</v>
          </cell>
          <cell r="B103">
            <v>96</v>
          </cell>
          <cell r="C103" t="str">
            <v>KM</v>
          </cell>
          <cell r="D103">
            <v>332.6</v>
          </cell>
          <cell r="E103">
            <v>381.6</v>
          </cell>
        </row>
        <row r="104">
          <cell r="A104">
            <v>97</v>
          </cell>
          <cell r="B104">
            <v>97</v>
          </cell>
          <cell r="C104" t="str">
            <v>KM</v>
          </cell>
          <cell r="D104">
            <v>335.2</v>
          </cell>
          <cell r="E104">
            <v>384.7</v>
          </cell>
        </row>
        <row r="105">
          <cell r="A105">
            <v>98</v>
          </cell>
          <cell r="B105">
            <v>98</v>
          </cell>
          <cell r="C105" t="str">
            <v>KM</v>
          </cell>
          <cell r="D105">
            <v>337.8</v>
          </cell>
          <cell r="E105">
            <v>387.8</v>
          </cell>
        </row>
        <row r="106">
          <cell r="A106">
            <v>99</v>
          </cell>
          <cell r="B106">
            <v>99</v>
          </cell>
          <cell r="C106" t="str">
            <v>KM</v>
          </cell>
          <cell r="D106">
            <v>340.4</v>
          </cell>
          <cell r="E106">
            <v>390.9</v>
          </cell>
        </row>
        <row r="107">
          <cell r="A107">
            <v>100</v>
          </cell>
          <cell r="B107">
            <v>100</v>
          </cell>
          <cell r="C107" t="str">
            <v>KM</v>
          </cell>
          <cell r="D107">
            <v>343</v>
          </cell>
          <cell r="E107">
            <v>394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cdAbst"/>
      <sheetName val="cost"/>
      <sheetName val="data"/>
      <sheetName val="hp900"/>
      <sheetName val="CDdata (2)"/>
      <sheetName val="1v900"/>
      <sheetName val="2v900"/>
      <sheetName val="3v900"/>
      <sheetName val="impRdam"/>
      <sheetName val="CDdata"/>
      <sheetName val="lchart"/>
      <sheetName val="keymap"/>
      <sheetName val="LS"/>
      <sheetName val="CS"/>
      <sheetName val="lead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6pave"/>
      <sheetName val="F7hp900"/>
      <sheetName val="F7hp600"/>
      <sheetName val="F7slb3m"/>
      <sheetName val="F7slb4m"/>
      <sheetName val="F8rate"/>
      <sheetName val="Sheet2"/>
      <sheetName val="CDdata"/>
      <sheetName val="Sheet1"/>
      <sheetName val="lead-st"/>
      <sheetName val="rdamdata"/>
    </sheetNames>
    <sheetDataSet>
      <sheetData sheetId="0"/>
      <sheetData sheetId="1"/>
      <sheetData sheetId="2"/>
      <sheetData sheetId="3" refreshError="1"/>
      <sheetData sheetId="4"/>
      <sheetData sheetId="5"/>
      <sheetData sheetId="6"/>
      <sheetData sheetId="7" refreshError="1"/>
      <sheetData sheetId="8" refreshError="1">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usage"/>
      <sheetName val="general"/>
    </sheetNames>
    <sheetDataSet>
      <sheetData sheetId="0"/>
      <sheetData sheetId="1"/>
      <sheetData sheetId="2"/>
      <sheetData sheetId="3"/>
      <sheetData sheetId="4"/>
      <sheetData sheetId="5"/>
      <sheetData sheetId="6"/>
      <sheetData sheetId="7"/>
      <sheetData sheetId="8" refreshError="1">
        <row r="2">
          <cell r="F2">
            <v>100</v>
          </cell>
        </row>
        <row r="4">
          <cell r="F4">
            <v>65</v>
          </cell>
        </row>
      </sheetData>
      <sheetData sheetId="9"/>
      <sheetData sheetId="10"/>
      <sheetData sheetId="11"/>
      <sheetData sheetId="12"/>
      <sheetData sheetId="13"/>
      <sheetData sheetId="14"/>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1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leads"/>
      <sheetName val="r"/>
    </sheetNames>
    <sheetDataSet>
      <sheetData sheetId="0"/>
      <sheetData sheetId="1" refreshError="1">
        <row r="6">
          <cell r="J6">
            <v>336.1</v>
          </cell>
        </row>
        <row r="7">
          <cell r="J7">
            <v>640.6</v>
          </cell>
        </row>
        <row r="8">
          <cell r="J8">
            <v>528.1</v>
          </cell>
        </row>
        <row r="9">
          <cell r="J9">
            <v>181.1</v>
          </cell>
        </row>
        <row r="10">
          <cell r="J10">
            <v>226.1</v>
          </cell>
        </row>
        <row r="11">
          <cell r="J11">
            <v>90.1</v>
          </cell>
        </row>
      </sheetData>
      <sheetData sheetId="2"/>
      <sheetData sheetId="3"/>
      <sheetData sheetId="4"/>
      <sheetData sheetId="5"/>
      <sheetData sheetId="6"/>
      <sheetData sheetId="7"/>
      <sheetData sheetId="8"/>
      <sheetData sheetId="9"/>
      <sheetData sheetId="10"/>
      <sheetData sheetId="11"/>
      <sheetData sheetId="12" refreshError="1">
        <row r="7">
          <cell r="L7">
            <v>470</v>
          </cell>
        </row>
        <row r="8">
          <cell r="L8">
            <v>774.5</v>
          </cell>
        </row>
        <row r="9">
          <cell r="L9">
            <v>662</v>
          </cell>
        </row>
        <row r="10">
          <cell r="L10">
            <v>252.79999999999998</v>
          </cell>
        </row>
        <row r="11">
          <cell r="L11">
            <v>315</v>
          </cell>
        </row>
        <row r="12">
          <cell r="L12">
            <v>360</v>
          </cell>
        </row>
        <row r="13">
          <cell r="L13">
            <v>162.1</v>
          </cell>
        </row>
      </sheetData>
      <sheetData sheetId="13"/>
      <sheetData sheetId="14"/>
      <sheetData sheetId="15"/>
      <sheetData sheetId="16"/>
      <sheetData sheetId="17"/>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maya"/>
      <sheetName val="Lead"/>
      <sheetName val="Materials"/>
      <sheetName val="Data "/>
      <sheetName val="Retaing"/>
      <sheetName val="Abstract(F6)"/>
      <sheetName val="C-data"/>
      <sheetName val="pvc_basic"/>
      <sheetName val="Labour"/>
      <sheetName val="Sheet1"/>
      <sheetName val="Material"/>
      <sheetName val="Plant &amp;  Machinery"/>
      <sheetName val="ABS.C.D."/>
      <sheetName val="detls"/>
      <sheetName val="Common "/>
      <sheetName val="data existing_do not delete"/>
      <sheetName val="CDdata_(2)"/>
      <sheetName val="Data_"/>
      <sheetName val="CDdata_(2)1"/>
      <sheetName val="Data_1"/>
      <sheetName val="DATA-BASE"/>
      <sheetName val="DATA-ABSTRACT"/>
      <sheetName val="Boq"/>
      <sheetName val="GF SB Ok "/>
      <sheetName val="p&amp;m"/>
      <sheetName val="DI"/>
      <sheetName val="ABS"/>
      <sheetName val="r"/>
      <sheetName val="Specification report"/>
      <sheetName val="quarry"/>
      <sheetName val="MTC-estimate"/>
      <sheetName val="Gen Abs"/>
      <sheetName val="other rates"/>
      <sheetName val="v"/>
      <sheetName val="Works"/>
      <sheetName val="RMR"/>
      <sheetName val="General"/>
      <sheetName val="rdamdata"/>
      <sheetName val="lead-st"/>
      <sheetName val="final abstract"/>
      <sheetName val="bom"/>
      <sheetName val="CDdata_(2)5"/>
      <sheetName val="Data_2"/>
      <sheetName val="CDdata_(2)3"/>
      <sheetName val="CDdata_(2)2"/>
      <sheetName val="CDdata_(2)4"/>
      <sheetName val="Bridge Data 2005-06"/>
      <sheetName val="t_prsr"/>
      <sheetName val="id"/>
      <sheetName val="EDWise"/>
      <sheetName val="Design"/>
      <sheetName val="HDPE"/>
      <sheetName val="pvc"/>
      <sheetName val="Fee Rate Summary"/>
      <sheetName val="Rate Analysis"/>
      <sheetName val="Usage"/>
      <sheetName val="W.ESTIMATE"/>
      <sheetName val="Road FURNITURE"/>
      <sheetName val="Gen Abst"/>
      <sheetName val="DATA_PRG"/>
      <sheetName val="m"/>
      <sheetName val="wh_data"/>
      <sheetName val="wh_data_R"/>
      <sheetName val="CPHEEO"/>
      <sheetName val="input"/>
      <sheetName val="mlead"/>
      <sheetName val="hdpe-rates"/>
      <sheetName val="hdpe weights"/>
      <sheetName val="ssr-rates"/>
      <sheetName val="pvc-rates"/>
      <sheetName val="PVC weights"/>
      <sheetName val="Annex- 6 - Delinator"/>
      <sheetName val="boredetails"/>
      <sheetName val="Design of two-way slab"/>
      <sheetName val="Wall W3"/>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7">
          <cell r="H7">
            <v>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cdAbst"/>
      <sheetName val="cost"/>
      <sheetName val="data"/>
      <sheetName val="hp900"/>
      <sheetName val="CDdata (2)"/>
      <sheetName val="1v900"/>
      <sheetName val="2v900"/>
      <sheetName val="3v900"/>
      <sheetName val="impRdam"/>
      <sheetName val="CDdata"/>
      <sheetName val="lchart"/>
      <sheetName val="keymap"/>
      <sheetName val="LS"/>
      <sheetName val="CS"/>
      <sheetName val="leads"/>
      <sheetName val="Plant &amp;  Machinery"/>
      <sheetName val="Material"/>
      <sheetName val="Labour"/>
      <sheetName val="v"/>
      <sheetName val="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 sheetId="18" refreshError="1"/>
      <sheetData sheetId="19" refreshError="1"/>
      <sheetData sheetId="20" refreshError="1"/>
      <sheetData sheetId="21" refreshError="1"/>
      <sheetData sheetId="2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6pave"/>
      <sheetName val="F7hp900"/>
      <sheetName val="F7hp600"/>
      <sheetName val="F7slb3m"/>
      <sheetName val="F7slb4m"/>
      <sheetName val="F8rate"/>
      <sheetName val="Sheet2"/>
      <sheetName val="CDdata"/>
      <sheetName val="Sheet1"/>
      <sheetName val="ewst"/>
      <sheetName val="rdamdata"/>
    </sheetNames>
    <sheetDataSet>
      <sheetData sheetId="0"/>
      <sheetData sheetId="1"/>
      <sheetData sheetId="2"/>
      <sheetData sheetId="3" refreshError="1"/>
      <sheetData sheetId="4"/>
      <sheetData sheetId="5"/>
      <sheetData sheetId="6"/>
      <sheetData sheetId="7" refreshError="1"/>
      <sheetData sheetId="8">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9" refreshError="1"/>
      <sheetData sheetId="1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XXXXX"/>
      <sheetName val="XXXXXXXXXXXXX"/>
      <sheetName val="drain (2)"/>
      <sheetName val="F-6 (estt) (2)"/>
      <sheetName val="spe-re"/>
      <sheetName val="TRAFFIC SIGN BOARDS"/>
      <sheetName val="1v-1000"/>
      <sheetName val="2v-1000 "/>
      <sheetName val="drain"/>
      <sheetName val="SUB DATA"/>
      <sheetName val="F7-A.CDW.BT.R5"/>
      <sheetName val="General-abstract"/>
      <sheetName val="Data"/>
      <sheetName val="Materials"/>
      <sheetName val="Lead statement"/>
      <sheetName val="Conveyance"/>
      <sheetName val="bundqty"/>
      <sheetName val="aug,02"/>
      <sheetName val="m"/>
    </sheetNames>
    <sheetDataSet>
      <sheetData sheetId="0"/>
      <sheetData sheetId="1"/>
      <sheetData sheetId="2"/>
      <sheetData sheetId="3"/>
      <sheetData sheetId="4"/>
      <sheetData sheetId="5"/>
      <sheetData sheetId="6"/>
      <sheetData sheetId="7"/>
      <sheetData sheetId="8" refreshError="1">
        <row r="4">
          <cell r="F4">
            <v>65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 val="data existing_do not delete"/>
      <sheetName val="l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1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XXXXX"/>
      <sheetName val="XXXXXXXXXXXXX"/>
      <sheetName val="Bridge-well"/>
      <sheetName val="Wells data"/>
      <sheetName val="Road det"/>
      <sheetName val="Road Abs"/>
      <sheetName val="Cause way"/>
      <sheetName val="note file"/>
      <sheetName val="Sheet1"/>
      <sheetName val="Abstact"/>
      <sheetName val="Lead"/>
      <sheetName val="Data-Road "/>
      <sheetName val="DATA-CD "/>
      <sheetName val="water_cost_certificate"/>
      <sheetName val="Model sh"/>
      <sheetName val="Seig_Calculations"/>
      <sheetName val="transport"/>
      <sheetName val="#REF!"/>
      <sheetName val="v"/>
      <sheetName val="r"/>
    </sheetNames>
    <sheetDataSet>
      <sheetData sheetId="0"/>
      <sheetData sheetId="1" refreshError="1">
        <row r="6">
          <cell r="J6">
            <v>336.1</v>
          </cell>
        </row>
        <row r="7">
          <cell r="J7">
            <v>640.6</v>
          </cell>
        </row>
        <row r="8">
          <cell r="J8">
            <v>528.1</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maya"/>
      <sheetName val="lead-st"/>
      <sheetName val="rdam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7">
          <cell r="H7">
            <v>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cdAbst"/>
      <sheetName val="cost"/>
      <sheetName val="data"/>
      <sheetName val="hp900"/>
      <sheetName val="CDdata (2)"/>
      <sheetName val="1v900"/>
      <sheetName val="2v900"/>
      <sheetName val="3v900"/>
      <sheetName val="impRdam"/>
      <sheetName val="CDdata"/>
      <sheetName val="lchart"/>
      <sheetName val="keymap"/>
      <sheetName val="LS"/>
      <sheetName val="CS"/>
      <sheetName val="leads"/>
      <sheetName val="aug,0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 sheetId="1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6pave"/>
      <sheetName val="F7hp900"/>
      <sheetName val="F7hp600"/>
      <sheetName val="F7slb3m"/>
      <sheetName val="F7slb4m"/>
      <sheetName val="F8rate"/>
      <sheetName val="Sheet2"/>
      <sheetName val="CDdata"/>
      <sheetName val="Sheet1"/>
      <sheetName val="Plant &amp;  Machinery"/>
      <sheetName val="Labour"/>
      <sheetName val="Material"/>
      <sheetName val="leads"/>
    </sheetNames>
    <sheetDataSet>
      <sheetData sheetId="0"/>
      <sheetData sheetId="1"/>
      <sheetData sheetId="2"/>
      <sheetData sheetId="3" refreshError="1"/>
      <sheetData sheetId="4"/>
      <sheetData sheetId="5"/>
      <sheetData sheetId="6"/>
      <sheetData sheetId="7" refreshError="1"/>
      <sheetData sheetId="8">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Labour"/>
      <sheetName val="Material"/>
      <sheetName val="Plant &amp;  Machinery"/>
      <sheetName val="leads"/>
    </sheetNames>
    <sheetDataSet>
      <sheetData sheetId="0"/>
      <sheetData sheetId="1"/>
      <sheetData sheetId="2"/>
      <sheetData sheetId="3"/>
      <sheetData sheetId="4"/>
      <sheetData sheetId="5"/>
      <sheetData sheetId="6"/>
      <sheetData sheetId="7"/>
      <sheetData sheetId="8" refreshError="1">
        <row r="4">
          <cell r="F4">
            <v>65</v>
          </cell>
        </row>
      </sheetData>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11"/>
      <sheetData sheetId="12" refreshError="1"/>
      <sheetData sheetId="1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aug,02"/>
      <sheetName val="m"/>
      <sheetName val="Sheet1"/>
    </sheetNames>
    <sheetDataSet>
      <sheetData sheetId="0"/>
      <sheetData sheetId="1" refreshError="1">
        <row r="6">
          <cell r="J6">
            <v>336.1</v>
          </cell>
        </row>
        <row r="7">
          <cell r="J7">
            <v>640.6</v>
          </cell>
        </row>
        <row r="8">
          <cell r="J8">
            <v>528.1</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Lead"/>
      <sheetName val="Materials"/>
      <sheetName val="Data "/>
      <sheetName val="Retaing"/>
      <sheetName val="Abstract(F6)"/>
      <sheetName val="rdam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H7">
            <v>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miabstrct"/>
      <sheetName val="PIPESDATA"/>
      <sheetName val="ibdata"/>
      <sheetName val="ssr20506"/>
      <sheetName val="labourch"/>
      <sheetName val="materialcost"/>
      <sheetName val="datatrial"/>
    </sheetNames>
    <sheetDataSet>
      <sheetData sheetId="0" refreshError="1"/>
      <sheetData sheetId="1"/>
      <sheetData sheetId="2"/>
      <sheetData sheetId="3"/>
      <sheetData sheetId="4"/>
      <sheetData sheetId="5"/>
      <sheetData sheetId="6"/>
      <sheetData sheetId="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cdAbst"/>
      <sheetName val="cost"/>
      <sheetName val="data"/>
      <sheetName val="hp900"/>
      <sheetName val="CDdata (2)"/>
      <sheetName val="1v900"/>
      <sheetName val="2v900"/>
      <sheetName val="3v900"/>
      <sheetName val="impRdam"/>
      <sheetName val="CDdata"/>
      <sheetName val="lchart"/>
      <sheetName val="keymap"/>
      <sheetName val="LS"/>
      <sheetName val="CS"/>
      <sheetName val="leads"/>
      <sheetName val="Labour"/>
      <sheetName val="Material"/>
      <sheetName val="Plant &amp;  Machinery"/>
      <sheetName val="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6pave"/>
      <sheetName val="F7hp900"/>
      <sheetName val="F7hp600"/>
      <sheetName val="F7slb3m"/>
      <sheetName val="F7slb4m"/>
      <sheetName val="F8rate"/>
      <sheetName val="Sheet2"/>
      <sheetName val="CDdata"/>
      <sheetName val="Sheet1"/>
      <sheetName val="leads"/>
    </sheetNames>
    <sheetDataSet>
      <sheetData sheetId="0"/>
      <sheetData sheetId="1"/>
      <sheetData sheetId="2"/>
      <sheetData sheetId="3" refreshError="1"/>
      <sheetData sheetId="4"/>
      <sheetData sheetId="5"/>
      <sheetData sheetId="6"/>
      <sheetData sheetId="7" refreshError="1"/>
      <sheetData sheetId="8" refreshError="1">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Sheet1"/>
    </sheetNames>
    <sheetDataSet>
      <sheetData sheetId="0"/>
      <sheetData sheetId="1"/>
      <sheetData sheetId="2"/>
      <sheetData sheetId="3"/>
      <sheetData sheetId="4"/>
      <sheetData sheetId="5"/>
      <sheetData sheetId="6"/>
      <sheetData sheetId="7"/>
      <sheetData sheetId="8" refreshError="1">
        <row r="4">
          <cell r="F4">
            <v>65</v>
          </cell>
        </row>
      </sheetData>
      <sheetData sheetId="9"/>
      <sheetData sheetId="10"/>
      <sheetData sheetId="11"/>
      <sheetData sheetId="12"/>
      <sheetData sheetId="13"/>
      <sheetData sheetId="14"/>
      <sheetData sheetId="1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 val="Lev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11"/>
      <sheetData sheetId="12" refreshError="1"/>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v"/>
      <sheetName val="r"/>
    </sheetNames>
    <sheetDataSet>
      <sheetData sheetId="0"/>
      <sheetData sheetId="1" refreshError="1">
        <row r="6">
          <cell r="J6">
            <v>336.1</v>
          </cell>
        </row>
        <row r="7">
          <cell r="J7">
            <v>640.6</v>
          </cell>
        </row>
        <row r="8">
          <cell r="J8">
            <v>528.1</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miabstrct"/>
      <sheetName val="PIPESDATA"/>
      <sheetName val="ibdata"/>
      <sheetName val="ssr20506"/>
      <sheetName val="labourch"/>
      <sheetName val="materialcost"/>
      <sheetName val="datatrial"/>
    </sheetNames>
    <sheetDataSet>
      <sheetData sheetId="0" refreshError="1"/>
      <sheetData sheetId="1"/>
      <sheetData sheetId="2"/>
      <sheetData sheetId="3"/>
      <sheetData sheetId="4">
        <row r="81">
          <cell r="D81">
            <v>3</v>
          </cell>
        </row>
      </sheetData>
      <sheetData sheetId="5"/>
      <sheetData sheetId="6"/>
      <sheetData sheetId="7"/>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sheetName val="BBS"/>
      <sheetName val="Sheet1"/>
      <sheetName val="AB"/>
      <sheetName val="E"/>
      <sheetName val="S"/>
      <sheetName val="super passage "/>
    </sheetNames>
    <sheetDataSet>
      <sheetData sheetId="0" refreshError="1"/>
      <sheetData sheetId="1" refreshError="1"/>
      <sheetData sheetId="2" refreshError="1"/>
      <sheetData sheetId="3" refreshError="1"/>
      <sheetData sheetId="4">
        <row r="14">
          <cell r="I14">
            <v>0.5</v>
          </cell>
        </row>
      </sheetData>
      <sheetData sheetId="5" refreshError="1"/>
      <sheetData sheetId="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DATA_ENTRY"/>
      <sheetName val="Report"/>
      <sheetName val="DetEst"/>
      <sheetName val="Gen Abst"/>
      <sheetName val="DetAbsAbs"/>
      <sheetName val="Lead"/>
      <sheetName val="WorkSlip"/>
      <sheetName val="BTLeads"/>
      <sheetName val="RMR"/>
      <sheetName val="MRoad data"/>
      <sheetName val="Certificates"/>
      <sheetName val="M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
          <cell r="X6">
            <v>12.8</v>
          </cell>
          <cell r="AC6">
            <v>10</v>
          </cell>
        </row>
        <row r="7">
          <cell r="X7">
            <v>8.6999999999999993</v>
          </cell>
          <cell r="AC7">
            <v>8.5</v>
          </cell>
        </row>
        <row r="8">
          <cell r="X8">
            <v>8.6999999999999993</v>
          </cell>
          <cell r="AC8">
            <v>5.5</v>
          </cell>
        </row>
        <row r="15">
          <cell r="T15">
            <v>4600</v>
          </cell>
        </row>
        <row r="16">
          <cell r="T16">
            <v>30850</v>
          </cell>
        </row>
        <row r="17">
          <cell r="T17">
            <v>32175</v>
          </cell>
        </row>
        <row r="18">
          <cell r="T18">
            <v>30200</v>
          </cell>
        </row>
        <row r="19">
          <cell r="T19">
            <v>56</v>
          </cell>
        </row>
        <row r="26">
          <cell r="T26">
            <v>6</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miabstrct"/>
      <sheetName val="PIPESDATA"/>
      <sheetName val="ibdata"/>
      <sheetName val="ssr20506"/>
      <sheetName val="labourch"/>
      <sheetName val="materialcost"/>
      <sheetName val="datatrial"/>
    </sheetNames>
    <sheetDataSet>
      <sheetData sheetId="0" refreshError="1"/>
      <sheetData sheetId="1"/>
      <sheetData sheetId="2"/>
      <sheetData sheetId="3"/>
      <sheetData sheetId="4"/>
      <sheetData sheetId="5"/>
      <sheetData sheetId="6"/>
      <sheetData sheetId="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Lead"/>
      <sheetName val="Materials"/>
      <sheetName val="Data "/>
      <sheetName val="Retaing"/>
      <sheetName val="Abstract(F6)"/>
      <sheetName val="cdAbst"/>
      <sheetName val="CDdata"/>
      <sheetName val="keymap"/>
      <sheetName val="LS"/>
      <sheetName val="CS"/>
      <sheetName val="F6pave"/>
      <sheetName val="F7hp900"/>
      <sheetName val="F7hp600"/>
      <sheetName val="F7slb3m"/>
      <sheetName val="F7slb4m"/>
      <sheetName val="F8rate"/>
      <sheetName val="Sheet2"/>
      <sheetName val="Sheet1"/>
      <sheetName val="index"/>
      <sheetName val="gen_abst"/>
      <sheetName val="water"/>
      <sheetName val="data_new"/>
      <sheetName val="lead-st"/>
      <sheetName val="v"/>
      <sheetName val="r"/>
      <sheetName val="l"/>
      <sheetName val="electrical"/>
      <sheetName val="marking"/>
      <sheetName val="beams"/>
      <sheetName val="features"/>
      <sheetName val="c_wall"/>
      <sheetName val="mro_bldg"/>
      <sheetName val="mpp_bldg"/>
      <sheetName val="sanitory"/>
      <sheetName val="septic_tank"/>
      <sheetName val="electri"/>
      <sheetName val="data_sein"/>
      <sheetName val="door"/>
      <sheetName val="win"/>
      <sheetName val="0000000000000"/>
      <sheetName val="1000000000000"/>
      <sheetName val="2000000000000"/>
      <sheetName val="3000000000000"/>
      <sheetName val="4000000000000"/>
      <sheetName val="5000000000000"/>
      <sheetName val="Report"/>
      <sheetName val="BCR"/>
      <sheetName val="proposal"/>
      <sheetName val="rainfall"/>
      <sheetName val="bundqty"/>
      <sheetName val="weir"/>
      <sheetName val="desig cd works"/>
      <sheetName val="est canal"/>
      <sheetName val="cd works"/>
      <sheetName val="Lead "/>
      <sheetName val="l.s bund"/>
      <sheetName val="LFcanal"/>
      <sheetName val="RFcanal"/>
      <sheetName val="qrmap"/>
      <sheetName val="Route Map"/>
      <sheetName val="Drawing"/>
      <sheetName val="Old drawings"/>
      <sheetName val="inspn"/>
      <sheetName val="Chart1"/>
      <sheetName val="certifc"/>
      <sheetName val="Regime"/>
      <sheetName val="weir heads (2)"/>
      <sheetName val="basicdata"/>
      <sheetName val="weir heads"/>
      <sheetName val="Data-abs"/>
      <sheetName val="Sheet3"/>
      <sheetName val="One vent Pipe"/>
      <sheetName val="Four vents"/>
      <sheetName val="two vents"/>
      <sheetName val="Designs"/>
      <sheetName val="3Vents"/>
      <sheetName val="Abut"/>
      <sheetName val="Pier"/>
      <sheetName val="Speci"/>
      <sheetName val="One vent "/>
      <sheetName val="Material"/>
      <sheetName val="Contents"/>
      <sheetName val="Plant &amp;  Machinery"/>
      <sheetName val="Labour"/>
      <sheetName val="Lead statement (2)"/>
      <sheetName val="Lead statement"/>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Lead (2)"/>
      <sheetName val="Data (2)"/>
      <sheetName val="Estimate"/>
      <sheetName val="XXXXXXXXXXXXX"/>
      <sheetName val="6.5% (2)"/>
      <sheetName val="est (2)"/>
      <sheetName val="XXXXXXXXXXXX0"/>
      <sheetName val="Abstract (2)"/>
      <sheetName val="key (2)"/>
      <sheetName val="pro-B (2)"/>
      <sheetName val="est  (mord)"/>
      <sheetName val="est(old) "/>
      <sheetName val="6.5%"/>
      <sheetName val="10%"/>
      <sheetName val="Day1"/>
      <sheetName val="Day2"/>
      <sheetName val="Day3"/>
      <sheetName val="Sheet1 (2)"/>
      <sheetName val="pav-des"/>
      <sheetName val="ccdes"/>
      <sheetName val="key"/>
      <sheetName val="Sheet11"/>
      <sheetName val="Spe"/>
      <sheetName val="cert"/>
      <sheetName val="curve"/>
      <sheetName val="Sheet10"/>
      <sheetName val="Sheet16"/>
      <sheetName val="Sheet15"/>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cell r="H7">
            <v>48</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sheetData sheetId="32"/>
      <sheetData sheetId="33"/>
      <sheetData sheetId="34">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35"/>
      <sheetData sheetId="36"/>
      <sheetData sheetId="37"/>
      <sheetData sheetId="38"/>
      <sheetData sheetId="39"/>
      <sheetData sheetId="40"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41"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refreshError="1"/>
      <sheetData sheetId="64"/>
      <sheetData sheetId="65" refreshError="1"/>
      <sheetData sheetId="66"/>
      <sheetData sheetId="67"/>
      <sheetData sheetId="68"/>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Letter"/>
      <sheetName val="Report"/>
      <sheetName val="DetEst"/>
      <sheetName val="GenAbs"/>
      <sheetName val="DetAbsAbs"/>
      <sheetName val="Lead"/>
      <sheetName val="WorkSlip"/>
      <sheetName val="DATA_ENTRY"/>
      <sheetName val="Quarry Map"/>
      <sheetName val="BTLeads"/>
      <sheetName val="RMR"/>
      <sheetName val="ABSTRACT PROTECTION "/>
      <sheetName val="Abstract culvert"/>
      <sheetName val="Seigniorage road "/>
      <sheetName val="Gen Ab"/>
      <sheetName val="MRoad data"/>
      <sheetName val="Detailed Estimate"/>
      <sheetName val="cover 1"/>
      <sheetName val="GA"/>
      <sheetName val="Certificates"/>
      <sheetName val="MRATES"/>
      <sheetName val="Seigniorage Culverts"/>
      <sheetName val="Culvert ABST"/>
      <sheetName val="Culvert ABS 3v "/>
      <sheetName val="1vent "/>
      <sheetName val="1 v Draw"/>
      <sheetName val="2 v Det"/>
      <sheetName val="2 v Draw"/>
      <sheetName val="Protection wall 1"/>
      <sheetName val="Protection wall 2"/>
      <sheetName val="3V Det"/>
      <sheetName val="3v Draw"/>
      <sheetName val="Strip plan"/>
      <sheetName val="Sheet2"/>
      <sheetName val="cross section "/>
      <sheetName val="Sheet1"/>
      <sheetName val="ruf"/>
      <sheetName val="Input Data"/>
      <sheetName val="BTR"/>
      <sheetName val="As Memo"/>
      <sheetName val="Abs Road"/>
      <sheetName val="Road data"/>
      <sheetName val="Slab Culvert"/>
      <sheetName val="Pipe Culverts"/>
      <sheetName val="Abs Box Culvert"/>
      <sheetName val="Box Culvert data"/>
      <sheetName val="Abs Minor Bridge"/>
      <sheetName val="minor bridge"/>
      <sheetName val="Abs RS"/>
      <sheetName val="Trafic"/>
      <sheetName val="Piipe data"/>
      <sheetName val="TS memo"/>
      <sheetName val="sr for Culvert"/>
      <sheetName val="VUP Data"/>
      <sheetName val="Seiniorage"/>
      <sheetName val="Sheet4"/>
      <sheetName val="Sheet3"/>
      <sheetName val="JAN-17"/>
      <sheetName val="FEB-17"/>
      <sheetName val="MAR-17"/>
      <sheetName val="APR-17"/>
      <sheetName val="MAY-17"/>
      <sheetName val="JUNE-17"/>
      <sheetName val="JUL-17"/>
      <sheetName val="AUG-17"/>
      <sheetName val="sep-17"/>
      <sheetName val="OCT-17"/>
      <sheetName val="NOV-17"/>
      <sheetName val="DEC-17"/>
      <sheetName val="JAN-18"/>
      <sheetName val="JAN -18-2"/>
      <sheetName val="JUN-18"/>
      <sheetName val="JUL-18"/>
      <sheetName val="AUG-18"/>
      <sheetName val="AUG-18-2"/>
      <sheetName val="SEP-18"/>
      <sheetName val="SEP-18-2"/>
      <sheetName val="OCT-18"/>
      <sheetName val="OCT-18-2"/>
      <sheetName val="FEB-19"/>
      <sheetName val="MAR-19"/>
      <sheetName val="MAR-19-2"/>
      <sheetName val="MKPK-12"/>
      <sheetName val="MKPK-8"/>
      <sheetName val="MKPK -priceAB"/>
      <sheetName val="MKPK ABSTRA"/>
      <sheetName val="comparative stat"/>
      <sheetName val="V-M "/>
      <sheetName val="general abstr"/>
      <sheetName val="seignorage"/>
      <sheetName val="BITUMIN"/>
      <sheetName val="PC&amp;BC"/>
      <sheetName val="GSB"/>
      <sheetName val="WMM&amp;TC"/>
      <sheetName val="PCC &amp; M-15"/>
      <sheetName val="M-20 F &amp; SUB"/>
      <sheetName val="M-25 SUB- SUP"/>
      <sheetName val="hume pipes"/>
      <sheetName val="HUME PIPE2"/>
      <sheetName val="steel sub"/>
      <sheetName val="steel spr"/>
      <sheetName val="M-40"/>
      <sheetName val="spouts"/>
      <sheetName val="revetment"/>
      <sheetName val="Table 1"/>
      <sheetName val="Table 2"/>
      <sheetName val="Table 3"/>
      <sheetName val="Table 4"/>
      <sheetName val="Table 5"/>
      <sheetName val="Table 6"/>
      <sheetName val="Table 7"/>
      <sheetName val="Table 8"/>
      <sheetName val="Table 9"/>
      <sheetName val="Table 10"/>
      <sheetName val="Table 11"/>
      <sheetName val="Table 12"/>
      <sheetName val="Table 13"/>
      <sheetName val="Table 19"/>
      <sheetName val="Table 20 (2)"/>
      <sheetName val="Table 20"/>
      <sheetName val="Table 22"/>
      <sheetName val="Table 23"/>
      <sheetName val="Table 24"/>
      <sheetName val="Table 25"/>
      <sheetName val="Table 26"/>
      <sheetName val="Table 27"/>
      <sheetName val="Table 28"/>
      <sheetName val="Table 29"/>
      <sheetName val="Table 30"/>
      <sheetName val="Table 31"/>
      <sheetName val="Table 32"/>
      <sheetName val="Table 33"/>
      <sheetName val="Table 34"/>
      <sheetName val="Table 35"/>
      <sheetName val="m-25 spr"/>
      <sheetName val="m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F"/>
      <sheetName val="General_Abstract"/>
      <sheetName val="Name"/>
      <sheetName val="21-Col"/>
      <sheetName val="BCR"/>
      <sheetName val="GAB&amp; BCR"/>
      <sheetName val="RGM"/>
      <sheetName val="Canal -R.F"/>
      <sheetName val="Report"/>
      <sheetName val="YDBS"/>
      <sheetName val="Sheet2"/>
      <sheetName val="Weir Est (2)"/>
      <sheetName val="Abst-sl"/>
      <sheetName val="Rain fall"/>
      <sheetName val="EAB SC"/>
      <sheetName val="EWE-SC "/>
      <sheetName val="D-TAB"/>
      <sheetName val="P I R"/>
      <sheetName val="P.S"/>
      <sheetName val="Drawings"/>
      <sheetName val="Abst (2)"/>
      <sheetName val="S.C"/>
      <sheetName val="Weir Est-sl"/>
      <sheetName val="D-Slu"/>
      <sheetName val="Est-Slu"/>
      <sheetName val="Sheet1"/>
      <sheetName val="RGM (2)"/>
      <sheetName val="Tech Dts"/>
      <sheetName val="Certi"/>
      <sheetName val="CONST"/>
      <sheetName val="DT Bund "/>
      <sheetName val="C"/>
      <sheetName val="COM &amp; L.C"/>
      <sheetName val="USER1"/>
      <sheetName val="Data"/>
      <sheetName val="SSR 04-05"/>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ow r="75">
          <cell r="D75">
            <v>0.1</v>
          </cell>
          <cell r="E75">
            <v>4.5999999999999996</v>
          </cell>
          <cell r="F75">
            <v>1.38</v>
          </cell>
          <cell r="I75">
            <v>1.02</v>
          </cell>
          <cell r="M75">
            <v>0.5</v>
          </cell>
          <cell r="Q75">
            <v>0.1</v>
          </cell>
        </row>
        <row r="76">
          <cell r="D76">
            <v>0.2</v>
          </cell>
          <cell r="E76">
            <v>5</v>
          </cell>
          <cell r="F76">
            <v>1.5</v>
          </cell>
          <cell r="I76">
            <v>1.5</v>
          </cell>
          <cell r="M76">
            <v>0.5</v>
          </cell>
          <cell r="Q76">
            <v>0.2</v>
          </cell>
        </row>
        <row r="77">
          <cell r="D77">
            <v>0.3</v>
          </cell>
          <cell r="E77">
            <v>5.4</v>
          </cell>
          <cell r="F77">
            <v>1.62</v>
          </cell>
          <cell r="I77">
            <v>2.02</v>
          </cell>
          <cell r="M77">
            <v>0.5</v>
          </cell>
          <cell r="Q77">
            <v>0.3</v>
          </cell>
        </row>
        <row r="78">
          <cell r="D78">
            <v>0.4</v>
          </cell>
          <cell r="E78">
            <v>5.8</v>
          </cell>
          <cell r="F78">
            <v>1.74</v>
          </cell>
          <cell r="I78">
            <v>2.58</v>
          </cell>
          <cell r="M78">
            <v>0.5</v>
          </cell>
          <cell r="Q78">
            <v>0.4</v>
          </cell>
        </row>
        <row r="79">
          <cell r="D79">
            <v>0.5</v>
          </cell>
          <cell r="E79">
            <v>6.2</v>
          </cell>
          <cell r="F79">
            <v>1.86</v>
          </cell>
          <cell r="I79">
            <v>3.18</v>
          </cell>
          <cell r="M79">
            <v>0.5</v>
          </cell>
          <cell r="Q79">
            <v>0.5</v>
          </cell>
        </row>
        <row r="80">
          <cell r="D80">
            <v>0.55000000000000004</v>
          </cell>
        </row>
        <row r="81">
          <cell r="D81">
            <v>0.6</v>
          </cell>
          <cell r="E81">
            <v>6.6</v>
          </cell>
          <cell r="F81">
            <v>1.98</v>
          </cell>
          <cell r="I81">
            <v>3.82</v>
          </cell>
          <cell r="M81">
            <v>0.5</v>
          </cell>
          <cell r="Q81">
            <v>0.6</v>
          </cell>
        </row>
        <row r="82">
          <cell r="D82">
            <v>0.7</v>
          </cell>
          <cell r="E82">
            <v>7</v>
          </cell>
          <cell r="F82">
            <v>2.1</v>
          </cell>
          <cell r="I82">
            <v>4.5</v>
          </cell>
          <cell r="M82">
            <v>0.5</v>
          </cell>
          <cell r="Q82">
            <v>0.7</v>
          </cell>
        </row>
        <row r="83">
          <cell r="D83">
            <v>0.8</v>
          </cell>
          <cell r="E83">
            <v>7.4</v>
          </cell>
          <cell r="F83">
            <v>2.2200000000000002</v>
          </cell>
          <cell r="I83">
            <v>5.22</v>
          </cell>
          <cell r="M83">
            <v>0.5</v>
          </cell>
          <cell r="Q83">
            <v>0.8</v>
          </cell>
        </row>
        <row r="84">
          <cell r="D84">
            <v>0.9</v>
          </cell>
          <cell r="E84">
            <v>7.8</v>
          </cell>
          <cell r="F84">
            <v>2.34</v>
          </cell>
          <cell r="I84">
            <v>5.98</v>
          </cell>
          <cell r="M84">
            <v>0.5</v>
          </cell>
          <cell r="Q84">
            <v>0.9</v>
          </cell>
        </row>
        <row r="85">
          <cell r="D85">
            <v>1</v>
          </cell>
          <cell r="E85">
            <v>8.1999999999999993</v>
          </cell>
          <cell r="F85">
            <v>2.46</v>
          </cell>
          <cell r="I85">
            <v>6.78</v>
          </cell>
          <cell r="M85">
            <v>0.5</v>
          </cell>
          <cell r="Q85">
            <v>1</v>
          </cell>
        </row>
        <row r="86">
          <cell r="D86">
            <v>1.05</v>
          </cell>
        </row>
        <row r="87">
          <cell r="D87">
            <v>1.1000000000000001</v>
          </cell>
          <cell r="E87">
            <v>8.6</v>
          </cell>
          <cell r="F87">
            <v>2.58</v>
          </cell>
          <cell r="I87">
            <v>7.62</v>
          </cell>
          <cell r="M87">
            <v>0.5</v>
          </cell>
          <cell r="Q87">
            <v>1.1000000000000001</v>
          </cell>
        </row>
        <row r="88">
          <cell r="D88">
            <v>1.2</v>
          </cell>
          <cell r="E88">
            <v>9</v>
          </cell>
          <cell r="F88">
            <v>2.7</v>
          </cell>
          <cell r="I88">
            <v>8.5</v>
          </cell>
          <cell r="M88">
            <v>0.5</v>
          </cell>
          <cell r="Q88">
            <v>1.2</v>
          </cell>
        </row>
        <row r="89">
          <cell r="D89">
            <v>1.3</v>
          </cell>
          <cell r="E89">
            <v>9.4</v>
          </cell>
          <cell r="F89">
            <v>2.82</v>
          </cell>
          <cell r="I89">
            <v>9.42</v>
          </cell>
          <cell r="M89">
            <v>0.5</v>
          </cell>
          <cell r="Q89">
            <v>1.3</v>
          </cell>
        </row>
        <row r="90">
          <cell r="D90">
            <v>1.4</v>
          </cell>
          <cell r="E90">
            <v>9.8000000000000007</v>
          </cell>
          <cell r="F90">
            <v>2.94</v>
          </cell>
          <cell r="G90">
            <v>1.98</v>
          </cell>
          <cell r="I90">
            <v>10.38</v>
          </cell>
          <cell r="M90">
            <v>0.5</v>
          </cell>
          <cell r="Q90">
            <v>1.4</v>
          </cell>
        </row>
        <row r="91">
          <cell r="D91">
            <v>1.5</v>
          </cell>
          <cell r="E91">
            <v>10.199999999999999</v>
          </cell>
          <cell r="F91">
            <v>3.48</v>
          </cell>
          <cell r="G91">
            <v>1.98</v>
          </cell>
          <cell r="I91">
            <v>9.09</v>
          </cell>
          <cell r="J91">
            <v>1.57</v>
          </cell>
          <cell r="K91">
            <v>1.1100000000000001</v>
          </cell>
          <cell r="M91">
            <v>0.47</v>
          </cell>
          <cell r="Q91">
            <v>1.5</v>
          </cell>
        </row>
        <row r="92">
          <cell r="D92">
            <v>1.55</v>
          </cell>
        </row>
        <row r="93">
          <cell r="D93">
            <v>1.6</v>
          </cell>
          <cell r="E93">
            <v>10.6</v>
          </cell>
          <cell r="F93">
            <v>3.6</v>
          </cell>
          <cell r="G93">
            <v>1.98</v>
          </cell>
          <cell r="I93">
            <v>10</v>
          </cell>
          <cell r="J93">
            <v>1.64</v>
          </cell>
          <cell r="K93">
            <v>1.17</v>
          </cell>
          <cell r="M93">
            <v>0.47</v>
          </cell>
          <cell r="Q93">
            <v>1.6</v>
          </cell>
        </row>
        <row r="94">
          <cell r="D94">
            <v>1.7</v>
          </cell>
          <cell r="E94">
            <v>11</v>
          </cell>
          <cell r="F94">
            <v>3.72</v>
          </cell>
          <cell r="G94">
            <v>1.98</v>
          </cell>
          <cell r="I94">
            <v>10.95</v>
          </cell>
          <cell r="J94">
            <v>1.7</v>
          </cell>
          <cell r="K94">
            <v>1.24</v>
          </cell>
          <cell r="M94">
            <v>0.47</v>
          </cell>
          <cell r="Q94">
            <v>1.7</v>
          </cell>
        </row>
        <row r="95">
          <cell r="D95">
            <v>1.8</v>
          </cell>
          <cell r="E95">
            <v>11.4</v>
          </cell>
          <cell r="F95">
            <v>3.84</v>
          </cell>
          <cell r="G95">
            <v>1.98</v>
          </cell>
          <cell r="I95">
            <v>11.93</v>
          </cell>
          <cell r="J95">
            <v>1.77</v>
          </cell>
          <cell r="K95">
            <v>1.31</v>
          </cell>
          <cell r="M95">
            <v>0.47</v>
          </cell>
          <cell r="Q95">
            <v>1.8</v>
          </cell>
        </row>
        <row r="96">
          <cell r="D96">
            <v>1.9</v>
          </cell>
          <cell r="E96">
            <v>11.8</v>
          </cell>
          <cell r="F96">
            <v>3.96</v>
          </cell>
          <cell r="G96">
            <v>1.98</v>
          </cell>
          <cell r="I96">
            <v>12.95</v>
          </cell>
          <cell r="J96">
            <v>1.84</v>
          </cell>
          <cell r="K96">
            <v>1.38</v>
          </cell>
          <cell r="M96">
            <v>0.47</v>
          </cell>
          <cell r="Q96">
            <v>1.9</v>
          </cell>
        </row>
        <row r="97">
          <cell r="D97">
            <v>2</v>
          </cell>
          <cell r="E97">
            <v>12.2</v>
          </cell>
          <cell r="F97">
            <v>4.08</v>
          </cell>
          <cell r="G97">
            <v>1.98</v>
          </cell>
          <cell r="I97">
            <v>14.03</v>
          </cell>
          <cell r="J97">
            <v>1.9</v>
          </cell>
          <cell r="K97">
            <v>1.44</v>
          </cell>
          <cell r="M97">
            <v>0.47</v>
          </cell>
          <cell r="Q97">
            <v>2</v>
          </cell>
        </row>
        <row r="98">
          <cell r="D98">
            <v>2.1</v>
          </cell>
          <cell r="E98">
            <v>12.6</v>
          </cell>
          <cell r="F98">
            <v>4.2</v>
          </cell>
          <cell r="G98">
            <v>1.98</v>
          </cell>
          <cell r="I98">
            <v>15.13</v>
          </cell>
          <cell r="J98">
            <v>1.97</v>
          </cell>
          <cell r="K98">
            <v>1.51</v>
          </cell>
          <cell r="M98">
            <v>0.47</v>
          </cell>
          <cell r="Q98">
            <v>2.1</v>
          </cell>
        </row>
        <row r="99">
          <cell r="D99">
            <v>2.2000000000000002</v>
          </cell>
          <cell r="E99">
            <v>13</v>
          </cell>
          <cell r="F99">
            <v>4.32</v>
          </cell>
          <cell r="G99">
            <v>1.98</v>
          </cell>
          <cell r="I99">
            <v>16.27</v>
          </cell>
          <cell r="J99">
            <v>2.04</v>
          </cell>
          <cell r="K99">
            <v>1.58</v>
          </cell>
          <cell r="M99">
            <v>0.47</v>
          </cell>
          <cell r="Q99">
            <v>2.2000000000000002</v>
          </cell>
        </row>
        <row r="100">
          <cell r="D100">
            <v>2.2999999999999998</v>
          </cell>
          <cell r="E100">
            <v>13.4</v>
          </cell>
          <cell r="F100">
            <v>4.4400000000000004</v>
          </cell>
          <cell r="G100">
            <v>1.98</v>
          </cell>
          <cell r="I100">
            <v>17.47</v>
          </cell>
          <cell r="J100">
            <v>2.1</v>
          </cell>
          <cell r="K100">
            <v>1.64</v>
          </cell>
          <cell r="M100">
            <v>0.47</v>
          </cell>
          <cell r="Q100">
            <v>2.2999999999999998</v>
          </cell>
        </row>
        <row r="101">
          <cell r="D101">
            <v>2.4</v>
          </cell>
          <cell r="E101">
            <v>13.8</v>
          </cell>
          <cell r="F101">
            <v>4.5599999999999996</v>
          </cell>
          <cell r="G101">
            <v>1.98</v>
          </cell>
          <cell r="I101">
            <v>18.690000000000001</v>
          </cell>
          <cell r="J101">
            <v>2.17</v>
          </cell>
          <cell r="K101">
            <v>1.71</v>
          </cell>
          <cell r="M101">
            <v>0.47</v>
          </cell>
          <cell r="Q101">
            <v>2.4</v>
          </cell>
        </row>
        <row r="102">
          <cell r="D102">
            <v>2.5</v>
          </cell>
          <cell r="E102">
            <v>14.2</v>
          </cell>
          <cell r="F102">
            <v>4.68</v>
          </cell>
          <cell r="G102">
            <v>1.98</v>
          </cell>
          <cell r="I102">
            <v>19.95</v>
          </cell>
          <cell r="J102">
            <v>2.2400000000000002</v>
          </cell>
          <cell r="K102">
            <v>1.78</v>
          </cell>
          <cell r="M102">
            <v>0.47</v>
          </cell>
          <cell r="Q102">
            <v>2.5</v>
          </cell>
        </row>
        <row r="103">
          <cell r="D103">
            <v>2.5499999999999998</v>
          </cell>
        </row>
        <row r="104">
          <cell r="D104">
            <v>2.6</v>
          </cell>
          <cell r="E104">
            <v>14.6</v>
          </cell>
          <cell r="F104">
            <v>4.8</v>
          </cell>
          <cell r="G104">
            <v>1.98</v>
          </cell>
          <cell r="I104">
            <v>21.25</v>
          </cell>
          <cell r="J104">
            <v>2.31</v>
          </cell>
          <cell r="K104">
            <v>1.85</v>
          </cell>
          <cell r="M104">
            <v>0.47</v>
          </cell>
          <cell r="Q104">
            <v>2.6</v>
          </cell>
        </row>
        <row r="105">
          <cell r="D105">
            <v>2.7</v>
          </cell>
          <cell r="E105">
            <v>15</v>
          </cell>
          <cell r="F105">
            <v>4.92</v>
          </cell>
          <cell r="G105">
            <v>1.98</v>
          </cell>
          <cell r="I105">
            <v>22.61</v>
          </cell>
          <cell r="J105">
            <v>2.37</v>
          </cell>
          <cell r="K105">
            <v>1.91</v>
          </cell>
          <cell r="M105">
            <v>0.47</v>
          </cell>
          <cell r="Q105">
            <v>2.7</v>
          </cell>
        </row>
        <row r="106">
          <cell r="D106">
            <v>2.8</v>
          </cell>
          <cell r="E106">
            <v>15.4</v>
          </cell>
          <cell r="F106">
            <v>5.04</v>
          </cell>
          <cell r="G106">
            <v>2.16</v>
          </cell>
          <cell r="I106">
            <v>24.1</v>
          </cell>
          <cell r="J106">
            <v>2.44</v>
          </cell>
          <cell r="K106">
            <v>1.98</v>
          </cell>
          <cell r="M106">
            <v>0.47</v>
          </cell>
          <cell r="Q106">
            <v>2.8</v>
          </cell>
        </row>
        <row r="107">
          <cell r="D107">
            <v>2.9</v>
          </cell>
          <cell r="E107">
            <v>15.8</v>
          </cell>
          <cell r="F107">
            <v>5.16</v>
          </cell>
          <cell r="G107">
            <v>2.35</v>
          </cell>
          <cell r="I107">
            <v>25.41</v>
          </cell>
          <cell r="J107">
            <v>2.5099999999999998</v>
          </cell>
          <cell r="K107">
            <v>2.0499999999999998</v>
          </cell>
          <cell r="M107">
            <v>0.47</v>
          </cell>
          <cell r="Q107">
            <v>2.9</v>
          </cell>
        </row>
        <row r="108">
          <cell r="D108">
            <v>3</v>
          </cell>
          <cell r="E108">
            <v>16.2</v>
          </cell>
          <cell r="F108">
            <v>5.28</v>
          </cell>
          <cell r="G108">
            <v>2.5299999999999998</v>
          </cell>
          <cell r="I108">
            <v>26.89</v>
          </cell>
          <cell r="J108">
            <v>2.57</v>
          </cell>
          <cell r="K108">
            <v>2.11</v>
          </cell>
          <cell r="M108">
            <v>0.47</v>
          </cell>
          <cell r="Q108">
            <v>3</v>
          </cell>
        </row>
        <row r="109">
          <cell r="D109">
            <v>3.05</v>
          </cell>
        </row>
        <row r="110">
          <cell r="D110">
            <v>3.1</v>
          </cell>
          <cell r="E110">
            <v>16.600000000000001</v>
          </cell>
          <cell r="F110">
            <v>5.4</v>
          </cell>
          <cell r="G110">
            <v>2.72</v>
          </cell>
          <cell r="I110">
            <v>28.39</v>
          </cell>
          <cell r="J110">
            <v>2.64</v>
          </cell>
          <cell r="K110">
            <v>2.1800000000000002</v>
          </cell>
          <cell r="M110">
            <v>0.47</v>
          </cell>
          <cell r="Q110">
            <v>3.1</v>
          </cell>
        </row>
        <row r="111">
          <cell r="D111">
            <v>3.2</v>
          </cell>
          <cell r="E111">
            <v>17</v>
          </cell>
          <cell r="F111">
            <v>5.52</v>
          </cell>
          <cell r="G111">
            <v>2.91</v>
          </cell>
          <cell r="I111">
            <v>29.93</v>
          </cell>
          <cell r="J111">
            <v>2.71</v>
          </cell>
          <cell r="K111">
            <v>2.25</v>
          </cell>
          <cell r="M111">
            <v>0.47</v>
          </cell>
          <cell r="Q111">
            <v>3.2</v>
          </cell>
        </row>
        <row r="112">
          <cell r="D112">
            <v>3.3</v>
          </cell>
          <cell r="E112">
            <v>17.399999999999999</v>
          </cell>
          <cell r="F112">
            <v>5.64</v>
          </cell>
          <cell r="G112">
            <v>3.11</v>
          </cell>
          <cell r="I112">
            <v>31.53</v>
          </cell>
          <cell r="J112">
            <v>2.77</v>
          </cell>
          <cell r="K112">
            <v>2.31</v>
          </cell>
          <cell r="M112">
            <v>0.47</v>
          </cell>
          <cell r="Q112">
            <v>3.3</v>
          </cell>
        </row>
        <row r="113">
          <cell r="D113">
            <v>3.4</v>
          </cell>
          <cell r="E113">
            <v>17.8</v>
          </cell>
          <cell r="F113">
            <v>5.76</v>
          </cell>
          <cell r="G113">
            <v>3.3</v>
          </cell>
          <cell r="I113">
            <v>33.15</v>
          </cell>
          <cell r="J113">
            <v>2.84</v>
          </cell>
          <cell r="K113">
            <v>2.38</v>
          </cell>
          <cell r="M113">
            <v>0.47</v>
          </cell>
          <cell r="Q113">
            <v>3.4</v>
          </cell>
        </row>
        <row r="114">
          <cell r="D114">
            <v>3.5</v>
          </cell>
          <cell r="E114">
            <v>18</v>
          </cell>
          <cell r="F114">
            <v>7.82</v>
          </cell>
          <cell r="G114">
            <v>3.5</v>
          </cell>
          <cell r="I114">
            <v>29.63</v>
          </cell>
          <cell r="J114">
            <v>2.91</v>
          </cell>
          <cell r="K114">
            <v>2.4500000000000002</v>
          </cell>
          <cell r="L114">
            <v>2.64</v>
          </cell>
          <cell r="M114">
            <v>0.47</v>
          </cell>
          <cell r="N114">
            <v>2.64</v>
          </cell>
          <cell r="O114">
            <v>0.38</v>
          </cell>
          <cell r="P114">
            <v>1.01</v>
          </cell>
          <cell r="Q114">
            <v>3.05</v>
          </cell>
        </row>
        <row r="115">
          <cell r="D115">
            <v>3.55</v>
          </cell>
        </row>
        <row r="116">
          <cell r="D116">
            <v>3.6</v>
          </cell>
          <cell r="E116">
            <v>18.399999999999999</v>
          </cell>
          <cell r="F116">
            <v>7.94</v>
          </cell>
          <cell r="G116">
            <v>3.7</v>
          </cell>
          <cell r="I116">
            <v>31.17</v>
          </cell>
          <cell r="J116">
            <v>2.98</v>
          </cell>
          <cell r="K116">
            <v>2.52</v>
          </cell>
          <cell r="L116">
            <v>2.64</v>
          </cell>
          <cell r="M116">
            <v>0.47</v>
          </cell>
          <cell r="N116">
            <v>2.8</v>
          </cell>
          <cell r="O116">
            <v>0.38</v>
          </cell>
          <cell r="P116">
            <v>1.01</v>
          </cell>
          <cell r="Q116">
            <v>3.15</v>
          </cell>
        </row>
        <row r="117">
          <cell r="D117">
            <v>3.7</v>
          </cell>
          <cell r="E117">
            <v>18.8</v>
          </cell>
          <cell r="F117">
            <v>8.06</v>
          </cell>
          <cell r="G117">
            <v>3.91</v>
          </cell>
          <cell r="I117">
            <v>32.78</v>
          </cell>
          <cell r="J117">
            <v>3.04</v>
          </cell>
          <cell r="K117">
            <v>2.58</v>
          </cell>
          <cell r="L117">
            <v>2.64</v>
          </cell>
          <cell r="M117">
            <v>0.47</v>
          </cell>
          <cell r="N117">
            <v>2.95</v>
          </cell>
          <cell r="O117">
            <v>0.38</v>
          </cell>
          <cell r="P117">
            <v>1.01</v>
          </cell>
          <cell r="Q117">
            <v>3.25</v>
          </cell>
        </row>
        <row r="118">
          <cell r="D118">
            <v>3.8</v>
          </cell>
          <cell r="E118">
            <v>19.2</v>
          </cell>
          <cell r="F118">
            <v>8.18</v>
          </cell>
          <cell r="G118">
            <v>4.1100000000000003</v>
          </cell>
          <cell r="I118">
            <v>34.4</v>
          </cell>
          <cell r="J118">
            <v>3.11</v>
          </cell>
          <cell r="K118">
            <v>2.65</v>
          </cell>
          <cell r="L118">
            <v>2.64</v>
          </cell>
          <cell r="M118">
            <v>0.47</v>
          </cell>
          <cell r="N118">
            <v>3.11</v>
          </cell>
          <cell r="O118">
            <v>0.38</v>
          </cell>
          <cell r="P118">
            <v>1.01</v>
          </cell>
          <cell r="Q118">
            <v>3.35</v>
          </cell>
        </row>
        <row r="119">
          <cell r="D119">
            <v>3.9</v>
          </cell>
          <cell r="E119">
            <v>19.600000000000001</v>
          </cell>
          <cell r="F119">
            <v>8.3000000000000007</v>
          </cell>
          <cell r="G119">
            <v>4.32</v>
          </cell>
          <cell r="I119">
            <v>36.06</v>
          </cell>
          <cell r="J119">
            <v>3.18</v>
          </cell>
          <cell r="K119">
            <v>2.72</v>
          </cell>
          <cell r="L119">
            <v>2.64</v>
          </cell>
          <cell r="M119">
            <v>0.47</v>
          </cell>
          <cell r="N119">
            <v>3.27</v>
          </cell>
          <cell r="O119">
            <v>0.38</v>
          </cell>
          <cell r="P119">
            <v>1.01</v>
          </cell>
          <cell r="Q119">
            <v>3.45</v>
          </cell>
        </row>
        <row r="120">
          <cell r="D120">
            <v>4</v>
          </cell>
          <cell r="E120">
            <v>20</v>
          </cell>
          <cell r="F120">
            <v>8.42</v>
          </cell>
          <cell r="G120">
            <v>4.53</v>
          </cell>
          <cell r="I120">
            <v>37.79</v>
          </cell>
          <cell r="J120">
            <v>3.24</v>
          </cell>
          <cell r="K120">
            <v>2.78</v>
          </cell>
          <cell r="L120">
            <v>2.64</v>
          </cell>
          <cell r="M120">
            <v>0.47</v>
          </cell>
          <cell r="N120">
            <v>3.42</v>
          </cell>
          <cell r="O120">
            <v>0.38</v>
          </cell>
          <cell r="P120">
            <v>1.01</v>
          </cell>
          <cell r="Q120">
            <v>3.55</v>
          </cell>
        </row>
        <row r="121">
          <cell r="D121">
            <v>4.05</v>
          </cell>
        </row>
        <row r="122">
          <cell r="D122">
            <v>4.0999999999999996</v>
          </cell>
          <cell r="E122">
            <v>20.399999999999999</v>
          </cell>
          <cell r="F122">
            <v>8.5399999999999991</v>
          </cell>
          <cell r="G122">
            <v>4.75</v>
          </cell>
          <cell r="I122">
            <v>39.53</v>
          </cell>
          <cell r="J122">
            <v>3.31</v>
          </cell>
          <cell r="K122">
            <v>2.85</v>
          </cell>
          <cell r="L122">
            <v>2.64</v>
          </cell>
          <cell r="M122">
            <v>0.47</v>
          </cell>
          <cell r="N122">
            <v>3.58</v>
          </cell>
          <cell r="O122">
            <v>0.38</v>
          </cell>
          <cell r="P122">
            <v>1.01</v>
          </cell>
          <cell r="Q122">
            <v>3.65</v>
          </cell>
        </row>
        <row r="123">
          <cell r="D123">
            <v>4.2</v>
          </cell>
          <cell r="E123">
            <v>20.8</v>
          </cell>
          <cell r="F123">
            <v>8.66</v>
          </cell>
          <cell r="G123">
            <v>4.96</v>
          </cell>
          <cell r="I123">
            <v>41.31</v>
          </cell>
          <cell r="J123">
            <v>3.38</v>
          </cell>
          <cell r="K123">
            <v>2.92</v>
          </cell>
          <cell r="L123">
            <v>2.64</v>
          </cell>
          <cell r="M123">
            <v>0.47</v>
          </cell>
          <cell r="N123">
            <v>3.74</v>
          </cell>
          <cell r="O123">
            <v>0.38</v>
          </cell>
          <cell r="P123">
            <v>1.01</v>
          </cell>
          <cell r="Q123">
            <v>3.75</v>
          </cell>
        </row>
        <row r="124">
          <cell r="D124">
            <v>4.3</v>
          </cell>
          <cell r="E124">
            <v>21.2</v>
          </cell>
          <cell r="F124">
            <v>8.7799999999999994</v>
          </cell>
          <cell r="G124">
            <v>5.18</v>
          </cell>
          <cell r="I124">
            <v>43.13</v>
          </cell>
          <cell r="J124">
            <v>3.45</v>
          </cell>
          <cell r="K124">
            <v>2.99</v>
          </cell>
          <cell r="L124">
            <v>2.64</v>
          </cell>
          <cell r="M124">
            <v>0.47</v>
          </cell>
          <cell r="N124">
            <v>3.9</v>
          </cell>
          <cell r="O124">
            <v>0.38</v>
          </cell>
          <cell r="P124">
            <v>1.01</v>
          </cell>
          <cell r="Q124">
            <v>3.85</v>
          </cell>
        </row>
        <row r="125">
          <cell r="D125">
            <v>4.4000000000000004</v>
          </cell>
          <cell r="E125">
            <v>21.6</v>
          </cell>
          <cell r="F125">
            <v>8.9</v>
          </cell>
          <cell r="G125">
            <v>5.4</v>
          </cell>
          <cell r="I125">
            <v>45.02</v>
          </cell>
          <cell r="J125">
            <v>3.51</v>
          </cell>
          <cell r="K125">
            <v>3.05</v>
          </cell>
          <cell r="L125">
            <v>2.64</v>
          </cell>
          <cell r="M125">
            <v>0.47</v>
          </cell>
          <cell r="N125">
            <v>4.05</v>
          </cell>
          <cell r="O125">
            <v>0.38</v>
          </cell>
          <cell r="P125">
            <v>1.01</v>
          </cell>
          <cell r="Q125">
            <v>3.95</v>
          </cell>
        </row>
        <row r="126">
          <cell r="D126">
            <v>4.5</v>
          </cell>
          <cell r="E126">
            <v>22</v>
          </cell>
          <cell r="F126">
            <v>9.02</v>
          </cell>
          <cell r="G126">
            <v>5.63</v>
          </cell>
          <cell r="I126">
            <v>46.92</v>
          </cell>
          <cell r="J126">
            <v>3.58</v>
          </cell>
          <cell r="K126">
            <v>3.12</v>
          </cell>
          <cell r="L126">
            <v>2.64</v>
          </cell>
          <cell r="M126">
            <v>0.47</v>
          </cell>
          <cell r="N126">
            <v>4.21</v>
          </cell>
          <cell r="O126">
            <v>0.38</v>
          </cell>
          <cell r="P126">
            <v>1.01</v>
          </cell>
          <cell r="Q126">
            <v>4.05</v>
          </cell>
        </row>
        <row r="127">
          <cell r="D127">
            <v>4.55</v>
          </cell>
        </row>
        <row r="128">
          <cell r="D128">
            <v>4.5999999999999996</v>
          </cell>
          <cell r="E128">
            <v>22.4</v>
          </cell>
          <cell r="F128">
            <v>9.14</v>
          </cell>
          <cell r="G128">
            <v>5.85</v>
          </cell>
          <cell r="I128">
            <v>48.86</v>
          </cell>
          <cell r="J128">
            <v>3.65</v>
          </cell>
          <cell r="K128">
            <v>3.19</v>
          </cell>
          <cell r="L128">
            <v>2.64</v>
          </cell>
          <cell r="M128">
            <v>0.47</v>
          </cell>
          <cell r="N128">
            <v>4.37</v>
          </cell>
          <cell r="O128">
            <v>0.38</v>
          </cell>
          <cell r="P128">
            <v>1.01</v>
          </cell>
          <cell r="Q128">
            <v>4.1500000000000004</v>
          </cell>
        </row>
        <row r="129">
          <cell r="D129">
            <v>4.7</v>
          </cell>
          <cell r="E129">
            <v>22.8</v>
          </cell>
          <cell r="F129">
            <v>9.26</v>
          </cell>
          <cell r="G129">
            <v>6.08</v>
          </cell>
          <cell r="I129">
            <v>50.86</v>
          </cell>
          <cell r="J129">
            <v>3.71</v>
          </cell>
          <cell r="K129">
            <v>3.25</v>
          </cell>
          <cell r="L129">
            <v>2.64</v>
          </cell>
          <cell r="M129">
            <v>0.47</v>
          </cell>
          <cell r="N129">
            <v>4.53</v>
          </cell>
          <cell r="O129">
            <v>0.38</v>
          </cell>
          <cell r="P129">
            <v>1.01</v>
          </cell>
          <cell r="Q129">
            <v>4.25</v>
          </cell>
        </row>
        <row r="130">
          <cell r="D130">
            <v>4.8</v>
          </cell>
          <cell r="E130">
            <v>23.2</v>
          </cell>
          <cell r="F130">
            <v>9.3800000000000008</v>
          </cell>
          <cell r="G130">
            <v>6.31</v>
          </cell>
          <cell r="I130">
            <v>52.89</v>
          </cell>
          <cell r="J130">
            <v>3.78</v>
          </cell>
          <cell r="K130">
            <v>3.32</v>
          </cell>
          <cell r="L130">
            <v>2.64</v>
          </cell>
          <cell r="M130">
            <v>0.47</v>
          </cell>
          <cell r="N130">
            <v>4.68</v>
          </cell>
          <cell r="O130">
            <v>0.38</v>
          </cell>
          <cell r="P130">
            <v>1.01</v>
          </cell>
          <cell r="Q130">
            <v>4.3499999999999996</v>
          </cell>
        </row>
        <row r="131">
          <cell r="D131">
            <v>4.9000000000000004</v>
          </cell>
          <cell r="E131">
            <v>23.6</v>
          </cell>
          <cell r="F131">
            <v>9.5</v>
          </cell>
          <cell r="G131">
            <v>6.55</v>
          </cell>
          <cell r="I131">
            <v>54.95</v>
          </cell>
          <cell r="J131">
            <v>3.85</v>
          </cell>
          <cell r="K131">
            <v>3.39</v>
          </cell>
          <cell r="L131">
            <v>2.64</v>
          </cell>
          <cell r="M131">
            <v>0.47</v>
          </cell>
          <cell r="N131">
            <v>4.84</v>
          </cell>
          <cell r="O131">
            <v>0.38</v>
          </cell>
          <cell r="P131">
            <v>1.01</v>
          </cell>
          <cell r="Q131">
            <v>4.45</v>
          </cell>
        </row>
        <row r="132">
          <cell r="D132">
            <v>5</v>
          </cell>
          <cell r="E132">
            <v>24</v>
          </cell>
          <cell r="F132">
            <v>9.6199999999999992</v>
          </cell>
          <cell r="G132">
            <v>6.78</v>
          </cell>
          <cell r="I132">
            <v>57.05</v>
          </cell>
          <cell r="J132">
            <v>3.92</v>
          </cell>
          <cell r="K132">
            <v>3.46</v>
          </cell>
          <cell r="L132">
            <v>2.64</v>
          </cell>
          <cell r="M132">
            <v>0.47</v>
          </cell>
          <cell r="N132">
            <v>5</v>
          </cell>
          <cell r="O132">
            <v>0.38</v>
          </cell>
          <cell r="P132">
            <v>1.01</v>
          </cell>
          <cell r="Q132">
            <v>4.55</v>
          </cell>
        </row>
        <row r="133">
          <cell r="D133">
            <v>5.55</v>
          </cell>
        </row>
        <row r="134">
          <cell r="D134">
            <v>5.0999999999999996</v>
          </cell>
          <cell r="E134">
            <v>24.4</v>
          </cell>
          <cell r="F134">
            <v>9.74</v>
          </cell>
          <cell r="G134">
            <v>7.02</v>
          </cell>
          <cell r="I134">
            <v>59.21</v>
          </cell>
          <cell r="J134">
            <v>3.98</v>
          </cell>
          <cell r="K134">
            <v>3.52</v>
          </cell>
          <cell r="L134">
            <v>2.64</v>
          </cell>
          <cell r="M134">
            <v>0.47</v>
          </cell>
          <cell r="N134">
            <v>5.16</v>
          </cell>
          <cell r="O134">
            <v>0.38</v>
          </cell>
          <cell r="P134">
            <v>1.01</v>
          </cell>
          <cell r="Q134">
            <v>4.6500000000000004</v>
          </cell>
        </row>
        <row r="135">
          <cell r="D135">
            <v>5.2</v>
          </cell>
          <cell r="E135">
            <v>24.8</v>
          </cell>
          <cell r="F135">
            <v>9.86</v>
          </cell>
          <cell r="G135">
            <v>7.26</v>
          </cell>
          <cell r="I135">
            <v>61.4</v>
          </cell>
          <cell r="J135">
            <v>4.05</v>
          </cell>
          <cell r="K135">
            <v>3.59</v>
          </cell>
          <cell r="L135">
            <v>2.64</v>
          </cell>
          <cell r="M135">
            <v>0.47</v>
          </cell>
          <cell r="N135">
            <v>5.31</v>
          </cell>
          <cell r="O135">
            <v>0.38</v>
          </cell>
          <cell r="P135">
            <v>1.01</v>
          </cell>
          <cell r="Q135">
            <v>4.75</v>
          </cell>
        </row>
        <row r="136">
          <cell r="D136">
            <v>5.3</v>
          </cell>
          <cell r="E136">
            <v>25.2</v>
          </cell>
          <cell r="F136">
            <v>9.98</v>
          </cell>
          <cell r="G136">
            <v>7.51</v>
          </cell>
          <cell r="I136">
            <v>63.62</v>
          </cell>
          <cell r="J136">
            <v>4.12</v>
          </cell>
          <cell r="K136">
            <v>3.66</v>
          </cell>
          <cell r="L136">
            <v>2.64</v>
          </cell>
          <cell r="M136">
            <v>0.47</v>
          </cell>
          <cell r="N136">
            <v>5.47</v>
          </cell>
          <cell r="O136">
            <v>0.38</v>
          </cell>
          <cell r="P136">
            <v>1.01</v>
          </cell>
          <cell r="Q136">
            <v>4.8499999999999996</v>
          </cell>
        </row>
        <row r="137">
          <cell r="D137">
            <v>5.4</v>
          </cell>
          <cell r="E137">
            <v>25.6</v>
          </cell>
          <cell r="F137">
            <v>10.1</v>
          </cell>
          <cell r="G137">
            <v>7.75</v>
          </cell>
          <cell r="I137">
            <v>65.89</v>
          </cell>
          <cell r="J137">
            <v>4.1900000000000004</v>
          </cell>
          <cell r="K137">
            <v>3.72</v>
          </cell>
          <cell r="L137">
            <v>2.64</v>
          </cell>
          <cell r="M137">
            <v>0.47</v>
          </cell>
          <cell r="N137">
            <v>5.63</v>
          </cell>
          <cell r="O137">
            <v>0.38</v>
          </cell>
          <cell r="P137">
            <v>1.01</v>
          </cell>
          <cell r="Q137">
            <v>4.95</v>
          </cell>
        </row>
        <row r="138">
          <cell r="D138">
            <v>5.5</v>
          </cell>
          <cell r="E138">
            <v>26</v>
          </cell>
          <cell r="F138">
            <v>10.220000000000001</v>
          </cell>
          <cell r="G138">
            <v>8</v>
          </cell>
          <cell r="I138">
            <v>68.2</v>
          </cell>
          <cell r="J138">
            <v>4.25</v>
          </cell>
          <cell r="K138">
            <v>3.79</v>
          </cell>
          <cell r="L138">
            <v>2.64</v>
          </cell>
          <cell r="M138">
            <v>0.47</v>
          </cell>
          <cell r="N138">
            <v>5.79</v>
          </cell>
          <cell r="O138">
            <v>0.38</v>
          </cell>
          <cell r="P138">
            <v>1.01</v>
          </cell>
          <cell r="Q138">
            <v>5.05</v>
          </cell>
        </row>
        <row r="139">
          <cell r="D139">
            <v>5.55</v>
          </cell>
        </row>
        <row r="140">
          <cell r="D140">
            <v>5.6</v>
          </cell>
          <cell r="E140">
            <v>26.4</v>
          </cell>
          <cell r="F140">
            <v>10.34</v>
          </cell>
          <cell r="G140">
            <v>8.25</v>
          </cell>
          <cell r="I140">
            <v>70.55</v>
          </cell>
          <cell r="J140">
            <v>4.32</v>
          </cell>
          <cell r="K140">
            <v>3.86</v>
          </cell>
          <cell r="L140">
            <v>2.64</v>
          </cell>
          <cell r="M140">
            <v>0.47</v>
          </cell>
          <cell r="N140">
            <v>5.94</v>
          </cell>
          <cell r="O140">
            <v>0.38</v>
          </cell>
          <cell r="P140">
            <v>1.01</v>
          </cell>
          <cell r="Q140">
            <v>5.15</v>
          </cell>
        </row>
        <row r="141">
          <cell r="D141">
            <v>5.7</v>
          </cell>
          <cell r="E141">
            <v>26.8</v>
          </cell>
          <cell r="F141">
            <v>10.46</v>
          </cell>
          <cell r="G141">
            <v>8.51</v>
          </cell>
          <cell r="I141">
            <v>72.95</v>
          </cell>
          <cell r="J141">
            <v>4.38</v>
          </cell>
          <cell r="K141">
            <v>3.92</v>
          </cell>
          <cell r="L141">
            <v>2.64</v>
          </cell>
          <cell r="M141">
            <v>0.47</v>
          </cell>
          <cell r="N141">
            <v>6.1</v>
          </cell>
          <cell r="O141">
            <v>0.38</v>
          </cell>
          <cell r="P141">
            <v>1.01</v>
          </cell>
          <cell r="Q141">
            <v>5.25</v>
          </cell>
        </row>
        <row r="142">
          <cell r="D142">
            <v>5.8</v>
          </cell>
          <cell r="E142">
            <v>27.2</v>
          </cell>
          <cell r="F142">
            <v>10.58</v>
          </cell>
          <cell r="G142">
            <v>8.76</v>
          </cell>
          <cell r="I142">
            <v>75.37</v>
          </cell>
          <cell r="J142">
            <v>4.45</v>
          </cell>
          <cell r="K142">
            <v>3.99</v>
          </cell>
          <cell r="L142">
            <v>2.64</v>
          </cell>
          <cell r="M142">
            <v>0.47</v>
          </cell>
          <cell r="N142">
            <v>6.26</v>
          </cell>
          <cell r="O142">
            <v>0.38</v>
          </cell>
          <cell r="P142">
            <v>1.01</v>
          </cell>
          <cell r="Q142">
            <v>5.35</v>
          </cell>
        </row>
        <row r="143">
          <cell r="D143">
            <v>5.9</v>
          </cell>
          <cell r="E143">
            <v>27.6</v>
          </cell>
          <cell r="F143">
            <v>10.7</v>
          </cell>
          <cell r="G143">
            <v>9.02</v>
          </cell>
          <cell r="I143">
            <v>77.83</v>
          </cell>
          <cell r="J143">
            <v>4.5199999999999996</v>
          </cell>
          <cell r="K143">
            <v>4.0599999999999996</v>
          </cell>
          <cell r="L143">
            <v>2.64</v>
          </cell>
          <cell r="M143">
            <v>0.47</v>
          </cell>
          <cell r="N143">
            <v>6.42</v>
          </cell>
          <cell r="O143">
            <v>0.38</v>
          </cell>
          <cell r="P143">
            <v>1.01</v>
          </cell>
          <cell r="Q143">
            <v>5.45</v>
          </cell>
        </row>
        <row r="144">
          <cell r="D144">
            <v>6</v>
          </cell>
          <cell r="E144">
            <v>28</v>
          </cell>
          <cell r="F144">
            <v>10.82</v>
          </cell>
          <cell r="G144">
            <v>9.2799999999999994</v>
          </cell>
          <cell r="I144">
            <v>80.34</v>
          </cell>
          <cell r="J144">
            <v>4.59</v>
          </cell>
          <cell r="K144">
            <v>4.13</v>
          </cell>
          <cell r="L144">
            <v>2.64</v>
          </cell>
          <cell r="M144">
            <v>0.47</v>
          </cell>
          <cell r="N144">
            <v>6.57</v>
          </cell>
          <cell r="O144">
            <v>0.38</v>
          </cell>
          <cell r="P144">
            <v>1.01</v>
          </cell>
          <cell r="Q144">
            <v>5.55</v>
          </cell>
        </row>
        <row r="145">
          <cell r="D145">
            <v>6.05</v>
          </cell>
        </row>
        <row r="146">
          <cell r="D146">
            <v>6.1</v>
          </cell>
          <cell r="E146">
            <v>28.4</v>
          </cell>
          <cell r="F146">
            <v>10.94</v>
          </cell>
          <cell r="G146">
            <v>9.5500000000000007</v>
          </cell>
          <cell r="I146">
            <v>82.9</v>
          </cell>
          <cell r="J146">
            <v>4.6500000000000004</v>
          </cell>
          <cell r="K146">
            <v>4.1900000000000004</v>
          </cell>
          <cell r="L146">
            <v>2.64</v>
          </cell>
          <cell r="M146">
            <v>0.47</v>
          </cell>
          <cell r="N146">
            <v>6.73</v>
          </cell>
          <cell r="O146">
            <v>0.38</v>
          </cell>
          <cell r="P146">
            <v>1.01</v>
          </cell>
          <cell r="Q146">
            <v>5.65</v>
          </cell>
        </row>
        <row r="147">
          <cell r="D147">
            <v>6.2</v>
          </cell>
          <cell r="E147">
            <v>28.8</v>
          </cell>
          <cell r="F147">
            <v>11.06</v>
          </cell>
          <cell r="G147">
            <v>9.81</v>
          </cell>
          <cell r="I147">
            <v>85.48</v>
          </cell>
          <cell r="J147">
            <v>4.72</v>
          </cell>
          <cell r="K147">
            <v>4.26</v>
          </cell>
          <cell r="L147">
            <v>2.64</v>
          </cell>
          <cell r="M147">
            <v>0.47</v>
          </cell>
          <cell r="N147">
            <v>6.89</v>
          </cell>
          <cell r="O147">
            <v>0.38</v>
          </cell>
          <cell r="P147">
            <v>1.01</v>
          </cell>
          <cell r="Q147">
            <v>5.75</v>
          </cell>
        </row>
        <row r="148">
          <cell r="D148">
            <v>6.3</v>
          </cell>
          <cell r="E148">
            <v>29.2</v>
          </cell>
          <cell r="F148">
            <v>11.18</v>
          </cell>
          <cell r="G148">
            <v>10.08</v>
          </cell>
          <cell r="I148">
            <v>88.1</v>
          </cell>
          <cell r="J148">
            <v>4.79</v>
          </cell>
          <cell r="K148">
            <v>4.33</v>
          </cell>
          <cell r="L148">
            <v>2.64</v>
          </cell>
          <cell r="M148">
            <v>0.47</v>
          </cell>
          <cell r="N148">
            <v>7.05</v>
          </cell>
          <cell r="O148">
            <v>0.38</v>
          </cell>
          <cell r="P148">
            <v>1.01</v>
          </cell>
          <cell r="Q148">
            <v>5.85</v>
          </cell>
        </row>
        <row r="149">
          <cell r="D149">
            <v>6.4</v>
          </cell>
          <cell r="E149">
            <v>29.6</v>
          </cell>
          <cell r="F149">
            <v>11.3</v>
          </cell>
          <cell r="G149">
            <v>10.35</v>
          </cell>
          <cell r="I149">
            <v>90.79</v>
          </cell>
          <cell r="J149">
            <v>4.8499999999999996</v>
          </cell>
          <cell r="K149">
            <v>4.3899999999999997</v>
          </cell>
          <cell r="L149">
            <v>2.64</v>
          </cell>
          <cell r="M149">
            <v>0.47</v>
          </cell>
          <cell r="N149">
            <v>7.2</v>
          </cell>
          <cell r="O149">
            <v>0.38</v>
          </cell>
          <cell r="P149">
            <v>1.01</v>
          </cell>
          <cell r="Q149">
            <v>5.95</v>
          </cell>
        </row>
        <row r="150">
          <cell r="D150">
            <v>6.5</v>
          </cell>
          <cell r="E150">
            <v>30</v>
          </cell>
          <cell r="F150">
            <v>11.42</v>
          </cell>
          <cell r="G150">
            <v>1.63</v>
          </cell>
          <cell r="I150">
            <v>93.5</v>
          </cell>
          <cell r="J150">
            <v>4.92</v>
          </cell>
          <cell r="K150">
            <v>4.46</v>
          </cell>
          <cell r="L150">
            <v>2.64</v>
          </cell>
          <cell r="M150">
            <v>0.47</v>
          </cell>
          <cell r="N150">
            <v>7.36</v>
          </cell>
          <cell r="O150">
            <v>0.38</v>
          </cell>
          <cell r="P150">
            <v>1.01</v>
          </cell>
          <cell r="Q150">
            <v>6.05</v>
          </cell>
        </row>
        <row r="151">
          <cell r="D151">
            <v>6.55</v>
          </cell>
        </row>
        <row r="152">
          <cell r="D152">
            <v>6.6</v>
          </cell>
          <cell r="E152">
            <v>30.4</v>
          </cell>
          <cell r="F152">
            <v>11.54</v>
          </cell>
          <cell r="G152">
            <v>10.9</v>
          </cell>
          <cell r="I152">
            <v>96.23</v>
          </cell>
          <cell r="J152">
            <v>4.99</v>
          </cell>
          <cell r="K152">
            <v>4.53</v>
          </cell>
          <cell r="L152">
            <v>2.64</v>
          </cell>
          <cell r="M152">
            <v>0.47</v>
          </cell>
          <cell r="N152">
            <v>7.52</v>
          </cell>
          <cell r="O152">
            <v>0.38</v>
          </cell>
          <cell r="P152">
            <v>1.01</v>
          </cell>
          <cell r="Q152">
            <v>6.15</v>
          </cell>
        </row>
        <row r="153">
          <cell r="D153">
            <v>6.7</v>
          </cell>
          <cell r="E153">
            <v>30.8</v>
          </cell>
          <cell r="F153">
            <v>11.66</v>
          </cell>
          <cell r="G153">
            <v>11.18</v>
          </cell>
          <cell r="I153">
            <v>99.01</v>
          </cell>
          <cell r="J153">
            <v>5.0599999999999996</v>
          </cell>
          <cell r="K153">
            <v>4.5999999999999996</v>
          </cell>
          <cell r="L153">
            <v>2.64</v>
          </cell>
          <cell r="M153">
            <v>0.47</v>
          </cell>
          <cell r="N153">
            <v>7.68</v>
          </cell>
          <cell r="O153">
            <v>0.38</v>
          </cell>
          <cell r="P153">
            <v>1.01</v>
          </cell>
          <cell r="Q153">
            <v>6.25</v>
          </cell>
        </row>
        <row r="154">
          <cell r="D154">
            <v>6.8</v>
          </cell>
          <cell r="E154">
            <v>31.2</v>
          </cell>
          <cell r="F154">
            <v>11.78</v>
          </cell>
          <cell r="G154">
            <v>11.46</v>
          </cell>
          <cell r="I154">
            <v>101.86</v>
          </cell>
          <cell r="J154">
            <v>5.12</v>
          </cell>
          <cell r="K154">
            <v>4.66</v>
          </cell>
          <cell r="L154">
            <v>2.64</v>
          </cell>
          <cell r="M154">
            <v>0.47</v>
          </cell>
          <cell r="N154">
            <v>7.83</v>
          </cell>
          <cell r="O154">
            <v>0.38</v>
          </cell>
          <cell r="P154">
            <v>1.01</v>
          </cell>
          <cell r="Q154">
            <v>6.35</v>
          </cell>
        </row>
        <row r="155">
          <cell r="D155">
            <v>6.9</v>
          </cell>
          <cell r="E155">
            <v>31.6</v>
          </cell>
          <cell r="F155">
            <v>11.9</v>
          </cell>
          <cell r="G155">
            <v>11.75</v>
          </cell>
          <cell r="I155">
            <v>104.72</v>
          </cell>
          <cell r="J155">
            <v>5.19</v>
          </cell>
          <cell r="K155">
            <v>4.7300000000000004</v>
          </cell>
          <cell r="L155">
            <v>2.64</v>
          </cell>
          <cell r="M155">
            <v>0.47</v>
          </cell>
          <cell r="N155">
            <v>7.99</v>
          </cell>
          <cell r="O155">
            <v>0.38</v>
          </cell>
          <cell r="P155">
            <v>1.01</v>
          </cell>
          <cell r="Q155">
            <v>6.45</v>
          </cell>
        </row>
        <row r="156">
          <cell r="D156">
            <v>7</v>
          </cell>
          <cell r="E156">
            <v>32</v>
          </cell>
          <cell r="F156">
            <v>12.02</v>
          </cell>
          <cell r="G156">
            <v>12.03</v>
          </cell>
          <cell r="I156">
            <v>107.62</v>
          </cell>
          <cell r="J156">
            <v>5.26</v>
          </cell>
          <cell r="K156">
            <v>4.8</v>
          </cell>
          <cell r="L156">
            <v>2.64</v>
          </cell>
          <cell r="M156">
            <v>0.47</v>
          </cell>
          <cell r="N156">
            <v>8.15</v>
          </cell>
          <cell r="O156">
            <v>0.38</v>
          </cell>
          <cell r="P156">
            <v>1.01</v>
          </cell>
          <cell r="Q156">
            <v>6.55</v>
          </cell>
        </row>
        <row r="157">
          <cell r="D157">
            <v>7.05</v>
          </cell>
        </row>
        <row r="158">
          <cell r="D158">
            <v>7.1</v>
          </cell>
          <cell r="E158">
            <v>32.4</v>
          </cell>
          <cell r="F158">
            <v>12.14</v>
          </cell>
          <cell r="G158">
            <v>12.32</v>
          </cell>
          <cell r="I158">
            <v>110.58</v>
          </cell>
          <cell r="J158">
            <v>5.32</v>
          </cell>
          <cell r="K158">
            <v>4.8600000000000003</v>
          </cell>
          <cell r="L158">
            <v>2.64</v>
          </cell>
          <cell r="M158">
            <v>0.47</v>
          </cell>
          <cell r="N158">
            <v>8.31</v>
          </cell>
          <cell r="O158">
            <v>0.38</v>
          </cell>
          <cell r="P158">
            <v>1.01</v>
          </cell>
          <cell r="Q158">
            <v>6.65</v>
          </cell>
        </row>
        <row r="159">
          <cell r="D159">
            <v>7.2</v>
          </cell>
          <cell r="E159">
            <v>32.799999999999997</v>
          </cell>
          <cell r="F159">
            <v>12.26</v>
          </cell>
          <cell r="G159">
            <v>12.61</v>
          </cell>
          <cell r="I159">
            <v>113.57</v>
          </cell>
          <cell r="J159">
            <v>5.39</v>
          </cell>
          <cell r="K159">
            <v>4.93</v>
          </cell>
          <cell r="L159">
            <v>2.64</v>
          </cell>
          <cell r="M159">
            <v>0.47</v>
          </cell>
          <cell r="N159">
            <v>8.4600000000000009</v>
          </cell>
          <cell r="O159">
            <v>0.38</v>
          </cell>
          <cell r="P159">
            <v>1.01</v>
          </cell>
          <cell r="Q159">
            <v>6.75</v>
          </cell>
        </row>
        <row r="160">
          <cell r="D160">
            <v>7.3</v>
          </cell>
          <cell r="E160">
            <v>33.200000000000003</v>
          </cell>
          <cell r="F160">
            <v>12.38</v>
          </cell>
          <cell r="G160">
            <v>12.91</v>
          </cell>
          <cell r="I160">
            <v>116.59</v>
          </cell>
          <cell r="J160">
            <v>5.46</v>
          </cell>
          <cell r="K160">
            <v>5</v>
          </cell>
          <cell r="L160">
            <v>2.64</v>
          </cell>
          <cell r="M160">
            <v>0.47</v>
          </cell>
          <cell r="N160">
            <v>8.6199999999999992</v>
          </cell>
          <cell r="O160">
            <v>0.38</v>
          </cell>
          <cell r="P160">
            <v>1.01</v>
          </cell>
          <cell r="Q160">
            <v>6.85</v>
          </cell>
        </row>
        <row r="161">
          <cell r="D161">
            <v>7.4</v>
          </cell>
          <cell r="E161">
            <v>33.6</v>
          </cell>
          <cell r="F161">
            <v>12.5</v>
          </cell>
          <cell r="G161">
            <v>13.2</v>
          </cell>
          <cell r="I161">
            <v>119.65</v>
          </cell>
          <cell r="J161">
            <v>5.53</v>
          </cell>
          <cell r="K161">
            <v>5.07</v>
          </cell>
          <cell r="L161">
            <v>2.64</v>
          </cell>
          <cell r="M161">
            <v>0.47</v>
          </cell>
          <cell r="N161">
            <v>8.7799999999999994</v>
          </cell>
          <cell r="O161">
            <v>0.38</v>
          </cell>
          <cell r="P161">
            <v>1.01</v>
          </cell>
          <cell r="Q161">
            <v>6.95</v>
          </cell>
        </row>
        <row r="162">
          <cell r="D162">
            <v>7.5</v>
          </cell>
          <cell r="E162">
            <v>34</v>
          </cell>
          <cell r="F162">
            <v>12.62</v>
          </cell>
          <cell r="G162">
            <v>13.5</v>
          </cell>
          <cell r="H162">
            <v>34.97</v>
          </cell>
          <cell r="I162">
            <v>82.87</v>
          </cell>
          <cell r="J162">
            <v>5.59</v>
          </cell>
          <cell r="K162">
            <v>5.13</v>
          </cell>
          <cell r="L162">
            <v>2.64</v>
          </cell>
          <cell r="M162">
            <v>0.47</v>
          </cell>
          <cell r="N162">
            <v>13.82</v>
          </cell>
          <cell r="O162">
            <v>0.38</v>
          </cell>
          <cell r="P162">
            <v>1.01</v>
          </cell>
          <cell r="Q162">
            <v>7.05</v>
          </cell>
        </row>
        <row r="163">
          <cell r="D163">
            <v>7.55</v>
          </cell>
        </row>
        <row r="164">
          <cell r="D164">
            <v>7.6</v>
          </cell>
          <cell r="E164">
            <v>34.4</v>
          </cell>
          <cell r="F164">
            <v>12.74</v>
          </cell>
          <cell r="G164">
            <v>13.8</v>
          </cell>
          <cell r="H164">
            <v>35.840000000000003</v>
          </cell>
          <cell r="I164">
            <v>85.07</v>
          </cell>
          <cell r="J164">
            <v>5.66</v>
          </cell>
          <cell r="K164">
            <v>5.2</v>
          </cell>
          <cell r="L164">
            <v>2.64</v>
          </cell>
          <cell r="M164">
            <v>0.47</v>
          </cell>
          <cell r="N164">
            <v>14.1</v>
          </cell>
          <cell r="O164">
            <v>0.38</v>
          </cell>
          <cell r="P164">
            <v>1.01</v>
          </cell>
          <cell r="Q164">
            <v>7.15</v>
          </cell>
        </row>
        <row r="165">
          <cell r="D165">
            <v>7.7</v>
          </cell>
          <cell r="E165">
            <v>34.799999999999997</v>
          </cell>
          <cell r="F165">
            <v>12.86</v>
          </cell>
          <cell r="G165">
            <v>14.11</v>
          </cell>
          <cell r="H165">
            <v>36.729999999999997</v>
          </cell>
          <cell r="I165">
            <v>87.28</v>
          </cell>
          <cell r="J165">
            <v>5.73</v>
          </cell>
          <cell r="K165">
            <v>5.27</v>
          </cell>
          <cell r="L165">
            <v>2.64</v>
          </cell>
          <cell r="M165">
            <v>0.47</v>
          </cell>
          <cell r="N165">
            <v>14.34</v>
          </cell>
          <cell r="O165">
            <v>0.38</v>
          </cell>
          <cell r="P165">
            <v>1.01</v>
          </cell>
          <cell r="Q165">
            <v>7.25</v>
          </cell>
        </row>
        <row r="166">
          <cell r="D166">
            <v>7.8</v>
          </cell>
          <cell r="E166">
            <v>35.200000000000003</v>
          </cell>
          <cell r="F166">
            <v>12.98</v>
          </cell>
          <cell r="G166">
            <v>14.41</v>
          </cell>
          <cell r="H166">
            <v>37.619999999999997</v>
          </cell>
          <cell r="I166">
            <v>89.56</v>
          </cell>
          <cell r="J166">
            <v>5.79</v>
          </cell>
          <cell r="K166">
            <v>5.33</v>
          </cell>
          <cell r="L166">
            <v>2.64</v>
          </cell>
          <cell r="M166">
            <v>0.47</v>
          </cell>
          <cell r="N166">
            <v>14.57</v>
          </cell>
          <cell r="O166">
            <v>0.38</v>
          </cell>
          <cell r="P166">
            <v>1.01</v>
          </cell>
          <cell r="Q166">
            <v>7.35</v>
          </cell>
        </row>
        <row r="167">
          <cell r="D167">
            <v>7.9</v>
          </cell>
          <cell r="E167">
            <v>35.6</v>
          </cell>
          <cell r="F167">
            <v>13.1</v>
          </cell>
          <cell r="G167">
            <v>14.72</v>
          </cell>
          <cell r="H167">
            <v>38.53</v>
          </cell>
          <cell r="I167">
            <v>91.83</v>
          </cell>
          <cell r="J167">
            <v>5.86</v>
          </cell>
          <cell r="K167">
            <v>5.4</v>
          </cell>
          <cell r="L167">
            <v>2.64</v>
          </cell>
          <cell r="M167">
            <v>0.47</v>
          </cell>
          <cell r="N167">
            <v>14.81</v>
          </cell>
          <cell r="O167">
            <v>0.38</v>
          </cell>
          <cell r="P167">
            <v>1.01</v>
          </cell>
          <cell r="Q167">
            <v>7.45</v>
          </cell>
        </row>
        <row r="168">
          <cell r="D168">
            <v>8</v>
          </cell>
          <cell r="E168">
            <v>36</v>
          </cell>
          <cell r="F168">
            <v>13.22</v>
          </cell>
          <cell r="G168">
            <v>15.03</v>
          </cell>
          <cell r="H168">
            <v>39.44</v>
          </cell>
          <cell r="I168">
            <v>94.15</v>
          </cell>
          <cell r="J168">
            <v>5.93</v>
          </cell>
          <cell r="K168">
            <v>5.47</v>
          </cell>
          <cell r="L168">
            <v>2.64</v>
          </cell>
          <cell r="M168">
            <v>0.47</v>
          </cell>
          <cell r="N168">
            <v>15.04</v>
          </cell>
          <cell r="O168">
            <v>0.38</v>
          </cell>
          <cell r="P168">
            <v>1.01</v>
          </cell>
          <cell r="Q168">
            <v>7.55</v>
          </cell>
        </row>
        <row r="169">
          <cell r="D169">
            <v>8.0500000000000007</v>
          </cell>
        </row>
        <row r="170">
          <cell r="D170">
            <v>8.1</v>
          </cell>
          <cell r="E170">
            <v>36.4</v>
          </cell>
          <cell r="F170">
            <v>13.34</v>
          </cell>
          <cell r="G170">
            <v>15.35</v>
          </cell>
          <cell r="H170">
            <v>40.369999999999997</v>
          </cell>
          <cell r="I170">
            <v>96.48</v>
          </cell>
          <cell r="J170">
            <v>6</v>
          </cell>
          <cell r="K170">
            <v>5.54</v>
          </cell>
          <cell r="L170">
            <v>2.64</v>
          </cell>
          <cell r="M170">
            <v>0.47</v>
          </cell>
          <cell r="N170">
            <v>15.28</v>
          </cell>
          <cell r="O170">
            <v>0.38</v>
          </cell>
          <cell r="P170">
            <v>1.01</v>
          </cell>
          <cell r="Q170">
            <v>7.65</v>
          </cell>
        </row>
        <row r="171">
          <cell r="D171">
            <v>8.1999999999999993</v>
          </cell>
          <cell r="E171">
            <v>36.799999999999997</v>
          </cell>
          <cell r="F171">
            <v>13.46</v>
          </cell>
          <cell r="G171">
            <v>15.66</v>
          </cell>
          <cell r="H171">
            <v>41.3</v>
          </cell>
          <cell r="I171">
            <v>98.88</v>
          </cell>
          <cell r="J171">
            <v>6.06</v>
          </cell>
          <cell r="K171">
            <v>5.6</v>
          </cell>
          <cell r="L171">
            <v>2.64</v>
          </cell>
          <cell r="M171">
            <v>0.47</v>
          </cell>
          <cell r="N171">
            <v>15.51</v>
          </cell>
          <cell r="O171">
            <v>0.38</v>
          </cell>
          <cell r="P171">
            <v>1.01</v>
          </cell>
          <cell r="Q171">
            <v>7.75</v>
          </cell>
        </row>
        <row r="172">
          <cell r="D172">
            <v>8.3000000000000007</v>
          </cell>
          <cell r="E172">
            <v>37.200000000000003</v>
          </cell>
          <cell r="F172">
            <v>13.58</v>
          </cell>
          <cell r="G172">
            <v>15.98</v>
          </cell>
          <cell r="H172">
            <v>42.25</v>
          </cell>
          <cell r="I172">
            <v>101.27</v>
          </cell>
          <cell r="J172">
            <v>6.13</v>
          </cell>
          <cell r="K172">
            <v>5.67</v>
          </cell>
          <cell r="L172">
            <v>2.64</v>
          </cell>
          <cell r="M172">
            <v>0.47</v>
          </cell>
          <cell r="N172">
            <v>15.75</v>
          </cell>
          <cell r="O172">
            <v>0.38</v>
          </cell>
          <cell r="P172">
            <v>1.01</v>
          </cell>
          <cell r="Q172">
            <v>7.85</v>
          </cell>
        </row>
        <row r="173">
          <cell r="D173">
            <v>8.4</v>
          </cell>
          <cell r="E173">
            <v>37.6</v>
          </cell>
          <cell r="F173">
            <v>13.7</v>
          </cell>
          <cell r="G173">
            <v>16.3</v>
          </cell>
          <cell r="H173">
            <v>43.2</v>
          </cell>
          <cell r="I173">
            <v>103.71</v>
          </cell>
          <cell r="J173">
            <v>6.2</v>
          </cell>
          <cell r="K173">
            <v>5.74</v>
          </cell>
          <cell r="L173">
            <v>2.64</v>
          </cell>
          <cell r="M173">
            <v>0.47</v>
          </cell>
          <cell r="N173">
            <v>15.98</v>
          </cell>
          <cell r="O173">
            <v>0.38</v>
          </cell>
          <cell r="P173">
            <v>1.01</v>
          </cell>
          <cell r="Q173">
            <v>7.95</v>
          </cell>
        </row>
        <row r="174">
          <cell r="D174">
            <v>8.5</v>
          </cell>
          <cell r="E174">
            <v>38</v>
          </cell>
          <cell r="F174">
            <v>13.82</v>
          </cell>
          <cell r="G174">
            <v>16.63</v>
          </cell>
          <cell r="H174">
            <v>44.17</v>
          </cell>
          <cell r="I174">
            <v>106.18</v>
          </cell>
          <cell r="J174">
            <v>6.26</v>
          </cell>
          <cell r="K174">
            <v>5.8</v>
          </cell>
          <cell r="L174">
            <v>2.64</v>
          </cell>
          <cell r="M174">
            <v>0.47</v>
          </cell>
          <cell r="N174">
            <v>16.22</v>
          </cell>
          <cell r="O174">
            <v>0.38</v>
          </cell>
          <cell r="P174">
            <v>1.01</v>
          </cell>
          <cell r="Q174">
            <v>8.0500000000000007</v>
          </cell>
        </row>
        <row r="175">
          <cell r="D175">
            <v>8.6</v>
          </cell>
          <cell r="E175">
            <v>38.4</v>
          </cell>
          <cell r="F175">
            <v>13.94</v>
          </cell>
          <cell r="G175">
            <v>16.95</v>
          </cell>
          <cell r="H175">
            <v>45.15</v>
          </cell>
          <cell r="I175">
            <v>108.67</v>
          </cell>
          <cell r="J175">
            <v>6.33</v>
          </cell>
          <cell r="K175">
            <v>5.87</v>
          </cell>
          <cell r="L175">
            <v>2.64</v>
          </cell>
          <cell r="M175">
            <v>0.47</v>
          </cell>
          <cell r="N175">
            <v>16.45</v>
          </cell>
          <cell r="O175">
            <v>0.38</v>
          </cell>
          <cell r="P175">
            <v>1.01</v>
          </cell>
          <cell r="Q175">
            <v>8.15</v>
          </cell>
        </row>
        <row r="176">
          <cell r="D176">
            <v>8.6999999999999993</v>
          </cell>
          <cell r="E176">
            <v>38.799999999999997</v>
          </cell>
          <cell r="F176">
            <v>14.06</v>
          </cell>
          <cell r="G176">
            <v>17.25</v>
          </cell>
          <cell r="H176">
            <v>46.13</v>
          </cell>
          <cell r="I176">
            <v>111.19</v>
          </cell>
          <cell r="J176">
            <v>6.4</v>
          </cell>
          <cell r="K176">
            <v>5.94</v>
          </cell>
          <cell r="L176">
            <v>2.64</v>
          </cell>
          <cell r="M176">
            <v>0.47</v>
          </cell>
          <cell r="N176">
            <v>16.690000000000001</v>
          </cell>
          <cell r="O176">
            <v>0.38</v>
          </cell>
          <cell r="P176">
            <v>1.01</v>
          </cell>
          <cell r="Q176">
            <v>8.25</v>
          </cell>
        </row>
        <row r="177">
          <cell r="D177">
            <v>8.8000000000000007</v>
          </cell>
          <cell r="E177">
            <v>39.200000000000003</v>
          </cell>
          <cell r="F177">
            <v>14.18</v>
          </cell>
          <cell r="G177">
            <v>17.61</v>
          </cell>
          <cell r="H177">
            <v>47.12</v>
          </cell>
          <cell r="I177">
            <v>113.69</v>
          </cell>
          <cell r="J177">
            <v>6.46</v>
          </cell>
          <cell r="K177">
            <v>6</v>
          </cell>
          <cell r="L177">
            <v>2.64</v>
          </cell>
          <cell r="M177">
            <v>0.47</v>
          </cell>
          <cell r="N177">
            <v>16.920000000000002</v>
          </cell>
          <cell r="O177">
            <v>0.38</v>
          </cell>
          <cell r="P177">
            <v>1.01</v>
          </cell>
          <cell r="Q177">
            <v>8.35</v>
          </cell>
        </row>
        <row r="178">
          <cell r="D178">
            <v>8.9</v>
          </cell>
          <cell r="E178">
            <v>39.6</v>
          </cell>
          <cell r="F178">
            <v>14.3</v>
          </cell>
          <cell r="G178">
            <v>17.95</v>
          </cell>
          <cell r="H178">
            <v>48.13</v>
          </cell>
          <cell r="I178">
            <v>116.34</v>
          </cell>
          <cell r="J178">
            <v>6.53</v>
          </cell>
          <cell r="K178">
            <v>6.07</v>
          </cell>
          <cell r="L178">
            <v>2.64</v>
          </cell>
          <cell r="M178">
            <v>0.47</v>
          </cell>
          <cell r="N178">
            <v>17.16</v>
          </cell>
          <cell r="O178">
            <v>0.38</v>
          </cell>
          <cell r="P178">
            <v>1.01</v>
          </cell>
          <cell r="Q178">
            <v>8.4499999999999993</v>
          </cell>
        </row>
        <row r="179">
          <cell r="D179">
            <v>9</v>
          </cell>
          <cell r="E179">
            <v>40</v>
          </cell>
          <cell r="F179">
            <v>14.42</v>
          </cell>
          <cell r="G179">
            <v>18.28</v>
          </cell>
          <cell r="H179">
            <v>49.14</v>
          </cell>
          <cell r="I179">
            <v>118.96</v>
          </cell>
          <cell r="J179">
            <v>6.6</v>
          </cell>
          <cell r="K179">
            <v>6.14</v>
          </cell>
          <cell r="L179">
            <v>2.64</v>
          </cell>
          <cell r="M179">
            <v>0.47</v>
          </cell>
          <cell r="N179">
            <v>17.39</v>
          </cell>
          <cell r="O179">
            <v>0.38</v>
          </cell>
          <cell r="P179">
            <v>1.01</v>
          </cell>
          <cell r="Q179">
            <v>8.5500000000000007</v>
          </cell>
        </row>
        <row r="180">
          <cell r="D180">
            <v>9.0500000000000007</v>
          </cell>
        </row>
        <row r="181">
          <cell r="D181">
            <v>9.1</v>
          </cell>
          <cell r="E181">
            <v>40.4</v>
          </cell>
          <cell r="F181">
            <v>14.54</v>
          </cell>
          <cell r="G181">
            <v>18.62</v>
          </cell>
          <cell r="H181">
            <v>50.17</v>
          </cell>
          <cell r="I181">
            <v>121.59</v>
          </cell>
          <cell r="J181">
            <v>6.67</v>
          </cell>
          <cell r="K181">
            <v>6.21</v>
          </cell>
          <cell r="L181">
            <v>2.64</v>
          </cell>
          <cell r="M181">
            <v>0.47</v>
          </cell>
          <cell r="N181">
            <v>17.63</v>
          </cell>
          <cell r="O181">
            <v>0.38</v>
          </cell>
          <cell r="P181">
            <v>1.01</v>
          </cell>
          <cell r="Q181">
            <v>8.65</v>
          </cell>
        </row>
        <row r="182">
          <cell r="D182">
            <v>9.1999999999999993</v>
          </cell>
          <cell r="E182">
            <v>40.799999999999997</v>
          </cell>
          <cell r="F182">
            <v>14.66</v>
          </cell>
          <cell r="G182">
            <v>18.96</v>
          </cell>
          <cell r="H182">
            <v>51.2</v>
          </cell>
          <cell r="I182">
            <v>124.29</v>
          </cell>
          <cell r="J182">
            <v>6.73</v>
          </cell>
          <cell r="K182">
            <v>6.27</v>
          </cell>
          <cell r="L182">
            <v>2.64</v>
          </cell>
          <cell r="M182">
            <v>0.47</v>
          </cell>
          <cell r="N182">
            <v>17.86</v>
          </cell>
          <cell r="O182">
            <v>0.38</v>
          </cell>
          <cell r="P182">
            <v>1.01</v>
          </cell>
          <cell r="Q182">
            <v>8.75</v>
          </cell>
        </row>
        <row r="183">
          <cell r="D183">
            <v>9.3000000000000007</v>
          </cell>
          <cell r="E183">
            <v>41.2</v>
          </cell>
          <cell r="F183">
            <v>14.78</v>
          </cell>
          <cell r="G183">
            <v>19.309999999999999</v>
          </cell>
          <cell r="H183">
            <v>52.25</v>
          </cell>
          <cell r="I183">
            <v>126.98</v>
          </cell>
          <cell r="J183">
            <v>6.8</v>
          </cell>
          <cell r="K183">
            <v>6.34</v>
          </cell>
          <cell r="L183">
            <v>2.64</v>
          </cell>
          <cell r="M183">
            <v>0.47</v>
          </cell>
          <cell r="N183">
            <v>18.100000000000001</v>
          </cell>
          <cell r="O183">
            <v>0.38</v>
          </cell>
          <cell r="P183">
            <v>1.01</v>
          </cell>
          <cell r="Q183">
            <v>8.85</v>
          </cell>
        </row>
        <row r="184">
          <cell r="D184">
            <v>9.4</v>
          </cell>
          <cell r="E184">
            <v>41.6</v>
          </cell>
          <cell r="F184">
            <v>14.9</v>
          </cell>
          <cell r="G184">
            <v>19.649999999999999</v>
          </cell>
          <cell r="H184">
            <v>53.3</v>
          </cell>
          <cell r="I184">
            <v>129.72</v>
          </cell>
          <cell r="J184">
            <v>6.87</v>
          </cell>
          <cell r="K184">
            <v>6.41</v>
          </cell>
          <cell r="L184">
            <v>2.64</v>
          </cell>
          <cell r="M184">
            <v>0.47</v>
          </cell>
          <cell r="N184">
            <v>18.329999999999998</v>
          </cell>
          <cell r="O184">
            <v>0.38</v>
          </cell>
          <cell r="P184">
            <v>1.01</v>
          </cell>
          <cell r="Q184">
            <v>8.9499999999999993</v>
          </cell>
        </row>
        <row r="185">
          <cell r="D185">
            <v>9.5</v>
          </cell>
          <cell r="E185">
            <v>42</v>
          </cell>
          <cell r="F185">
            <v>15.02</v>
          </cell>
          <cell r="G185">
            <v>20</v>
          </cell>
          <cell r="H185">
            <v>54.37</v>
          </cell>
          <cell r="I185">
            <v>132.49</v>
          </cell>
          <cell r="J185">
            <v>6.93</v>
          </cell>
          <cell r="K185">
            <v>6.47</v>
          </cell>
          <cell r="L185">
            <v>2.64</v>
          </cell>
          <cell r="M185">
            <v>0.47</v>
          </cell>
          <cell r="N185">
            <v>18.57</v>
          </cell>
          <cell r="O185">
            <v>0.38</v>
          </cell>
          <cell r="P185">
            <v>1.01</v>
          </cell>
          <cell r="Q185">
            <v>9.0500000000000007</v>
          </cell>
        </row>
        <row r="186">
          <cell r="D186">
            <v>9.5500000000000007</v>
          </cell>
        </row>
        <row r="187">
          <cell r="D187">
            <v>9.6</v>
          </cell>
          <cell r="E187">
            <v>42.4</v>
          </cell>
          <cell r="F187">
            <v>15.14</v>
          </cell>
          <cell r="G187">
            <v>20.350000000000001</v>
          </cell>
          <cell r="H187">
            <v>55.44</v>
          </cell>
          <cell r="I187">
            <v>135.29</v>
          </cell>
          <cell r="J187">
            <v>7</v>
          </cell>
          <cell r="K187">
            <v>6.54</v>
          </cell>
          <cell r="L187">
            <v>2.64</v>
          </cell>
          <cell r="M187">
            <v>0.47</v>
          </cell>
          <cell r="N187">
            <v>18.8</v>
          </cell>
          <cell r="O187">
            <v>0.38</v>
          </cell>
          <cell r="P187">
            <v>1.01</v>
          </cell>
          <cell r="Q187">
            <v>9.15</v>
          </cell>
        </row>
        <row r="188">
          <cell r="D188">
            <v>9.6999999999999993</v>
          </cell>
          <cell r="E188">
            <v>42.8</v>
          </cell>
          <cell r="F188">
            <v>15.26</v>
          </cell>
          <cell r="G188">
            <v>20.71</v>
          </cell>
          <cell r="H188">
            <v>56.53</v>
          </cell>
          <cell r="I188">
            <v>138.1</v>
          </cell>
          <cell r="J188">
            <v>7.07</v>
          </cell>
          <cell r="K188">
            <v>6.61</v>
          </cell>
          <cell r="L188">
            <v>2.64</v>
          </cell>
          <cell r="M188">
            <v>0.47</v>
          </cell>
          <cell r="N188">
            <v>19.04</v>
          </cell>
          <cell r="O188">
            <v>0.38</v>
          </cell>
          <cell r="P188">
            <v>1.01</v>
          </cell>
          <cell r="Q188">
            <v>9.25</v>
          </cell>
        </row>
        <row r="189">
          <cell r="D189">
            <v>9.8000000000000007</v>
          </cell>
          <cell r="E189">
            <v>43.2</v>
          </cell>
          <cell r="F189">
            <v>15.38</v>
          </cell>
          <cell r="G189">
            <v>21.06</v>
          </cell>
          <cell r="H189">
            <v>57.62</v>
          </cell>
          <cell r="I189">
            <v>140.96</v>
          </cell>
          <cell r="J189">
            <v>7.14</v>
          </cell>
          <cell r="K189">
            <v>6.68</v>
          </cell>
          <cell r="L189">
            <v>2.64</v>
          </cell>
          <cell r="M189">
            <v>0.47</v>
          </cell>
          <cell r="N189">
            <v>19.27</v>
          </cell>
          <cell r="O189">
            <v>0.38</v>
          </cell>
          <cell r="P189">
            <v>1.01</v>
          </cell>
          <cell r="Q189">
            <v>9.35</v>
          </cell>
        </row>
        <row r="190">
          <cell r="D190">
            <v>9.9</v>
          </cell>
          <cell r="E190">
            <v>43.6</v>
          </cell>
          <cell r="F190">
            <v>15.5</v>
          </cell>
          <cell r="G190">
            <v>21.42</v>
          </cell>
          <cell r="H190">
            <v>58.73</v>
          </cell>
          <cell r="I190">
            <v>143.85</v>
          </cell>
          <cell r="J190">
            <v>7.2</v>
          </cell>
          <cell r="K190">
            <v>6.74</v>
          </cell>
          <cell r="L190">
            <v>2.64</v>
          </cell>
          <cell r="M190">
            <v>0.47</v>
          </cell>
          <cell r="N190">
            <v>19.510000000000002</v>
          </cell>
          <cell r="O190">
            <v>0.38</v>
          </cell>
          <cell r="P190">
            <v>1.01</v>
          </cell>
          <cell r="Q190">
            <v>9.4499999999999993</v>
          </cell>
        </row>
        <row r="191">
          <cell r="D191">
            <v>10</v>
          </cell>
          <cell r="E191">
            <v>44</v>
          </cell>
          <cell r="F191">
            <v>15.62</v>
          </cell>
          <cell r="G191">
            <v>21.78</v>
          </cell>
          <cell r="H191">
            <v>59.84</v>
          </cell>
          <cell r="I191">
            <v>146.77000000000001</v>
          </cell>
          <cell r="J191">
            <v>7.27</v>
          </cell>
          <cell r="K191">
            <v>9.81</v>
          </cell>
          <cell r="L191">
            <v>2.64</v>
          </cell>
          <cell r="M191">
            <v>0.47</v>
          </cell>
          <cell r="N191">
            <v>19.739999999999998</v>
          </cell>
          <cell r="O191">
            <v>0.38</v>
          </cell>
          <cell r="P191">
            <v>1.01</v>
          </cell>
          <cell r="Q191">
            <v>9.5500000000000007</v>
          </cell>
        </row>
        <row r="192">
          <cell r="D192">
            <v>10.050000000000001</v>
          </cell>
        </row>
        <row r="193">
          <cell r="D193">
            <v>10.1</v>
          </cell>
          <cell r="E193">
            <v>44.4</v>
          </cell>
          <cell r="F193">
            <v>15.74</v>
          </cell>
          <cell r="G193">
            <v>22.15</v>
          </cell>
          <cell r="H193">
            <v>60.97</v>
          </cell>
          <cell r="I193">
            <v>149.69999999999999</v>
          </cell>
          <cell r="J193">
            <v>7.34</v>
          </cell>
          <cell r="K193">
            <v>6.88</v>
          </cell>
          <cell r="L193">
            <v>2.64</v>
          </cell>
          <cell r="M193">
            <v>0.47</v>
          </cell>
          <cell r="N193">
            <v>19.98</v>
          </cell>
          <cell r="O193">
            <v>0.38</v>
          </cell>
          <cell r="P193">
            <v>1.01</v>
          </cell>
          <cell r="Q193">
            <v>9.65</v>
          </cell>
        </row>
        <row r="194">
          <cell r="D194">
            <v>10.199999999999999</v>
          </cell>
          <cell r="E194">
            <v>44.8</v>
          </cell>
          <cell r="F194">
            <v>15.86</v>
          </cell>
          <cell r="G194">
            <v>22.51</v>
          </cell>
          <cell r="H194">
            <v>62.1</v>
          </cell>
          <cell r="I194">
            <v>152.69999999999999</v>
          </cell>
          <cell r="J194">
            <v>7.4</v>
          </cell>
          <cell r="K194">
            <v>6.94</v>
          </cell>
          <cell r="L194">
            <v>2.64</v>
          </cell>
          <cell r="M194">
            <v>0.47</v>
          </cell>
          <cell r="N194">
            <v>20.21</v>
          </cell>
          <cell r="O194">
            <v>0.38</v>
          </cell>
          <cell r="P194">
            <v>1.01</v>
          </cell>
          <cell r="Q194">
            <v>9.75</v>
          </cell>
        </row>
        <row r="195">
          <cell r="D195">
            <v>10.3</v>
          </cell>
          <cell r="E195">
            <v>45.2</v>
          </cell>
          <cell r="F195">
            <v>15.98</v>
          </cell>
          <cell r="G195">
            <v>22.88</v>
          </cell>
          <cell r="H195">
            <v>63.25</v>
          </cell>
          <cell r="I195">
            <v>155.69</v>
          </cell>
          <cell r="J195">
            <v>7.47</v>
          </cell>
          <cell r="K195">
            <v>7.01</v>
          </cell>
          <cell r="L195">
            <v>2.64</v>
          </cell>
          <cell r="M195">
            <v>0.47</v>
          </cell>
          <cell r="N195">
            <v>20.45</v>
          </cell>
          <cell r="O195">
            <v>0.38</v>
          </cell>
          <cell r="P195">
            <v>1.01</v>
          </cell>
          <cell r="Q195">
            <v>9.85</v>
          </cell>
        </row>
        <row r="196">
          <cell r="D196">
            <v>10.4</v>
          </cell>
          <cell r="E196">
            <v>45.6</v>
          </cell>
          <cell r="F196">
            <v>16.100000000000001</v>
          </cell>
          <cell r="G196">
            <v>23.25</v>
          </cell>
          <cell r="H196">
            <v>64.400000000000006</v>
          </cell>
          <cell r="I196">
            <v>158.72999999999999</v>
          </cell>
          <cell r="J196">
            <v>7.54</v>
          </cell>
          <cell r="K196">
            <v>7.08</v>
          </cell>
          <cell r="L196">
            <v>2.64</v>
          </cell>
          <cell r="M196">
            <v>0.47</v>
          </cell>
          <cell r="N196">
            <v>20.68</v>
          </cell>
          <cell r="O196">
            <v>0.38</v>
          </cell>
          <cell r="P196">
            <v>1.01</v>
          </cell>
          <cell r="Q196">
            <v>9.9499999999999993</v>
          </cell>
        </row>
        <row r="197">
          <cell r="D197">
            <v>10.5</v>
          </cell>
          <cell r="E197">
            <v>45.7</v>
          </cell>
          <cell r="F197">
            <v>16.13</v>
          </cell>
          <cell r="G197">
            <v>23.63</v>
          </cell>
          <cell r="H197">
            <v>65.67</v>
          </cell>
          <cell r="I197">
            <v>161.29</v>
          </cell>
          <cell r="J197">
            <v>7.6</v>
          </cell>
          <cell r="K197">
            <v>7.15</v>
          </cell>
          <cell r="L197">
            <v>3.75</v>
          </cell>
          <cell r="M197">
            <v>0.47</v>
          </cell>
          <cell r="N197">
            <v>20.11</v>
          </cell>
          <cell r="O197">
            <v>0.38</v>
          </cell>
          <cell r="P197">
            <v>1.01</v>
          </cell>
          <cell r="Q197">
            <v>9.9</v>
          </cell>
        </row>
        <row r="198">
          <cell r="D198">
            <v>10.55</v>
          </cell>
        </row>
        <row r="199">
          <cell r="D199">
            <v>10.6</v>
          </cell>
          <cell r="E199">
            <v>46.3</v>
          </cell>
          <cell r="F199">
            <v>16.309999999999999</v>
          </cell>
          <cell r="G199">
            <v>24</v>
          </cell>
          <cell r="H199">
            <v>66.739999999999995</v>
          </cell>
          <cell r="I199">
            <v>164.55</v>
          </cell>
          <cell r="J199">
            <v>7.72</v>
          </cell>
          <cell r="K199">
            <v>7.26</v>
          </cell>
          <cell r="L199">
            <v>3.75</v>
          </cell>
          <cell r="M199">
            <v>0.47</v>
          </cell>
          <cell r="N199">
            <v>20.34</v>
          </cell>
          <cell r="O199">
            <v>0.38</v>
          </cell>
          <cell r="P199">
            <v>1.01</v>
          </cell>
          <cell r="Q199">
            <v>10</v>
          </cell>
        </row>
        <row r="200">
          <cell r="D200">
            <v>10.7</v>
          </cell>
          <cell r="E200">
            <v>46.75</v>
          </cell>
          <cell r="F200">
            <v>16.45</v>
          </cell>
          <cell r="G200">
            <v>24.38</v>
          </cell>
          <cell r="H200">
            <v>67.930000000000007</v>
          </cell>
          <cell r="I200">
            <v>167.67</v>
          </cell>
          <cell r="J200">
            <v>7.8</v>
          </cell>
          <cell r="K200">
            <v>7.34</v>
          </cell>
          <cell r="L200">
            <v>3.75</v>
          </cell>
          <cell r="M200">
            <v>0.47</v>
          </cell>
          <cell r="N200">
            <v>20.58</v>
          </cell>
          <cell r="O200">
            <v>0.38</v>
          </cell>
          <cell r="P200">
            <v>1.01</v>
          </cell>
          <cell r="Q200">
            <v>10.1</v>
          </cell>
        </row>
        <row r="201">
          <cell r="D201">
            <v>10.8</v>
          </cell>
          <cell r="E201">
            <v>47.2</v>
          </cell>
          <cell r="F201">
            <v>16.579999999999998</v>
          </cell>
          <cell r="G201">
            <v>24.76</v>
          </cell>
          <cell r="H201">
            <v>69.12</v>
          </cell>
          <cell r="I201">
            <v>170.84</v>
          </cell>
          <cell r="J201">
            <v>7.88</v>
          </cell>
          <cell r="K201">
            <v>7.43</v>
          </cell>
          <cell r="L201">
            <v>3.75</v>
          </cell>
          <cell r="M201">
            <v>0.47</v>
          </cell>
          <cell r="N201">
            <v>20.81</v>
          </cell>
          <cell r="O201">
            <v>0.38</v>
          </cell>
          <cell r="P201">
            <v>1.01</v>
          </cell>
          <cell r="Q201">
            <v>10.199999999999999</v>
          </cell>
        </row>
        <row r="202">
          <cell r="D202">
            <v>10.9</v>
          </cell>
          <cell r="E202">
            <v>47.65</v>
          </cell>
          <cell r="F202">
            <v>16.72</v>
          </cell>
          <cell r="G202">
            <v>25.15</v>
          </cell>
          <cell r="H202">
            <v>70.33</v>
          </cell>
          <cell r="I202">
            <v>174.02</v>
          </cell>
          <cell r="J202">
            <v>7.97</v>
          </cell>
          <cell r="K202">
            <v>7.51</v>
          </cell>
          <cell r="L202">
            <v>3.75</v>
          </cell>
          <cell r="M202">
            <v>0.47</v>
          </cell>
          <cell r="N202">
            <v>21.05</v>
          </cell>
          <cell r="O202">
            <v>0.38</v>
          </cell>
          <cell r="P202">
            <v>1.01</v>
          </cell>
          <cell r="Q202">
            <v>10.3</v>
          </cell>
        </row>
        <row r="203">
          <cell r="D203">
            <v>11</v>
          </cell>
          <cell r="E203">
            <v>48.1</v>
          </cell>
          <cell r="F203">
            <v>16.850000000000001</v>
          </cell>
          <cell r="G203">
            <v>25.52</v>
          </cell>
          <cell r="H203">
            <v>71.540000000000006</v>
          </cell>
          <cell r="I203">
            <v>177.26</v>
          </cell>
          <cell r="J203">
            <v>8.0500000000000007</v>
          </cell>
          <cell r="K203">
            <v>7.59</v>
          </cell>
          <cell r="L203">
            <v>3.75</v>
          </cell>
          <cell r="M203">
            <v>0.47</v>
          </cell>
          <cell r="N203">
            <v>21.28</v>
          </cell>
          <cell r="O203">
            <v>0.38</v>
          </cell>
          <cell r="P203">
            <v>1.01</v>
          </cell>
          <cell r="Q203">
            <v>10.4</v>
          </cell>
        </row>
        <row r="204">
          <cell r="D204">
            <v>11.05</v>
          </cell>
        </row>
        <row r="205">
          <cell r="D205">
            <v>11.1</v>
          </cell>
          <cell r="E205">
            <v>48.55</v>
          </cell>
          <cell r="F205">
            <v>16.989999999999998</v>
          </cell>
          <cell r="G205">
            <v>25.92</v>
          </cell>
          <cell r="H205">
            <v>72.77</v>
          </cell>
          <cell r="I205">
            <v>180.5</v>
          </cell>
          <cell r="J205">
            <v>8.1300000000000008</v>
          </cell>
          <cell r="K205">
            <v>7.67</v>
          </cell>
          <cell r="L205">
            <v>3.75</v>
          </cell>
          <cell r="M205">
            <v>0.47</v>
          </cell>
          <cell r="N205">
            <v>21.52</v>
          </cell>
          <cell r="O205">
            <v>0.38</v>
          </cell>
          <cell r="P205">
            <v>1.01</v>
          </cell>
          <cell r="Q205">
            <v>10.5</v>
          </cell>
        </row>
        <row r="206">
          <cell r="D206">
            <v>11.2</v>
          </cell>
          <cell r="E206">
            <v>49</v>
          </cell>
          <cell r="F206">
            <v>17.12</v>
          </cell>
          <cell r="G206">
            <v>26.31</v>
          </cell>
          <cell r="H206">
            <v>74</v>
          </cell>
          <cell r="I206">
            <v>183.8</v>
          </cell>
          <cell r="J206">
            <v>8.2100000000000009</v>
          </cell>
          <cell r="K206">
            <v>7.75</v>
          </cell>
          <cell r="L206">
            <v>3.75</v>
          </cell>
          <cell r="M206">
            <v>0.47</v>
          </cell>
          <cell r="N206">
            <v>21.75</v>
          </cell>
          <cell r="O206">
            <v>0.38</v>
          </cell>
          <cell r="P206">
            <v>1.01</v>
          </cell>
          <cell r="Q206">
            <v>10.6</v>
          </cell>
        </row>
        <row r="207">
          <cell r="D207">
            <v>11.3</v>
          </cell>
          <cell r="E207">
            <v>49.45</v>
          </cell>
          <cell r="F207">
            <v>17.25</v>
          </cell>
          <cell r="G207">
            <v>26.71</v>
          </cell>
          <cell r="H207">
            <v>75.25</v>
          </cell>
          <cell r="I207">
            <v>187.11</v>
          </cell>
          <cell r="J207">
            <v>8.2899999999999991</v>
          </cell>
          <cell r="K207">
            <v>7.83</v>
          </cell>
          <cell r="L207">
            <v>3.75</v>
          </cell>
          <cell r="M207">
            <v>0.47</v>
          </cell>
          <cell r="N207">
            <v>21.79</v>
          </cell>
          <cell r="O207">
            <v>0.38</v>
          </cell>
          <cell r="P207">
            <v>1.01</v>
          </cell>
          <cell r="Q207">
            <v>10.7</v>
          </cell>
        </row>
        <row r="208">
          <cell r="D208">
            <v>11.4</v>
          </cell>
          <cell r="E208">
            <v>49.9</v>
          </cell>
          <cell r="F208">
            <v>17.39</v>
          </cell>
          <cell r="G208">
            <v>27.1</v>
          </cell>
          <cell r="H208">
            <v>76.5</v>
          </cell>
          <cell r="I208">
            <v>190.47</v>
          </cell>
          <cell r="J208">
            <v>8.3699999999999992</v>
          </cell>
          <cell r="K208">
            <v>7.91</v>
          </cell>
          <cell r="L208">
            <v>3.75</v>
          </cell>
          <cell r="M208">
            <v>0.47</v>
          </cell>
          <cell r="N208">
            <v>22.22</v>
          </cell>
          <cell r="O208">
            <v>0.38</v>
          </cell>
          <cell r="P208">
            <v>1.01</v>
          </cell>
          <cell r="Q208">
            <v>10.8</v>
          </cell>
        </row>
        <row r="209">
          <cell r="D209">
            <v>11.5</v>
          </cell>
          <cell r="E209">
            <v>50.35</v>
          </cell>
          <cell r="F209">
            <v>17.53</v>
          </cell>
          <cell r="G209">
            <v>27.5</v>
          </cell>
          <cell r="H209">
            <v>77.77</v>
          </cell>
          <cell r="I209">
            <v>193.83</v>
          </cell>
          <cell r="J209">
            <v>8.4499999999999993</v>
          </cell>
          <cell r="K209">
            <v>7.99</v>
          </cell>
          <cell r="L209">
            <v>3.75</v>
          </cell>
          <cell r="M209">
            <v>0.47</v>
          </cell>
          <cell r="N209">
            <v>22.46</v>
          </cell>
          <cell r="O209">
            <v>0.38</v>
          </cell>
          <cell r="P209">
            <v>1.01</v>
          </cell>
          <cell r="Q209">
            <v>10.9</v>
          </cell>
        </row>
        <row r="210">
          <cell r="D210">
            <v>11.55</v>
          </cell>
        </row>
        <row r="211">
          <cell r="D211">
            <v>11.6</v>
          </cell>
          <cell r="E211">
            <v>50.8</v>
          </cell>
          <cell r="F211">
            <v>17.66</v>
          </cell>
          <cell r="G211">
            <v>27.9</v>
          </cell>
          <cell r="H211">
            <v>79.040000000000006</v>
          </cell>
          <cell r="I211">
            <v>197.25</v>
          </cell>
          <cell r="J211">
            <v>8.5299999999999994</v>
          </cell>
          <cell r="K211">
            <v>8.07</v>
          </cell>
          <cell r="L211">
            <v>3.75</v>
          </cell>
          <cell r="M211">
            <v>0.47</v>
          </cell>
          <cell r="N211">
            <v>22.69</v>
          </cell>
          <cell r="O211">
            <v>0.38</v>
          </cell>
          <cell r="P211">
            <v>1.01</v>
          </cell>
          <cell r="Q211">
            <v>11</v>
          </cell>
        </row>
        <row r="212">
          <cell r="D212">
            <v>11.7</v>
          </cell>
          <cell r="E212">
            <v>51.25</v>
          </cell>
          <cell r="F212">
            <v>17.8</v>
          </cell>
          <cell r="G212">
            <v>28.31</v>
          </cell>
          <cell r="H212">
            <v>80.33</v>
          </cell>
          <cell r="I212">
            <v>200.68</v>
          </cell>
          <cell r="J212">
            <v>8.61</v>
          </cell>
          <cell r="K212">
            <v>8.15</v>
          </cell>
          <cell r="L212">
            <v>3.75</v>
          </cell>
          <cell r="M212">
            <v>0.47</v>
          </cell>
          <cell r="N212">
            <v>22.93</v>
          </cell>
          <cell r="O212">
            <v>0.38</v>
          </cell>
          <cell r="P212">
            <v>1.01</v>
          </cell>
          <cell r="Q212">
            <v>11.1</v>
          </cell>
        </row>
        <row r="213">
          <cell r="D213">
            <v>11.8</v>
          </cell>
          <cell r="E213">
            <v>51.7</v>
          </cell>
          <cell r="F213">
            <v>17.93</v>
          </cell>
          <cell r="G213">
            <v>28.71</v>
          </cell>
          <cell r="H213">
            <v>81.62</v>
          </cell>
          <cell r="I213">
            <v>204.19</v>
          </cell>
          <cell r="J213">
            <v>8.69</v>
          </cell>
          <cell r="K213">
            <v>8.23</v>
          </cell>
          <cell r="L213">
            <v>3.75</v>
          </cell>
          <cell r="M213">
            <v>0.47</v>
          </cell>
          <cell r="N213">
            <v>23.16</v>
          </cell>
          <cell r="O213">
            <v>0.38</v>
          </cell>
          <cell r="P213">
            <v>1.01</v>
          </cell>
          <cell r="Q213">
            <v>11.2</v>
          </cell>
        </row>
        <row r="214">
          <cell r="D214">
            <v>11.9</v>
          </cell>
          <cell r="E214">
            <v>52.15</v>
          </cell>
          <cell r="F214">
            <v>18.07</v>
          </cell>
          <cell r="G214">
            <v>29.12</v>
          </cell>
          <cell r="H214">
            <v>82.93</v>
          </cell>
          <cell r="I214">
            <v>207.73</v>
          </cell>
          <cell r="J214">
            <v>8.77</v>
          </cell>
          <cell r="K214">
            <v>8.31</v>
          </cell>
          <cell r="L214">
            <v>3.75</v>
          </cell>
          <cell r="M214">
            <v>0.47</v>
          </cell>
          <cell r="N214">
            <v>23.4</v>
          </cell>
          <cell r="O214">
            <v>0.38</v>
          </cell>
          <cell r="P214">
            <v>1.01</v>
          </cell>
          <cell r="Q214">
            <v>11.3</v>
          </cell>
        </row>
        <row r="215">
          <cell r="D215">
            <v>12</v>
          </cell>
          <cell r="E215">
            <v>52.6</v>
          </cell>
          <cell r="F215">
            <v>18.2</v>
          </cell>
          <cell r="G215">
            <v>29.53</v>
          </cell>
          <cell r="H215">
            <v>84.24</v>
          </cell>
          <cell r="I215">
            <v>211.22</v>
          </cell>
          <cell r="J215">
            <v>8.85</v>
          </cell>
          <cell r="K215">
            <v>8.39</v>
          </cell>
          <cell r="L215">
            <v>3.75</v>
          </cell>
          <cell r="M215">
            <v>0.47</v>
          </cell>
          <cell r="N215">
            <v>23.63</v>
          </cell>
          <cell r="O215">
            <v>0.38</v>
          </cell>
          <cell r="P215">
            <v>1.01</v>
          </cell>
          <cell r="Q215">
            <v>11.4</v>
          </cell>
        </row>
        <row r="216">
          <cell r="D216">
            <v>12.05</v>
          </cell>
        </row>
        <row r="217">
          <cell r="D217">
            <v>12.1</v>
          </cell>
          <cell r="E217">
            <v>53.05</v>
          </cell>
          <cell r="F217">
            <v>18.34</v>
          </cell>
          <cell r="G217">
            <v>29.95</v>
          </cell>
          <cell r="H217">
            <v>85.57</v>
          </cell>
          <cell r="I217">
            <v>214.9</v>
          </cell>
          <cell r="J217">
            <v>8.94</v>
          </cell>
          <cell r="K217">
            <v>8.48</v>
          </cell>
          <cell r="L217">
            <v>3.75</v>
          </cell>
          <cell r="M217">
            <v>0.47</v>
          </cell>
          <cell r="N217">
            <v>23.87</v>
          </cell>
          <cell r="O217">
            <v>0.38</v>
          </cell>
          <cell r="P217">
            <v>1.01</v>
          </cell>
          <cell r="Q217">
            <v>11.5</v>
          </cell>
        </row>
        <row r="218">
          <cell r="D218">
            <v>12.2</v>
          </cell>
          <cell r="E218">
            <v>53.5</v>
          </cell>
          <cell r="F218">
            <v>18.47</v>
          </cell>
          <cell r="G218">
            <v>30.36</v>
          </cell>
          <cell r="H218">
            <v>86.9</v>
          </cell>
          <cell r="I218">
            <v>218.56</v>
          </cell>
          <cell r="J218">
            <v>9.02</v>
          </cell>
          <cell r="K218">
            <v>8.56</v>
          </cell>
          <cell r="L218">
            <v>3.75</v>
          </cell>
          <cell r="M218">
            <v>0.47</v>
          </cell>
          <cell r="N218">
            <v>24.1</v>
          </cell>
          <cell r="O218">
            <v>0.38</v>
          </cell>
          <cell r="P218">
            <v>1.01</v>
          </cell>
          <cell r="Q218">
            <v>11.6</v>
          </cell>
        </row>
        <row r="219">
          <cell r="D219">
            <v>12.3</v>
          </cell>
          <cell r="E219">
            <v>53.95</v>
          </cell>
          <cell r="F219">
            <v>18.61</v>
          </cell>
          <cell r="G219">
            <v>30.78</v>
          </cell>
          <cell r="H219">
            <v>88.25</v>
          </cell>
          <cell r="I219">
            <v>222.23</v>
          </cell>
          <cell r="J219">
            <v>9.1</v>
          </cell>
          <cell r="K219">
            <v>8.64</v>
          </cell>
          <cell r="L219">
            <v>3.75</v>
          </cell>
          <cell r="M219">
            <v>0.47</v>
          </cell>
          <cell r="N219">
            <v>24.34</v>
          </cell>
          <cell r="O219">
            <v>0.38</v>
          </cell>
          <cell r="P219">
            <v>1.01</v>
          </cell>
          <cell r="Q219">
            <v>11.7</v>
          </cell>
        </row>
        <row r="220">
          <cell r="D220">
            <v>12.4</v>
          </cell>
          <cell r="E220">
            <v>54.4</v>
          </cell>
          <cell r="F220">
            <v>18.739999999999998</v>
          </cell>
          <cell r="G220">
            <v>31.2</v>
          </cell>
          <cell r="H220">
            <v>89.6</v>
          </cell>
          <cell r="I220">
            <v>225.96</v>
          </cell>
          <cell r="J220">
            <v>9.18</v>
          </cell>
          <cell r="K220">
            <v>8.7200000000000006</v>
          </cell>
          <cell r="L220">
            <v>3.75</v>
          </cell>
          <cell r="M220">
            <v>0.47</v>
          </cell>
          <cell r="N220">
            <v>24.57</v>
          </cell>
          <cell r="O220">
            <v>0.38</v>
          </cell>
          <cell r="P220">
            <v>1.01</v>
          </cell>
          <cell r="Q220">
            <v>11.8</v>
          </cell>
        </row>
        <row r="221">
          <cell r="D221">
            <v>12.5</v>
          </cell>
          <cell r="E221">
            <v>54.85</v>
          </cell>
          <cell r="F221">
            <v>18.88</v>
          </cell>
          <cell r="G221">
            <v>31.63</v>
          </cell>
          <cell r="H221">
            <v>90.97</v>
          </cell>
          <cell r="I221">
            <v>229.71</v>
          </cell>
          <cell r="J221">
            <v>9.26</v>
          </cell>
          <cell r="K221">
            <v>8.8000000000000007</v>
          </cell>
          <cell r="L221">
            <v>3.75</v>
          </cell>
          <cell r="M221">
            <v>0.47</v>
          </cell>
          <cell r="N221">
            <v>24.81</v>
          </cell>
          <cell r="O221">
            <v>0.38</v>
          </cell>
          <cell r="P221">
            <v>1.01</v>
          </cell>
          <cell r="Q221">
            <v>11.9</v>
          </cell>
        </row>
        <row r="222">
          <cell r="D222">
            <v>12.55</v>
          </cell>
        </row>
        <row r="223">
          <cell r="D223">
            <v>12.6</v>
          </cell>
          <cell r="E223">
            <v>55.3</v>
          </cell>
          <cell r="F223">
            <v>19.010000000000002</v>
          </cell>
          <cell r="G223">
            <v>32.049999999999997</v>
          </cell>
          <cell r="H223">
            <v>92.34</v>
          </cell>
          <cell r="I223">
            <v>233.5</v>
          </cell>
          <cell r="J223">
            <v>9.34</v>
          </cell>
          <cell r="K223">
            <v>8.8800000000000008</v>
          </cell>
          <cell r="L223">
            <v>3.75</v>
          </cell>
          <cell r="M223">
            <v>0.47</v>
          </cell>
          <cell r="N223">
            <v>25.04</v>
          </cell>
          <cell r="O223">
            <v>0.38</v>
          </cell>
          <cell r="P223">
            <v>1.01</v>
          </cell>
          <cell r="Q223">
            <v>12</v>
          </cell>
        </row>
        <row r="224">
          <cell r="D224">
            <v>12.7</v>
          </cell>
          <cell r="E224">
            <v>55.75</v>
          </cell>
          <cell r="F224">
            <v>19.149999999999999</v>
          </cell>
          <cell r="G224">
            <v>32.479999999999997</v>
          </cell>
          <cell r="H224">
            <v>93.73</v>
          </cell>
          <cell r="I224">
            <v>237.32</v>
          </cell>
          <cell r="J224">
            <v>9.42</v>
          </cell>
          <cell r="K224">
            <v>8.9600000000000009</v>
          </cell>
          <cell r="L224">
            <v>3.75</v>
          </cell>
          <cell r="M224">
            <v>0.47</v>
          </cell>
          <cell r="N224">
            <v>25.28</v>
          </cell>
          <cell r="O224">
            <v>0.38</v>
          </cell>
          <cell r="P224">
            <v>1.01</v>
          </cell>
          <cell r="Q224">
            <v>12.1</v>
          </cell>
        </row>
        <row r="225">
          <cell r="D225">
            <v>12.8</v>
          </cell>
          <cell r="E225">
            <v>56.2</v>
          </cell>
          <cell r="F225">
            <v>19.28</v>
          </cell>
          <cell r="G225">
            <v>32.909999999999997</v>
          </cell>
          <cell r="H225">
            <v>95.12</v>
          </cell>
          <cell r="I225">
            <v>241.18</v>
          </cell>
          <cell r="J225">
            <v>9.5</v>
          </cell>
          <cell r="K225">
            <v>9.0399999999999991</v>
          </cell>
          <cell r="L225">
            <v>3.75</v>
          </cell>
          <cell r="M225">
            <v>0.47</v>
          </cell>
          <cell r="N225">
            <v>25.51</v>
          </cell>
          <cell r="O225">
            <v>0.38</v>
          </cell>
          <cell r="P225">
            <v>1.01</v>
          </cell>
          <cell r="Q225">
            <v>12.2</v>
          </cell>
        </row>
        <row r="226">
          <cell r="D226">
            <v>12.9</v>
          </cell>
          <cell r="E226">
            <v>56.65</v>
          </cell>
          <cell r="F226">
            <v>19.420000000000002</v>
          </cell>
          <cell r="G226">
            <v>33.35</v>
          </cell>
          <cell r="H226">
            <v>96.53</v>
          </cell>
          <cell r="I226">
            <v>245.07</v>
          </cell>
          <cell r="J226">
            <v>9.58</v>
          </cell>
          <cell r="K226">
            <v>9.1199999999999992</v>
          </cell>
          <cell r="L226">
            <v>3.75</v>
          </cell>
          <cell r="M226">
            <v>0.47</v>
          </cell>
          <cell r="N226">
            <v>25.75</v>
          </cell>
          <cell r="O226">
            <v>0.38</v>
          </cell>
          <cell r="P226">
            <v>1.01</v>
          </cell>
          <cell r="Q226">
            <v>12.3</v>
          </cell>
        </row>
        <row r="227">
          <cell r="D227">
            <v>13</v>
          </cell>
          <cell r="E227">
            <v>57.1</v>
          </cell>
          <cell r="F227">
            <v>19.55</v>
          </cell>
          <cell r="G227">
            <v>33.78</v>
          </cell>
          <cell r="H227">
            <v>97.94</v>
          </cell>
          <cell r="I227">
            <v>249</v>
          </cell>
          <cell r="J227">
            <v>9.66</v>
          </cell>
          <cell r="K227">
            <v>9.1999999999999993</v>
          </cell>
          <cell r="L227">
            <v>3.75</v>
          </cell>
          <cell r="M227">
            <v>0.47</v>
          </cell>
          <cell r="N227">
            <v>25.98</v>
          </cell>
          <cell r="O227">
            <v>0.38</v>
          </cell>
          <cell r="P227">
            <v>1.01</v>
          </cell>
          <cell r="Q227">
            <v>12.4</v>
          </cell>
        </row>
        <row r="228">
          <cell r="D228">
            <v>13.05</v>
          </cell>
        </row>
        <row r="229">
          <cell r="D229">
            <v>13.1</v>
          </cell>
          <cell r="E229">
            <v>57.55</v>
          </cell>
          <cell r="F229">
            <v>19.690000000000001</v>
          </cell>
          <cell r="G229">
            <v>34.22</v>
          </cell>
          <cell r="H229">
            <v>99.37</v>
          </cell>
          <cell r="I229">
            <v>252.96</v>
          </cell>
          <cell r="J229">
            <v>9.74</v>
          </cell>
          <cell r="K229">
            <v>9.2799999999999994</v>
          </cell>
          <cell r="L229">
            <v>3.75</v>
          </cell>
          <cell r="M229">
            <v>0.47</v>
          </cell>
          <cell r="N229">
            <v>26.22</v>
          </cell>
          <cell r="O229">
            <v>0.38</v>
          </cell>
          <cell r="P229">
            <v>1.01</v>
          </cell>
          <cell r="Q229">
            <v>12.5</v>
          </cell>
        </row>
        <row r="230">
          <cell r="D230">
            <v>13.2</v>
          </cell>
          <cell r="E230">
            <v>58</v>
          </cell>
          <cell r="F230">
            <v>19.82</v>
          </cell>
          <cell r="G230">
            <v>34.659999999999997</v>
          </cell>
          <cell r="H230">
            <v>100.8</v>
          </cell>
          <cell r="I230">
            <v>256.95999999999998</v>
          </cell>
          <cell r="J230">
            <v>9.82</v>
          </cell>
          <cell r="K230">
            <v>9.36</v>
          </cell>
          <cell r="L230">
            <v>3.75</v>
          </cell>
          <cell r="M230">
            <v>0.47</v>
          </cell>
          <cell r="N230">
            <v>26.45</v>
          </cell>
          <cell r="O230">
            <v>0.38</v>
          </cell>
          <cell r="P230">
            <v>1.01</v>
          </cell>
          <cell r="Q230">
            <v>12.6</v>
          </cell>
        </row>
        <row r="231">
          <cell r="D231">
            <v>13.3</v>
          </cell>
          <cell r="E231">
            <v>58.45</v>
          </cell>
          <cell r="F231">
            <v>19.96</v>
          </cell>
          <cell r="G231">
            <v>35.11</v>
          </cell>
          <cell r="H231">
            <v>102.25</v>
          </cell>
          <cell r="I231">
            <v>260.97000000000003</v>
          </cell>
          <cell r="J231">
            <v>9.91</v>
          </cell>
          <cell r="K231">
            <v>9.4499999999999993</v>
          </cell>
          <cell r="L231">
            <v>3.75</v>
          </cell>
          <cell r="M231">
            <v>0.47</v>
          </cell>
          <cell r="N231">
            <v>26.69</v>
          </cell>
          <cell r="O231">
            <v>0.38</v>
          </cell>
          <cell r="P231">
            <v>1.01</v>
          </cell>
          <cell r="Q231">
            <v>12.7</v>
          </cell>
        </row>
        <row r="232">
          <cell r="D232">
            <v>13.4</v>
          </cell>
          <cell r="E232">
            <v>58.9</v>
          </cell>
          <cell r="F232">
            <v>20.09</v>
          </cell>
          <cell r="G232">
            <v>35.549999999999997</v>
          </cell>
          <cell r="H232">
            <v>103.7</v>
          </cell>
          <cell r="I232">
            <v>265.04000000000002</v>
          </cell>
          <cell r="J232">
            <v>9.99</v>
          </cell>
          <cell r="K232">
            <v>9.5299999999999994</v>
          </cell>
          <cell r="L232">
            <v>3.75</v>
          </cell>
          <cell r="M232">
            <v>0.47</v>
          </cell>
          <cell r="N232">
            <v>26.92</v>
          </cell>
          <cell r="O232">
            <v>0.38</v>
          </cell>
          <cell r="P232">
            <v>1.01</v>
          </cell>
          <cell r="Q232">
            <v>12.8</v>
          </cell>
        </row>
        <row r="233">
          <cell r="D233">
            <v>13.5</v>
          </cell>
          <cell r="E233">
            <v>59.35</v>
          </cell>
          <cell r="F233">
            <v>20.23</v>
          </cell>
          <cell r="G233">
            <v>36</v>
          </cell>
          <cell r="H233">
            <v>105.17</v>
          </cell>
          <cell r="I233">
            <v>269.13</v>
          </cell>
          <cell r="J233">
            <v>10.07</v>
          </cell>
          <cell r="K233">
            <v>9.61</v>
          </cell>
          <cell r="L233">
            <v>3.75</v>
          </cell>
          <cell r="M233">
            <v>0.47</v>
          </cell>
          <cell r="N233">
            <v>27.16</v>
          </cell>
          <cell r="O233">
            <v>0.38</v>
          </cell>
          <cell r="P233">
            <v>1.01</v>
          </cell>
          <cell r="Q233">
            <v>12.9</v>
          </cell>
        </row>
        <row r="234">
          <cell r="D234">
            <v>13.55</v>
          </cell>
        </row>
        <row r="235">
          <cell r="D235">
            <v>13.6</v>
          </cell>
          <cell r="E235">
            <v>59.8</v>
          </cell>
          <cell r="F235">
            <v>20.36</v>
          </cell>
          <cell r="G235">
            <v>36.450000000000003</v>
          </cell>
          <cell r="H235">
            <v>106.64</v>
          </cell>
          <cell r="I235">
            <v>273.27999999999997</v>
          </cell>
          <cell r="J235">
            <v>10.15</v>
          </cell>
          <cell r="K235">
            <v>9.69</v>
          </cell>
          <cell r="L235">
            <v>3.75</v>
          </cell>
          <cell r="M235">
            <v>0.47</v>
          </cell>
          <cell r="N235">
            <v>27.39</v>
          </cell>
          <cell r="O235">
            <v>0.38</v>
          </cell>
          <cell r="P235">
            <v>1.01</v>
          </cell>
          <cell r="Q235">
            <v>13</v>
          </cell>
        </row>
        <row r="236">
          <cell r="D236">
            <v>13.7</v>
          </cell>
          <cell r="E236">
            <v>60.25</v>
          </cell>
          <cell r="F236">
            <v>20.5</v>
          </cell>
          <cell r="G236">
            <v>36.909999999999997</v>
          </cell>
          <cell r="H236">
            <v>108.13</v>
          </cell>
          <cell r="I236">
            <v>277.45</v>
          </cell>
          <cell r="J236">
            <v>10.23</v>
          </cell>
          <cell r="K236">
            <v>9.77</v>
          </cell>
          <cell r="L236">
            <v>3.75</v>
          </cell>
          <cell r="M236">
            <v>0.47</v>
          </cell>
          <cell r="N236">
            <v>27.63</v>
          </cell>
          <cell r="O236">
            <v>0.38</v>
          </cell>
          <cell r="P236">
            <v>1.01</v>
          </cell>
          <cell r="Q236">
            <v>13.1</v>
          </cell>
        </row>
        <row r="237">
          <cell r="D237">
            <v>13.8</v>
          </cell>
          <cell r="E237">
            <v>60.7</v>
          </cell>
          <cell r="F237">
            <v>20.63</v>
          </cell>
          <cell r="G237">
            <v>37.36</v>
          </cell>
          <cell r="H237">
            <v>109.62</v>
          </cell>
          <cell r="I237">
            <v>281.66000000000003</v>
          </cell>
          <cell r="J237">
            <v>10.31</v>
          </cell>
          <cell r="K237">
            <v>9.85</v>
          </cell>
          <cell r="L237">
            <v>3.75</v>
          </cell>
          <cell r="M237">
            <v>0.47</v>
          </cell>
          <cell r="N237">
            <v>27.86</v>
          </cell>
          <cell r="O237">
            <v>0.38</v>
          </cell>
          <cell r="P237">
            <v>1.01</v>
          </cell>
          <cell r="Q237">
            <v>13.2</v>
          </cell>
        </row>
        <row r="238">
          <cell r="D238">
            <v>13.9</v>
          </cell>
          <cell r="E238">
            <v>61.15</v>
          </cell>
          <cell r="F238">
            <v>20.77</v>
          </cell>
          <cell r="G238">
            <v>37.82</v>
          </cell>
          <cell r="H238">
            <v>111.13</v>
          </cell>
          <cell r="I238">
            <v>285.89999999999998</v>
          </cell>
          <cell r="J238">
            <v>10.39</v>
          </cell>
          <cell r="K238">
            <v>9.93</v>
          </cell>
          <cell r="L238">
            <v>3.75</v>
          </cell>
          <cell r="M238">
            <v>0.47</v>
          </cell>
          <cell r="N238">
            <v>28.1</v>
          </cell>
          <cell r="O238">
            <v>0.38</v>
          </cell>
          <cell r="P238">
            <v>1.01</v>
          </cell>
          <cell r="Q238">
            <v>13.3</v>
          </cell>
        </row>
        <row r="239">
          <cell r="D239">
            <v>14</v>
          </cell>
          <cell r="E239">
            <v>61.6</v>
          </cell>
          <cell r="F239">
            <v>20.9</v>
          </cell>
          <cell r="G239">
            <v>38.28</v>
          </cell>
          <cell r="H239">
            <v>112.64</v>
          </cell>
          <cell r="I239">
            <v>290.18</v>
          </cell>
          <cell r="J239">
            <v>10.47</v>
          </cell>
          <cell r="K239">
            <v>10.01</v>
          </cell>
          <cell r="L239">
            <v>3.75</v>
          </cell>
          <cell r="M239">
            <v>0.47</v>
          </cell>
          <cell r="N239">
            <v>28.33</v>
          </cell>
          <cell r="O239">
            <v>0.38</v>
          </cell>
          <cell r="P239">
            <v>1.01</v>
          </cell>
          <cell r="Q239">
            <v>13.4</v>
          </cell>
        </row>
        <row r="240">
          <cell r="D240">
            <v>14.05</v>
          </cell>
        </row>
        <row r="241">
          <cell r="D241">
            <v>14.1</v>
          </cell>
          <cell r="E241">
            <v>62.05</v>
          </cell>
          <cell r="F241">
            <v>21.04</v>
          </cell>
          <cell r="G241">
            <v>38.75</v>
          </cell>
          <cell r="H241">
            <v>114.17</v>
          </cell>
          <cell r="I241">
            <v>294.56</v>
          </cell>
          <cell r="J241">
            <v>10.55</v>
          </cell>
          <cell r="K241">
            <v>10.09</v>
          </cell>
          <cell r="L241">
            <v>3.75</v>
          </cell>
          <cell r="M241">
            <v>0.47</v>
          </cell>
          <cell r="N241">
            <v>28.57</v>
          </cell>
          <cell r="O241">
            <v>0.38</v>
          </cell>
          <cell r="P241">
            <v>1.01</v>
          </cell>
          <cell r="Q241">
            <v>13.5</v>
          </cell>
        </row>
        <row r="242">
          <cell r="D242">
            <v>14.2</v>
          </cell>
          <cell r="E242">
            <v>62.3</v>
          </cell>
          <cell r="F242">
            <v>21.17</v>
          </cell>
          <cell r="G242">
            <v>39.21</v>
          </cell>
          <cell r="H242">
            <v>115.7</v>
          </cell>
          <cell r="I242">
            <v>298.83999999999997</v>
          </cell>
          <cell r="J242">
            <v>10.63</v>
          </cell>
          <cell r="K242">
            <v>10.17</v>
          </cell>
          <cell r="L242">
            <v>3.75</v>
          </cell>
          <cell r="M242">
            <v>0.47</v>
          </cell>
          <cell r="N242">
            <v>28.8</v>
          </cell>
          <cell r="O242">
            <v>0.38</v>
          </cell>
          <cell r="P242">
            <v>1.01</v>
          </cell>
          <cell r="Q242">
            <v>13.6</v>
          </cell>
        </row>
        <row r="243">
          <cell r="D243">
            <v>14.3</v>
          </cell>
          <cell r="E243">
            <v>62.95</v>
          </cell>
          <cell r="F243">
            <v>21.31</v>
          </cell>
          <cell r="G243">
            <v>39.68</v>
          </cell>
          <cell r="H243">
            <v>117.25</v>
          </cell>
          <cell r="I243">
            <v>303.22000000000003</v>
          </cell>
          <cell r="J243">
            <v>10.71</v>
          </cell>
          <cell r="K243">
            <v>10.25</v>
          </cell>
          <cell r="L243">
            <v>3.75</v>
          </cell>
          <cell r="M243">
            <v>0.47</v>
          </cell>
          <cell r="N243">
            <v>29.04</v>
          </cell>
          <cell r="O243">
            <v>0.38</v>
          </cell>
          <cell r="P243">
            <v>1.01</v>
          </cell>
          <cell r="Q243">
            <v>13.7</v>
          </cell>
        </row>
        <row r="244">
          <cell r="D244">
            <v>14.4</v>
          </cell>
          <cell r="E244">
            <v>63.4</v>
          </cell>
          <cell r="F244">
            <v>21.44</v>
          </cell>
          <cell r="G244">
            <v>40.15</v>
          </cell>
          <cell r="H244">
            <v>118.8</v>
          </cell>
          <cell r="I244">
            <v>307.64</v>
          </cell>
          <cell r="J244">
            <v>10.79</v>
          </cell>
          <cell r="K244">
            <v>10.33</v>
          </cell>
          <cell r="L244">
            <v>3.75</v>
          </cell>
          <cell r="M244">
            <v>0.47</v>
          </cell>
          <cell r="N244">
            <v>29.27</v>
          </cell>
          <cell r="O244">
            <v>0.38</v>
          </cell>
          <cell r="P244">
            <v>1.01</v>
          </cell>
          <cell r="Q244">
            <v>13.8</v>
          </cell>
        </row>
        <row r="245">
          <cell r="D245">
            <v>14.5</v>
          </cell>
          <cell r="E245">
            <v>63.85</v>
          </cell>
          <cell r="F245">
            <v>21.58</v>
          </cell>
          <cell r="G245">
            <v>40.630000000000003</v>
          </cell>
          <cell r="H245">
            <v>120.37</v>
          </cell>
          <cell r="I245">
            <v>312.08999999999997</v>
          </cell>
          <cell r="J245">
            <v>10.87</v>
          </cell>
          <cell r="K245">
            <v>10.41</v>
          </cell>
          <cell r="L245">
            <v>3.75</v>
          </cell>
          <cell r="M245">
            <v>0.47</v>
          </cell>
          <cell r="N245">
            <v>29.51</v>
          </cell>
          <cell r="O245">
            <v>0.38</v>
          </cell>
          <cell r="P245">
            <v>1.01</v>
          </cell>
          <cell r="Q245">
            <v>13.9</v>
          </cell>
        </row>
        <row r="246">
          <cell r="D246">
            <v>14.55</v>
          </cell>
        </row>
        <row r="247">
          <cell r="D247">
            <v>14.6</v>
          </cell>
          <cell r="E247">
            <v>64.3</v>
          </cell>
          <cell r="F247">
            <v>21.71</v>
          </cell>
          <cell r="G247">
            <v>41.1</v>
          </cell>
          <cell r="H247">
            <v>121.94</v>
          </cell>
          <cell r="I247">
            <v>316.56</v>
          </cell>
          <cell r="J247">
            <v>10.96</v>
          </cell>
          <cell r="K247">
            <v>10.5</v>
          </cell>
          <cell r="L247">
            <v>3.75</v>
          </cell>
          <cell r="M247">
            <v>0.47</v>
          </cell>
          <cell r="N247">
            <v>29.74</v>
          </cell>
          <cell r="O247">
            <v>0.38</v>
          </cell>
          <cell r="P247">
            <v>1.01</v>
          </cell>
          <cell r="Q247">
            <v>4</v>
          </cell>
        </row>
        <row r="248">
          <cell r="D248">
            <v>14.7</v>
          </cell>
          <cell r="E248">
            <v>64.75</v>
          </cell>
          <cell r="F248">
            <v>21.85</v>
          </cell>
          <cell r="G248">
            <v>41.58</v>
          </cell>
          <cell r="H248">
            <v>123.53</v>
          </cell>
          <cell r="I248">
            <v>321.08</v>
          </cell>
          <cell r="J248">
            <v>11.04</v>
          </cell>
          <cell r="K248">
            <v>10.58</v>
          </cell>
          <cell r="L248">
            <v>3.75</v>
          </cell>
          <cell r="M248">
            <v>0.47</v>
          </cell>
          <cell r="N248">
            <v>29.98</v>
          </cell>
          <cell r="O248">
            <v>0.38</v>
          </cell>
          <cell r="P248">
            <v>1.01</v>
          </cell>
          <cell r="Q248">
            <v>14.1</v>
          </cell>
        </row>
        <row r="249">
          <cell r="D249">
            <v>14.8</v>
          </cell>
          <cell r="E249">
            <v>65.2</v>
          </cell>
          <cell r="F249">
            <v>21.9</v>
          </cell>
          <cell r="G249">
            <v>42.06</v>
          </cell>
          <cell r="H249">
            <v>125.12</v>
          </cell>
          <cell r="I249">
            <v>325.64</v>
          </cell>
          <cell r="J249">
            <v>11.12</v>
          </cell>
          <cell r="K249">
            <v>10.66</v>
          </cell>
          <cell r="L249">
            <v>3.75</v>
          </cell>
          <cell r="M249">
            <v>0.47</v>
          </cell>
          <cell r="N249">
            <v>30.21</v>
          </cell>
          <cell r="O249">
            <v>0.38</v>
          </cell>
          <cell r="P249">
            <v>1.01</v>
          </cell>
          <cell r="Q249">
            <v>14.2</v>
          </cell>
        </row>
        <row r="250">
          <cell r="D250">
            <v>14.9</v>
          </cell>
          <cell r="E250">
            <v>65.650000000000006</v>
          </cell>
          <cell r="F250">
            <v>22.12</v>
          </cell>
          <cell r="G250">
            <v>42.55</v>
          </cell>
          <cell r="H250">
            <v>126.73</v>
          </cell>
          <cell r="I250">
            <v>330.22</v>
          </cell>
          <cell r="J250">
            <v>11.2</v>
          </cell>
          <cell r="K250">
            <v>10.74</v>
          </cell>
          <cell r="L250">
            <v>3.75</v>
          </cell>
          <cell r="M250">
            <v>0.47</v>
          </cell>
          <cell r="N250">
            <v>30.45</v>
          </cell>
          <cell r="O250">
            <v>0.38</v>
          </cell>
          <cell r="P250">
            <v>1.01</v>
          </cell>
          <cell r="Q250">
            <v>143</v>
          </cell>
        </row>
        <row r="251">
          <cell r="D251">
            <v>15</v>
          </cell>
          <cell r="E251">
            <v>66.099999999999994</v>
          </cell>
          <cell r="F251">
            <v>22.25</v>
          </cell>
          <cell r="G251">
            <v>43.03</v>
          </cell>
          <cell r="H251">
            <v>128.34</v>
          </cell>
          <cell r="I251">
            <v>334.86</v>
          </cell>
          <cell r="J251">
            <v>11.28</v>
          </cell>
          <cell r="K251">
            <v>10.82</v>
          </cell>
          <cell r="L251">
            <v>3.75</v>
          </cell>
          <cell r="M251">
            <v>0.47</v>
          </cell>
          <cell r="N251">
            <v>30.68</v>
          </cell>
          <cell r="O251">
            <v>0.38</v>
          </cell>
          <cell r="P251">
            <v>1.01</v>
          </cell>
          <cell r="Q251">
            <v>14.4</v>
          </cell>
        </row>
        <row r="252">
          <cell r="D252">
            <v>15.1</v>
          </cell>
          <cell r="E252">
            <v>66.55</v>
          </cell>
          <cell r="F252">
            <v>22.39</v>
          </cell>
          <cell r="G252">
            <v>43.52</v>
          </cell>
          <cell r="H252">
            <v>129.97</v>
          </cell>
          <cell r="I252">
            <v>339.52</v>
          </cell>
          <cell r="J252">
            <v>11.36</v>
          </cell>
          <cell r="K252">
            <v>10.9</v>
          </cell>
          <cell r="L252">
            <v>3.75</v>
          </cell>
          <cell r="M252">
            <v>0.47</v>
          </cell>
          <cell r="N252">
            <v>30.92</v>
          </cell>
          <cell r="O252">
            <v>0.38</v>
          </cell>
          <cell r="P252">
            <v>1.01</v>
          </cell>
          <cell r="Q252">
            <v>14.5</v>
          </cell>
        </row>
        <row r="253">
          <cell r="D253">
            <v>15.2</v>
          </cell>
          <cell r="E253">
            <v>67</v>
          </cell>
          <cell r="F253">
            <v>22.52</v>
          </cell>
          <cell r="G253">
            <v>44.01</v>
          </cell>
          <cell r="H253">
            <v>131.6</v>
          </cell>
          <cell r="I253">
            <v>344.22</v>
          </cell>
          <cell r="J253">
            <v>11.44</v>
          </cell>
          <cell r="K253">
            <v>10.98</v>
          </cell>
          <cell r="L253">
            <v>3.75</v>
          </cell>
          <cell r="M253">
            <v>0.47</v>
          </cell>
          <cell r="N253">
            <v>31.15</v>
          </cell>
          <cell r="O253">
            <v>0.38</v>
          </cell>
          <cell r="P253">
            <v>1.01</v>
          </cell>
          <cell r="Q253">
            <v>14.6</v>
          </cell>
        </row>
        <row r="254">
          <cell r="D254">
            <v>15.3</v>
          </cell>
          <cell r="E254">
            <v>67.45</v>
          </cell>
          <cell r="F254">
            <v>22.66</v>
          </cell>
          <cell r="G254">
            <v>44.51</v>
          </cell>
          <cell r="H254">
            <v>133.25</v>
          </cell>
          <cell r="I254">
            <v>348.95</v>
          </cell>
          <cell r="J254">
            <v>11.52</v>
          </cell>
          <cell r="K254">
            <v>11.06</v>
          </cell>
          <cell r="L254">
            <v>3.75</v>
          </cell>
          <cell r="M254">
            <v>0.47</v>
          </cell>
          <cell r="N254">
            <v>31.39</v>
          </cell>
          <cell r="O254">
            <v>0.38</v>
          </cell>
          <cell r="P254">
            <v>1.01</v>
          </cell>
          <cell r="Q254">
            <v>14.7</v>
          </cell>
        </row>
        <row r="255">
          <cell r="D255">
            <v>15.4</v>
          </cell>
          <cell r="E255">
            <v>67.900000000000006</v>
          </cell>
          <cell r="F255">
            <v>22.79</v>
          </cell>
          <cell r="G255">
            <v>45</v>
          </cell>
          <cell r="H255">
            <v>134.9</v>
          </cell>
          <cell r="I255">
            <v>353.72</v>
          </cell>
          <cell r="J255">
            <v>11.6</v>
          </cell>
          <cell r="K255">
            <v>11.14</v>
          </cell>
          <cell r="L255">
            <v>3.75</v>
          </cell>
          <cell r="M255">
            <v>0.47</v>
          </cell>
          <cell r="N255">
            <v>31.62</v>
          </cell>
          <cell r="O255">
            <v>0.38</v>
          </cell>
          <cell r="P255">
            <v>1.01</v>
          </cell>
          <cell r="Q255">
            <v>14.8</v>
          </cell>
        </row>
        <row r="256">
          <cell r="D256">
            <v>15.5</v>
          </cell>
          <cell r="E256">
            <v>68.349999999999994</v>
          </cell>
          <cell r="F256">
            <v>22.93</v>
          </cell>
          <cell r="G256">
            <v>45.5</v>
          </cell>
          <cell r="H256">
            <v>136.57</v>
          </cell>
          <cell r="I256">
            <v>358.52</v>
          </cell>
          <cell r="J256">
            <v>11.68</v>
          </cell>
          <cell r="K256">
            <v>11.22</v>
          </cell>
          <cell r="L256">
            <v>3.75</v>
          </cell>
          <cell r="M256">
            <v>0.47</v>
          </cell>
          <cell r="N256">
            <v>31.86</v>
          </cell>
          <cell r="O256">
            <v>0.38</v>
          </cell>
          <cell r="P256">
            <v>1.01</v>
          </cell>
          <cell r="Q256">
            <v>14.9</v>
          </cell>
        </row>
        <row r="257">
          <cell r="D257">
            <v>15.55</v>
          </cell>
        </row>
        <row r="258">
          <cell r="D258">
            <v>15.6</v>
          </cell>
          <cell r="E258">
            <v>68.8</v>
          </cell>
          <cell r="F258">
            <v>23.06</v>
          </cell>
          <cell r="G258">
            <v>46</v>
          </cell>
          <cell r="H258">
            <v>138.34</v>
          </cell>
          <cell r="I258">
            <v>363.26</v>
          </cell>
          <cell r="J258">
            <v>11.76</v>
          </cell>
          <cell r="K258">
            <v>11.3</v>
          </cell>
          <cell r="L258">
            <v>3.75</v>
          </cell>
          <cell r="M258">
            <v>0.47</v>
          </cell>
          <cell r="N258">
            <v>32.090000000000003</v>
          </cell>
          <cell r="O258">
            <v>0.38</v>
          </cell>
          <cell r="P258">
            <v>1.01</v>
          </cell>
          <cell r="Q258">
            <v>15</v>
          </cell>
        </row>
        <row r="259">
          <cell r="D259">
            <v>15.7</v>
          </cell>
          <cell r="E259">
            <v>69.25</v>
          </cell>
          <cell r="F259">
            <v>23.2</v>
          </cell>
          <cell r="G259">
            <v>46.51</v>
          </cell>
          <cell r="H259">
            <v>139.93</v>
          </cell>
          <cell r="I259">
            <v>368.23</v>
          </cell>
          <cell r="J259">
            <v>11.84</v>
          </cell>
          <cell r="K259">
            <v>11.38</v>
          </cell>
          <cell r="L259">
            <v>3.75</v>
          </cell>
          <cell r="M259">
            <v>0.47</v>
          </cell>
          <cell r="N259">
            <v>32.33</v>
          </cell>
          <cell r="O259">
            <v>0.38</v>
          </cell>
          <cell r="P259">
            <v>1.01</v>
          </cell>
          <cell r="Q259">
            <v>15.1</v>
          </cell>
        </row>
        <row r="260">
          <cell r="D260">
            <v>15.8</v>
          </cell>
          <cell r="E260">
            <v>69.7</v>
          </cell>
          <cell r="F260">
            <v>23.33</v>
          </cell>
          <cell r="G260">
            <v>47.01</v>
          </cell>
          <cell r="H260">
            <v>141.62</v>
          </cell>
          <cell r="I260">
            <v>373.14</v>
          </cell>
          <cell r="J260">
            <v>11.92</v>
          </cell>
          <cell r="K260">
            <v>11.46</v>
          </cell>
          <cell r="L260">
            <v>3.75</v>
          </cell>
          <cell r="M260">
            <v>0.47</v>
          </cell>
          <cell r="N260">
            <v>32.56</v>
          </cell>
          <cell r="O260">
            <v>0.38</v>
          </cell>
          <cell r="P260">
            <v>1.01</v>
          </cell>
          <cell r="Q260">
            <v>15.2</v>
          </cell>
        </row>
        <row r="261">
          <cell r="D261">
            <v>15.9</v>
          </cell>
          <cell r="E261">
            <v>70.150000000000006</v>
          </cell>
          <cell r="F261">
            <v>23.47</v>
          </cell>
          <cell r="G261">
            <v>47.52</v>
          </cell>
          <cell r="H261">
            <v>143.33000000000001</v>
          </cell>
          <cell r="I261">
            <v>378.05</v>
          </cell>
          <cell r="J261">
            <v>12.01</v>
          </cell>
          <cell r="K261">
            <v>11.55</v>
          </cell>
          <cell r="L261">
            <v>3.75</v>
          </cell>
          <cell r="M261">
            <v>0.47</v>
          </cell>
          <cell r="N261">
            <v>32.799999999999997</v>
          </cell>
          <cell r="O261">
            <v>0.38</v>
          </cell>
          <cell r="P261">
            <v>1.01</v>
          </cell>
          <cell r="Q261">
            <v>15.3</v>
          </cell>
        </row>
        <row r="262">
          <cell r="D262">
            <v>16</v>
          </cell>
          <cell r="E262">
            <v>70.599999999999994</v>
          </cell>
          <cell r="F262">
            <v>23.6</v>
          </cell>
          <cell r="G262">
            <v>48.03</v>
          </cell>
          <cell r="H262">
            <v>145.04</v>
          </cell>
          <cell r="I262">
            <v>383.03</v>
          </cell>
          <cell r="J262">
            <v>12.09</v>
          </cell>
          <cell r="K262">
            <v>11.63</v>
          </cell>
          <cell r="L262">
            <v>3.75</v>
          </cell>
          <cell r="M262">
            <v>0.47</v>
          </cell>
          <cell r="N262">
            <v>33.03</v>
          </cell>
          <cell r="O262">
            <v>0.38</v>
          </cell>
          <cell r="P262">
            <v>1.01</v>
          </cell>
          <cell r="Q262">
            <v>15.4</v>
          </cell>
        </row>
        <row r="323">
          <cell r="W323">
            <v>0.5</v>
          </cell>
          <cell r="X323">
            <v>0.5</v>
          </cell>
          <cell r="Y323">
            <v>52.07</v>
          </cell>
          <cell r="Z323">
            <v>18.72</v>
          </cell>
          <cell r="AA323">
            <v>8.65</v>
          </cell>
          <cell r="AB323">
            <v>17.41</v>
          </cell>
          <cell r="AC323">
            <v>1.86</v>
          </cell>
          <cell r="AD323">
            <v>1.78</v>
          </cell>
          <cell r="AE323">
            <v>0.04</v>
          </cell>
          <cell r="AF323">
            <v>13.75</v>
          </cell>
          <cell r="AG323">
            <v>5.4</v>
          </cell>
          <cell r="AH323">
            <v>0.68</v>
          </cell>
        </row>
        <row r="324">
          <cell r="W324">
            <v>2.8</v>
          </cell>
          <cell r="X324">
            <v>2.8</v>
          </cell>
          <cell r="Y324">
            <v>52.07</v>
          </cell>
          <cell r="Z324">
            <v>18.72</v>
          </cell>
          <cell r="AA324">
            <v>8.65</v>
          </cell>
          <cell r="AB324">
            <v>17.41</v>
          </cell>
          <cell r="AC324">
            <v>1.86</v>
          </cell>
          <cell r="AD324">
            <v>1.78</v>
          </cell>
          <cell r="AE324">
            <v>0.04</v>
          </cell>
          <cell r="AF324">
            <v>13.75</v>
          </cell>
          <cell r="AG324">
            <v>5.4</v>
          </cell>
          <cell r="AH324">
            <v>0.68</v>
          </cell>
        </row>
        <row r="325">
          <cell r="W325">
            <v>3</v>
          </cell>
          <cell r="X325">
            <v>3</v>
          </cell>
          <cell r="Y325">
            <v>54.63</v>
          </cell>
          <cell r="Z325">
            <v>19.47</v>
          </cell>
          <cell r="AA325">
            <v>8.86</v>
          </cell>
          <cell r="AB325">
            <v>18.399999999999999</v>
          </cell>
          <cell r="AC325">
            <v>2.42</v>
          </cell>
          <cell r="AD325">
            <v>3.28</v>
          </cell>
          <cell r="AE325">
            <v>1.05</v>
          </cell>
          <cell r="AF325">
            <v>15</v>
          </cell>
          <cell r="AG325">
            <v>6</v>
          </cell>
          <cell r="AH325">
            <v>0.68</v>
          </cell>
        </row>
        <row r="326">
          <cell r="W326">
            <v>3.2</v>
          </cell>
          <cell r="X326">
            <v>3.2</v>
          </cell>
          <cell r="Y326">
            <v>58.13</v>
          </cell>
          <cell r="Z326">
            <v>21.27</v>
          </cell>
          <cell r="AA326">
            <v>9.27</v>
          </cell>
          <cell r="AB326">
            <v>20.05</v>
          </cell>
          <cell r="AC326">
            <v>3.76</v>
          </cell>
          <cell r="AD326">
            <v>4.03</v>
          </cell>
          <cell r="AE326">
            <v>1.46</v>
          </cell>
          <cell r="AF326">
            <v>16.25</v>
          </cell>
          <cell r="AG326">
            <v>6.61</v>
          </cell>
          <cell r="AH326">
            <v>0.68</v>
          </cell>
        </row>
        <row r="327">
          <cell r="W327">
            <v>3.4</v>
          </cell>
          <cell r="X327">
            <v>3.4</v>
          </cell>
          <cell r="Y327">
            <v>59.33</v>
          </cell>
          <cell r="Z327">
            <v>21.65</v>
          </cell>
          <cell r="AA327">
            <v>9.69</v>
          </cell>
          <cell r="AB327">
            <v>21.84</v>
          </cell>
          <cell r="AC327">
            <v>5.32</v>
          </cell>
          <cell r="AD327">
            <v>4.84</v>
          </cell>
          <cell r="AE327">
            <v>1.94</v>
          </cell>
          <cell r="AF327">
            <v>16.25</v>
          </cell>
          <cell r="AG327">
            <v>6.61</v>
          </cell>
          <cell r="AH327">
            <v>0.68</v>
          </cell>
        </row>
        <row r="328">
          <cell r="W328">
            <v>3.6</v>
          </cell>
          <cell r="X328">
            <v>3.6</v>
          </cell>
          <cell r="Y328">
            <v>63.17</v>
          </cell>
          <cell r="Z328">
            <v>22.57</v>
          </cell>
          <cell r="AA328">
            <v>10.11</v>
          </cell>
          <cell r="AB328">
            <v>23.08</v>
          </cell>
          <cell r="AC328">
            <v>7.31</v>
          </cell>
          <cell r="AD328">
            <v>5.73</v>
          </cell>
          <cell r="AE328">
            <v>2.4900000000000002</v>
          </cell>
          <cell r="AF328">
            <v>17.5</v>
          </cell>
          <cell r="AG328">
            <v>7.22</v>
          </cell>
          <cell r="AH328">
            <v>0.68</v>
          </cell>
        </row>
        <row r="329">
          <cell r="W329">
            <v>3.8</v>
          </cell>
          <cell r="X329">
            <v>3.8</v>
          </cell>
          <cell r="Y329">
            <v>67.42</v>
          </cell>
          <cell r="Z329">
            <v>24.49</v>
          </cell>
          <cell r="AA329">
            <v>10.62</v>
          </cell>
          <cell r="AB329">
            <v>26.11</v>
          </cell>
          <cell r="AC329">
            <v>9.7100000000000009</v>
          </cell>
          <cell r="AD329">
            <v>6.77</v>
          </cell>
          <cell r="AE329">
            <v>3.18</v>
          </cell>
          <cell r="AF329">
            <v>18.75</v>
          </cell>
          <cell r="AG329">
            <v>7.39</v>
          </cell>
          <cell r="AH329">
            <v>0.68</v>
          </cell>
        </row>
        <row r="330">
          <cell r="W330">
            <v>4</v>
          </cell>
          <cell r="X330">
            <v>4</v>
          </cell>
          <cell r="Y330">
            <v>67.540000000000006</v>
          </cell>
          <cell r="Z330">
            <v>24.98</v>
          </cell>
          <cell r="AA330">
            <v>11.16</v>
          </cell>
          <cell r="AB330">
            <v>29.62</v>
          </cell>
          <cell r="AC330">
            <v>12.08</v>
          </cell>
          <cell r="AD330">
            <v>7.69</v>
          </cell>
          <cell r="AE330">
            <v>3.79</v>
          </cell>
          <cell r="AF330">
            <v>18.75</v>
          </cell>
          <cell r="AG330">
            <v>7.39</v>
          </cell>
          <cell r="AH330">
            <v>0.68</v>
          </cell>
        </row>
        <row r="331">
          <cell r="W331">
            <v>4.2</v>
          </cell>
          <cell r="X331">
            <v>4.2</v>
          </cell>
          <cell r="Y331">
            <v>75.36</v>
          </cell>
          <cell r="Z331">
            <v>25.91</v>
          </cell>
          <cell r="AA331">
            <v>11.72</v>
          </cell>
          <cell r="AB331">
            <v>29.93</v>
          </cell>
          <cell r="AC331">
            <v>15.66</v>
          </cell>
          <cell r="AD331">
            <v>8.7799999999999994</v>
          </cell>
          <cell r="AE331">
            <v>4.54</v>
          </cell>
          <cell r="AF331">
            <v>20</v>
          </cell>
          <cell r="AG331">
            <v>8</v>
          </cell>
          <cell r="AH331">
            <v>0.68</v>
          </cell>
        </row>
        <row r="332">
          <cell r="W332">
            <v>4.4000000000000004</v>
          </cell>
          <cell r="X332">
            <v>4.4000000000000004</v>
          </cell>
          <cell r="Y332">
            <v>75.42</v>
          </cell>
          <cell r="Z332">
            <v>28</v>
          </cell>
          <cell r="AA332">
            <v>12.3</v>
          </cell>
          <cell r="AB332">
            <v>34.35</v>
          </cell>
          <cell r="AC332">
            <v>19.46</v>
          </cell>
          <cell r="AD332">
            <v>9.98</v>
          </cell>
          <cell r="AE332">
            <v>5.36</v>
          </cell>
          <cell r="AF332">
            <v>21.25</v>
          </cell>
          <cell r="AG332">
            <v>8.61</v>
          </cell>
          <cell r="AH332">
            <v>0.68</v>
          </cell>
        </row>
        <row r="333">
          <cell r="W333">
            <v>4.5999999999999996</v>
          </cell>
          <cell r="X333">
            <v>4.5999999999999996</v>
          </cell>
          <cell r="Y333">
            <v>77.209999999999994</v>
          </cell>
          <cell r="Z333">
            <v>28.57</v>
          </cell>
          <cell r="AA333">
            <v>12.91</v>
          </cell>
          <cell r="AB333">
            <v>37.57</v>
          </cell>
          <cell r="AC333">
            <v>24.38</v>
          </cell>
          <cell r="AD333">
            <v>11.15</v>
          </cell>
          <cell r="AE333">
            <v>6.24</v>
          </cell>
          <cell r="AF333">
            <v>21.25</v>
          </cell>
          <cell r="AG333">
            <v>8.61</v>
          </cell>
          <cell r="AH333">
            <v>0.68</v>
          </cell>
        </row>
        <row r="334">
          <cell r="W334">
            <v>4.8</v>
          </cell>
          <cell r="X334">
            <v>4.8</v>
          </cell>
          <cell r="Y334">
            <v>80.95</v>
          </cell>
          <cell r="Z334">
            <v>29.69</v>
          </cell>
          <cell r="AA334">
            <v>13.53</v>
          </cell>
          <cell r="AB334">
            <v>41</v>
          </cell>
          <cell r="AC334">
            <v>28.63</v>
          </cell>
          <cell r="AD334">
            <v>12.44</v>
          </cell>
          <cell r="AE334">
            <v>7.95</v>
          </cell>
          <cell r="AF334">
            <v>22.5</v>
          </cell>
          <cell r="AG334">
            <v>8.7799999999999994</v>
          </cell>
          <cell r="AH334">
            <v>0.68</v>
          </cell>
        </row>
        <row r="335">
          <cell r="W335">
            <v>5</v>
          </cell>
          <cell r="X335">
            <v>5</v>
          </cell>
          <cell r="Y335">
            <v>84.78</v>
          </cell>
          <cell r="Z335">
            <v>30.3</v>
          </cell>
          <cell r="AA335">
            <v>14.18</v>
          </cell>
          <cell r="AB335">
            <v>45.52</v>
          </cell>
          <cell r="AC335">
            <v>35.11</v>
          </cell>
          <cell r="AD335">
            <v>14.8</v>
          </cell>
          <cell r="AE335">
            <v>8.2200000000000006</v>
          </cell>
          <cell r="AF335">
            <v>23.75</v>
          </cell>
          <cell r="AG335">
            <v>8.7799999999999994</v>
          </cell>
          <cell r="AH335">
            <v>0.68</v>
          </cell>
        </row>
        <row r="336">
          <cell r="W336">
            <v>5.2</v>
          </cell>
          <cell r="X336">
            <v>5.2</v>
          </cell>
          <cell r="Y336">
            <v>86.78</v>
          </cell>
          <cell r="Z336">
            <v>31.47</v>
          </cell>
          <cell r="AA336">
            <v>14.86</v>
          </cell>
          <cell r="AB336">
            <v>48.63</v>
          </cell>
          <cell r="AC336">
            <v>42.22</v>
          </cell>
          <cell r="AD336">
            <v>15.22</v>
          </cell>
          <cell r="AE336">
            <v>9.31</v>
          </cell>
          <cell r="AF336">
            <v>23.75</v>
          </cell>
          <cell r="AG336">
            <v>9.39</v>
          </cell>
          <cell r="AH336">
            <v>0.68</v>
          </cell>
        </row>
        <row r="337">
          <cell r="W337">
            <v>5.4</v>
          </cell>
          <cell r="X337">
            <v>5.4</v>
          </cell>
          <cell r="Y337">
            <v>91.2</v>
          </cell>
          <cell r="Z337">
            <v>33.57</v>
          </cell>
          <cell r="AA337">
            <v>15.55</v>
          </cell>
          <cell r="AB337">
            <v>52.62</v>
          </cell>
          <cell r="AC337">
            <v>48.66</v>
          </cell>
          <cell r="AD337">
            <v>16.71</v>
          </cell>
          <cell r="AE337">
            <v>10.46</v>
          </cell>
          <cell r="AF337">
            <v>25</v>
          </cell>
          <cell r="AG337">
            <v>10</v>
          </cell>
          <cell r="AH337">
            <v>0.68</v>
          </cell>
        </row>
        <row r="338">
          <cell r="W338">
            <v>5.6</v>
          </cell>
          <cell r="X338">
            <v>5.6</v>
          </cell>
          <cell r="Y338">
            <v>93.34</v>
          </cell>
          <cell r="Z338">
            <v>34.25</v>
          </cell>
          <cell r="AA338">
            <v>16.28</v>
          </cell>
          <cell r="AB338">
            <v>57.32</v>
          </cell>
          <cell r="AC338">
            <v>56.44</v>
          </cell>
          <cell r="AD338">
            <v>18.260000000000002</v>
          </cell>
          <cell r="AE338">
            <v>11.7</v>
          </cell>
          <cell r="AF338">
            <v>25</v>
          </cell>
          <cell r="AG338">
            <v>10</v>
          </cell>
          <cell r="AH338">
            <v>0.68</v>
          </cell>
        </row>
        <row r="339">
          <cell r="W339">
            <v>5.8</v>
          </cell>
          <cell r="X339">
            <v>5.8</v>
          </cell>
          <cell r="Y339">
            <v>97.47</v>
          </cell>
          <cell r="Z339">
            <v>35.5</v>
          </cell>
          <cell r="AA339">
            <v>17.02</v>
          </cell>
          <cell r="AB339">
            <v>61.81</v>
          </cell>
          <cell r="AC339">
            <v>64.900000000000006</v>
          </cell>
          <cell r="AD339">
            <v>19.89</v>
          </cell>
          <cell r="AE339">
            <v>12.99</v>
          </cell>
          <cell r="AF339">
            <v>26.25</v>
          </cell>
          <cell r="AG339">
            <v>10.18</v>
          </cell>
          <cell r="AH339">
            <v>0.68</v>
          </cell>
        </row>
        <row r="340">
          <cell r="W340">
            <v>6</v>
          </cell>
          <cell r="X340">
            <v>6</v>
          </cell>
          <cell r="Y340">
            <v>98.93</v>
          </cell>
          <cell r="Z340">
            <v>37.659999999999997</v>
          </cell>
          <cell r="AA340">
            <v>17.79</v>
          </cell>
          <cell r="AB340">
            <v>67.11</v>
          </cell>
          <cell r="AC340">
            <v>74.680000000000007</v>
          </cell>
          <cell r="AD340">
            <v>21.59</v>
          </cell>
          <cell r="AE340">
            <v>14.35</v>
          </cell>
          <cell r="AF340">
            <v>27.5</v>
          </cell>
          <cell r="AG340">
            <v>10.79</v>
          </cell>
          <cell r="AH340">
            <v>0.68</v>
          </cell>
        </row>
        <row r="341">
          <cell r="W341">
            <v>6.2</v>
          </cell>
          <cell r="X341">
            <v>6.2</v>
          </cell>
          <cell r="Y341">
            <v>104.5</v>
          </cell>
          <cell r="Z341">
            <v>38.4</v>
          </cell>
          <cell r="AA341">
            <v>18.579999999999998</v>
          </cell>
          <cell r="AB341">
            <v>72.22</v>
          </cell>
          <cell r="AC341">
            <v>85.08</v>
          </cell>
          <cell r="AD341">
            <v>23.35</v>
          </cell>
          <cell r="AE341">
            <v>15.78</v>
          </cell>
          <cell r="AF341">
            <v>27.5</v>
          </cell>
          <cell r="AG341">
            <v>10.79</v>
          </cell>
          <cell r="AH341">
            <v>0.68</v>
          </cell>
        </row>
        <row r="342">
          <cell r="W342">
            <v>6.4</v>
          </cell>
          <cell r="X342">
            <v>6.4</v>
          </cell>
          <cell r="Y342">
            <v>108.83</v>
          </cell>
          <cell r="Z342">
            <v>39.71</v>
          </cell>
          <cell r="AA342">
            <v>19.39</v>
          </cell>
          <cell r="AB342">
            <v>78.069999999999993</v>
          </cell>
          <cell r="AC342">
            <v>96.36</v>
          </cell>
          <cell r="AD342">
            <v>25.2</v>
          </cell>
          <cell r="AE342">
            <v>17.28</v>
          </cell>
          <cell r="AF342">
            <v>28.75</v>
          </cell>
          <cell r="AG342">
            <v>11.4</v>
          </cell>
          <cell r="AH342">
            <v>0.68</v>
          </cell>
        </row>
        <row r="343">
          <cell r="W343">
            <v>6.6</v>
          </cell>
          <cell r="X343">
            <v>6.6</v>
          </cell>
          <cell r="Y343">
            <v>113.7</v>
          </cell>
          <cell r="Z343">
            <v>41.4</v>
          </cell>
          <cell r="AA343">
            <v>20.22</v>
          </cell>
          <cell r="AB343">
            <v>83.99</v>
          </cell>
          <cell r="AC343">
            <v>108.68</v>
          </cell>
          <cell r="AD343">
            <v>27.08</v>
          </cell>
          <cell r="AE343">
            <v>18.850000000000001</v>
          </cell>
          <cell r="AF343">
            <v>30</v>
          </cell>
          <cell r="AG343">
            <v>11.57</v>
          </cell>
          <cell r="AH343">
            <v>0.68</v>
          </cell>
        </row>
        <row r="344">
          <cell r="W344">
            <v>6.8</v>
          </cell>
          <cell r="X344">
            <v>6.8</v>
          </cell>
          <cell r="Y344">
            <v>115.93</v>
          </cell>
          <cell r="Z344">
            <v>42.78</v>
          </cell>
          <cell r="AA344">
            <v>21.09</v>
          </cell>
          <cell r="AB344">
            <v>90.25</v>
          </cell>
          <cell r="AC344">
            <v>121.94</v>
          </cell>
          <cell r="AD344">
            <v>29.04</v>
          </cell>
          <cell r="AE344">
            <v>20.48</v>
          </cell>
          <cell r="AF344">
            <v>30</v>
          </cell>
          <cell r="AG344">
            <v>11.57</v>
          </cell>
          <cell r="AH344">
            <v>0.68</v>
          </cell>
        </row>
        <row r="345">
          <cell r="W345">
            <v>7</v>
          </cell>
          <cell r="X345">
            <v>7</v>
          </cell>
          <cell r="Y345">
            <v>120.86</v>
          </cell>
          <cell r="Z345">
            <v>44.15</v>
          </cell>
          <cell r="AA345">
            <v>21.96</v>
          </cell>
          <cell r="AB345">
            <v>95.82</v>
          </cell>
          <cell r="AC345">
            <v>135.72</v>
          </cell>
          <cell r="AD345">
            <v>31.3</v>
          </cell>
          <cell r="AE345">
            <v>22.18</v>
          </cell>
          <cell r="AF345">
            <v>31.25</v>
          </cell>
          <cell r="AG345">
            <v>12.18</v>
          </cell>
          <cell r="AH345">
            <v>0.68</v>
          </cell>
        </row>
        <row r="346">
          <cell r="W346">
            <v>7.2</v>
          </cell>
          <cell r="X346">
            <v>7.2</v>
          </cell>
          <cell r="Y346">
            <v>125.48</v>
          </cell>
          <cell r="Z346">
            <v>45.55</v>
          </cell>
          <cell r="AA346">
            <v>22.87</v>
          </cell>
          <cell r="AB346">
            <v>103.38</v>
          </cell>
          <cell r="AC346">
            <v>151.63</v>
          </cell>
          <cell r="AD346">
            <v>33.19</v>
          </cell>
          <cell r="AE346">
            <v>23.95</v>
          </cell>
          <cell r="AF346">
            <v>32.5</v>
          </cell>
          <cell r="AG346">
            <v>12.79</v>
          </cell>
          <cell r="AH346">
            <v>0.68</v>
          </cell>
        </row>
        <row r="347">
          <cell r="W347">
            <v>7.4</v>
          </cell>
          <cell r="X347">
            <v>7.4</v>
          </cell>
          <cell r="Y347">
            <v>128.30000000000001</v>
          </cell>
          <cell r="Z347">
            <v>46.44</v>
          </cell>
          <cell r="AA347">
            <v>23.8</v>
          </cell>
          <cell r="AB347">
            <v>110.21</v>
          </cell>
          <cell r="AC347">
            <v>168.09</v>
          </cell>
          <cell r="AD347">
            <v>35.36</v>
          </cell>
          <cell r="AE347">
            <v>25.79</v>
          </cell>
          <cell r="AF347">
            <v>32.5</v>
          </cell>
          <cell r="AG347">
            <v>12.79</v>
          </cell>
          <cell r="AH347">
            <v>0.68</v>
          </cell>
        </row>
        <row r="348">
          <cell r="W348">
            <v>7.6</v>
          </cell>
          <cell r="X348">
            <v>7.6</v>
          </cell>
          <cell r="Y348">
            <v>132.21</v>
          </cell>
          <cell r="Z348">
            <v>48.77</v>
          </cell>
          <cell r="AA348">
            <v>24.74</v>
          </cell>
          <cell r="AB348">
            <v>118.55</v>
          </cell>
          <cell r="AC348">
            <v>185.71</v>
          </cell>
          <cell r="AD348">
            <v>37.6</v>
          </cell>
          <cell r="AE348">
            <v>27.69</v>
          </cell>
          <cell r="AF348">
            <v>33.75</v>
          </cell>
          <cell r="AG348">
            <v>12.96</v>
          </cell>
          <cell r="AH348">
            <v>0.68</v>
          </cell>
        </row>
        <row r="349">
          <cell r="W349">
            <v>7.8</v>
          </cell>
          <cell r="X349">
            <v>7.8</v>
          </cell>
          <cell r="Y349">
            <v>138.4</v>
          </cell>
          <cell r="Z349">
            <v>50.26</v>
          </cell>
          <cell r="AA349">
            <v>25.72</v>
          </cell>
          <cell r="AB349">
            <v>126.19</v>
          </cell>
          <cell r="AC349">
            <v>204.53</v>
          </cell>
          <cell r="AD349">
            <v>39.909999999999997</v>
          </cell>
          <cell r="AE349">
            <v>29.67</v>
          </cell>
          <cell r="AF349">
            <v>35</v>
          </cell>
          <cell r="AG349">
            <v>13.57</v>
          </cell>
          <cell r="AH349">
            <v>0.68</v>
          </cell>
        </row>
        <row r="350">
          <cell r="W350">
            <v>8</v>
          </cell>
          <cell r="X350">
            <v>8</v>
          </cell>
          <cell r="Y350">
            <v>141.44</v>
          </cell>
          <cell r="Z350">
            <v>51.2</v>
          </cell>
          <cell r="AA350">
            <v>26.71</v>
          </cell>
          <cell r="AB350">
            <v>131.99</v>
          </cell>
          <cell r="AC350">
            <v>224.54</v>
          </cell>
          <cell r="AD350">
            <v>42.23</v>
          </cell>
          <cell r="AE350">
            <v>31.71</v>
          </cell>
          <cell r="AF350">
            <v>35</v>
          </cell>
          <cell r="AG350">
            <v>13.57</v>
          </cell>
          <cell r="AH350">
            <v>0.68</v>
          </cell>
        </row>
        <row r="351">
          <cell r="W351">
            <v>8.1999999999999993</v>
          </cell>
          <cell r="X351">
            <v>8.1999999999999993</v>
          </cell>
          <cell r="Y351">
            <v>146.9</v>
          </cell>
          <cell r="Z351">
            <v>53.61</v>
          </cell>
          <cell r="AA351">
            <v>27.73</v>
          </cell>
          <cell r="AB351">
            <v>13.44</v>
          </cell>
          <cell r="AC351">
            <v>245.99</v>
          </cell>
          <cell r="AD351">
            <v>44.73</v>
          </cell>
          <cell r="AE351">
            <v>33.82</v>
          </cell>
          <cell r="AF351">
            <v>36.25</v>
          </cell>
          <cell r="AG351">
            <v>14.18</v>
          </cell>
          <cell r="AH351">
            <v>0.68</v>
          </cell>
        </row>
        <row r="352">
          <cell r="W352">
            <v>8.4</v>
          </cell>
          <cell r="X352">
            <v>8.4</v>
          </cell>
          <cell r="Y352">
            <v>150.08000000000001</v>
          </cell>
          <cell r="Z352">
            <v>54.62</v>
          </cell>
          <cell r="AA352">
            <v>28.78</v>
          </cell>
          <cell r="AB352">
            <v>152.47999999999999</v>
          </cell>
          <cell r="AC352">
            <v>268.39999999999998</v>
          </cell>
          <cell r="AD352">
            <v>47.24</v>
          </cell>
          <cell r="AE352">
            <v>35.99</v>
          </cell>
          <cell r="AF352">
            <v>36.25</v>
          </cell>
          <cell r="AG352">
            <v>14.18</v>
          </cell>
          <cell r="AH352">
            <v>0.68</v>
          </cell>
        </row>
        <row r="353">
          <cell r="W353">
            <v>8.6</v>
          </cell>
          <cell r="X353">
            <v>8.6</v>
          </cell>
          <cell r="Y353">
            <v>155.16999999999999</v>
          </cell>
          <cell r="Z353">
            <v>56.17</v>
          </cell>
          <cell r="AA353">
            <v>29.84</v>
          </cell>
          <cell r="AB353">
            <v>161.9</v>
          </cell>
          <cell r="AC353">
            <v>292.31</v>
          </cell>
          <cell r="AD353">
            <v>49.82</v>
          </cell>
          <cell r="AE353">
            <v>38.42</v>
          </cell>
          <cell r="AF353">
            <v>37.5</v>
          </cell>
          <cell r="AG353">
            <v>14.35</v>
          </cell>
          <cell r="AH353">
            <v>0.68</v>
          </cell>
        </row>
        <row r="354">
          <cell r="W354">
            <v>8.8000000000000007</v>
          </cell>
          <cell r="X354">
            <v>8.8000000000000007</v>
          </cell>
          <cell r="Y354">
            <v>159.52000000000001</v>
          </cell>
          <cell r="Z354">
            <v>58.67</v>
          </cell>
          <cell r="AA354">
            <v>30.93</v>
          </cell>
          <cell r="AB354">
            <v>171.52</v>
          </cell>
          <cell r="AC354">
            <v>317.64</v>
          </cell>
          <cell r="AD354">
            <v>52.46</v>
          </cell>
          <cell r="AE354">
            <v>40.5</v>
          </cell>
          <cell r="AF354">
            <v>38.75</v>
          </cell>
          <cell r="AG354">
            <v>14.96</v>
          </cell>
          <cell r="AH354">
            <v>0.68</v>
          </cell>
        </row>
        <row r="355">
          <cell r="W355">
            <v>9</v>
          </cell>
          <cell r="X355">
            <v>9</v>
          </cell>
          <cell r="Y355">
            <v>172.19</v>
          </cell>
          <cell r="Z355">
            <v>61.25</v>
          </cell>
          <cell r="AA355">
            <v>33.590000000000003</v>
          </cell>
          <cell r="AB355">
            <v>184.57</v>
          </cell>
          <cell r="AC355">
            <v>342.08499999999998</v>
          </cell>
          <cell r="AD355">
            <v>55.18</v>
          </cell>
          <cell r="AE355">
            <v>42.93</v>
          </cell>
          <cell r="AF355">
            <v>38.75</v>
          </cell>
          <cell r="AG355">
            <v>14.96</v>
          </cell>
          <cell r="AH355">
            <v>0.68</v>
          </cell>
        </row>
        <row r="356">
          <cell r="W356">
            <v>9.1999999999999993</v>
          </cell>
          <cell r="X356">
            <v>9.1999999999999993</v>
          </cell>
          <cell r="Y356">
            <v>180.04</v>
          </cell>
          <cell r="Z356">
            <v>62.35</v>
          </cell>
          <cell r="AA356">
            <v>34.28</v>
          </cell>
          <cell r="AB356">
            <v>200.81</v>
          </cell>
          <cell r="AC356">
            <v>365.26499999999999</v>
          </cell>
          <cell r="AD356">
            <v>57.96</v>
          </cell>
          <cell r="AE356">
            <v>45.38</v>
          </cell>
          <cell r="AF356">
            <v>40</v>
          </cell>
          <cell r="AG356">
            <v>15.57</v>
          </cell>
          <cell r="AH356">
            <v>0.68</v>
          </cell>
        </row>
        <row r="357">
          <cell r="W357">
            <v>9.4</v>
          </cell>
          <cell r="X357">
            <v>9.4</v>
          </cell>
          <cell r="Y357">
            <v>188.51</v>
          </cell>
          <cell r="Z357">
            <v>65.59</v>
          </cell>
          <cell r="AA357">
            <v>36.21</v>
          </cell>
          <cell r="AB357">
            <v>217.83</v>
          </cell>
          <cell r="AC357">
            <v>389.661</v>
          </cell>
          <cell r="AD357">
            <v>60.81</v>
          </cell>
          <cell r="AE357">
            <v>47.89</v>
          </cell>
          <cell r="AF357">
            <v>41.25</v>
          </cell>
          <cell r="AG357">
            <v>15.74</v>
          </cell>
          <cell r="AH357">
            <v>0.68</v>
          </cell>
        </row>
        <row r="358">
          <cell r="W358">
            <v>9.6</v>
          </cell>
          <cell r="X358">
            <v>9.6</v>
          </cell>
          <cell r="Y358">
            <v>193.67</v>
          </cell>
          <cell r="Z358">
            <v>67.099999999999994</v>
          </cell>
          <cell r="AA358">
            <v>37.799999999999997</v>
          </cell>
          <cell r="AB358">
            <v>232.56</v>
          </cell>
          <cell r="AC358">
            <v>417.77100000000002</v>
          </cell>
          <cell r="AD358">
            <v>63.73</v>
          </cell>
          <cell r="AE358">
            <v>50.48</v>
          </cell>
          <cell r="AF358">
            <v>41.25</v>
          </cell>
          <cell r="AG358">
            <v>15.74</v>
          </cell>
          <cell r="AH358">
            <v>0.68</v>
          </cell>
        </row>
        <row r="359">
          <cell r="W359">
            <v>9.8000000000000007</v>
          </cell>
          <cell r="X359">
            <v>9.8000000000000007</v>
          </cell>
          <cell r="Y359">
            <v>199.71</v>
          </cell>
          <cell r="Z359">
            <v>68.7</v>
          </cell>
          <cell r="AA359">
            <v>38.9</v>
          </cell>
          <cell r="AB359">
            <v>242.38</v>
          </cell>
          <cell r="AC359">
            <v>451.14299999999997</v>
          </cell>
          <cell r="AD359">
            <v>66.709999999999994</v>
          </cell>
          <cell r="AE359">
            <v>51.79</v>
          </cell>
          <cell r="AF359">
            <v>42.5</v>
          </cell>
          <cell r="AG359">
            <v>16.350000000000001</v>
          </cell>
          <cell r="AH359">
            <v>0.68</v>
          </cell>
        </row>
        <row r="360">
          <cell r="W360">
            <v>10</v>
          </cell>
          <cell r="X360">
            <v>10</v>
          </cell>
          <cell r="Y360">
            <v>207.3</v>
          </cell>
          <cell r="Z360">
            <v>71.73</v>
          </cell>
          <cell r="AA360">
            <v>40.549999999999997</v>
          </cell>
          <cell r="AB360">
            <v>259.64999999999998</v>
          </cell>
          <cell r="AC360">
            <v>483.40499999999997</v>
          </cell>
          <cell r="AD360">
            <v>69.77</v>
          </cell>
          <cell r="AE360">
            <v>55.85</v>
          </cell>
          <cell r="AF360">
            <v>43.75</v>
          </cell>
          <cell r="AG360">
            <v>16.52</v>
          </cell>
          <cell r="AH360">
            <v>0.68</v>
          </cell>
        </row>
      </sheetData>
      <sheetData sheetId="30"/>
      <sheetData sheetId="31" refreshError="1"/>
      <sheetData sheetId="32" refreshError="1"/>
      <sheetData sheetId="33"/>
      <sheetData sheetId="34"/>
      <sheetData sheetId="3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Sheet1"/>
      <sheetName val="Cover"/>
      <sheetName val="DATA_ENTRY"/>
      <sheetName val="Letter"/>
      <sheetName val="Report"/>
      <sheetName val="GenAbs"/>
      <sheetName val="Seigniorages"/>
      <sheetName val="DetEst"/>
      <sheetName val="WorkSlip"/>
      <sheetName val="BTLeads"/>
      <sheetName val="RMR"/>
      <sheetName val="MRoad data"/>
      <sheetName val="Certificates"/>
      <sheetName val="TO BE UPDATE"/>
      <sheetName val="DETAILED ESTIMATE "/>
      <sheetName val="data input "/>
      <sheetName val="site clearance "/>
      <sheetName val="traffic "/>
      <sheetName val="MRATES"/>
      <sheetName val="Sheet3"/>
      <sheetName val="SC Abs"/>
      <sheetName val="INV "/>
      <sheetName val="BC ABS M-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Sheet1"/>
      <sheetName val="Cover"/>
      <sheetName val="DATA_ENTRY"/>
      <sheetName val="Letter"/>
      <sheetName val="Report"/>
      <sheetName val="GenAbs"/>
      <sheetName val="Seigniorages"/>
      <sheetName val="DetEst"/>
      <sheetName val="WorkSlip"/>
      <sheetName val="BTLeads"/>
      <sheetName val="RMR"/>
      <sheetName val="MRoad data"/>
      <sheetName val="Certificates"/>
      <sheetName val="TO BE UPDATE"/>
      <sheetName val="DETAILED ESTIMATE "/>
      <sheetName val="data input "/>
      <sheetName val="site clearance "/>
      <sheetName val="traffic "/>
      <sheetName val="MRATES"/>
      <sheetName val="Sheet3"/>
      <sheetName val="SC Abs"/>
      <sheetName val="INV "/>
      <sheetName val="BC ABS M-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6">
          <cell r="G6">
            <v>103</v>
          </cell>
          <cell r="J6">
            <v>532</v>
          </cell>
        </row>
        <row r="7">
          <cell r="J7">
            <v>692</v>
          </cell>
          <cell r="M7">
            <v>504</v>
          </cell>
        </row>
        <row r="8">
          <cell r="J8">
            <v>822</v>
          </cell>
          <cell r="M8">
            <v>656</v>
          </cell>
        </row>
        <row r="9">
          <cell r="J9">
            <v>1036</v>
          </cell>
          <cell r="M9">
            <v>780</v>
          </cell>
        </row>
        <row r="10">
          <cell r="J10">
            <v>994</v>
          </cell>
          <cell r="M10">
            <v>984</v>
          </cell>
        </row>
        <row r="11">
          <cell r="J11">
            <v>620</v>
          </cell>
          <cell r="M11">
            <v>944</v>
          </cell>
        </row>
        <row r="12">
          <cell r="M12">
            <v>588</v>
          </cell>
        </row>
        <row r="13">
          <cell r="G13">
            <v>95</v>
          </cell>
          <cell r="M13">
            <v>456</v>
          </cell>
        </row>
        <row r="14">
          <cell r="G14">
            <v>144</v>
          </cell>
          <cell r="M14">
            <v>419</v>
          </cell>
        </row>
        <row r="15">
          <cell r="G15">
            <v>164</v>
          </cell>
        </row>
        <row r="16">
          <cell r="G16">
            <v>42</v>
          </cell>
        </row>
        <row r="17">
          <cell r="G17">
            <v>48</v>
          </cell>
        </row>
        <row r="35">
          <cell r="C35">
            <v>5</v>
          </cell>
        </row>
        <row r="37">
          <cell r="C37">
            <v>5</v>
          </cell>
        </row>
        <row r="50">
          <cell r="P50">
            <v>46000</v>
          </cell>
        </row>
      </sheetData>
      <sheetData sheetId="21"/>
      <sheetData sheetId="22"/>
      <sheetData sheetId="23"/>
      <sheetData sheetId="2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leads"/>
    </sheetNames>
    <sheetDataSet>
      <sheetData sheetId="0"/>
      <sheetData sheetId="1" refreshError="1">
        <row r="6">
          <cell r="J6">
            <v>336.1</v>
          </cell>
        </row>
        <row r="7">
          <cell r="J7">
            <v>640.6</v>
          </cell>
        </row>
        <row r="8">
          <cell r="J8">
            <v>528.1</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_Ch9.00 1mtdrop"/>
      <sheetName val="Ch_9_ 1.00mt Drop"/>
      <sheetName val="Ch13.00Est_1mtDrop"/>
      <sheetName val="Ch13.00 1Mt Drop"/>
      <sheetName val="Ch15Est_imtdrop"/>
      <sheetName val="15_Design_1.0M_Drop"/>
    </sheetNames>
    <sheetDataSet>
      <sheetData sheetId="0" refreshError="1"/>
      <sheetData sheetId="1"/>
      <sheetData sheetId="2" refreshError="1"/>
      <sheetData sheetId="3">
        <row r="6">
          <cell r="F6">
            <v>7.4999999999999997E-2</v>
          </cell>
        </row>
        <row r="7">
          <cell r="F7">
            <v>1</v>
          </cell>
        </row>
        <row r="8">
          <cell r="F8">
            <v>0.5</v>
          </cell>
          <cell r="H8">
            <v>0.5</v>
          </cell>
        </row>
        <row r="9">
          <cell r="F9">
            <v>0.45</v>
          </cell>
          <cell r="H9">
            <v>0.45</v>
          </cell>
        </row>
        <row r="10">
          <cell r="F10">
            <v>93.569999999999879</v>
          </cell>
          <cell r="H10">
            <v>92.569999999999879</v>
          </cell>
        </row>
        <row r="11">
          <cell r="F11">
            <v>94.63</v>
          </cell>
          <cell r="H11">
            <v>94.63</v>
          </cell>
        </row>
        <row r="25">
          <cell r="F25">
            <v>0.88</v>
          </cell>
        </row>
        <row r="29">
          <cell r="H29">
            <v>0.5</v>
          </cell>
        </row>
        <row r="35">
          <cell r="H35">
            <v>1</v>
          </cell>
        </row>
        <row r="42">
          <cell r="H42">
            <v>3</v>
          </cell>
        </row>
      </sheetData>
      <sheetData sheetId="4" refreshError="1"/>
      <sheetData sheetId="5">
        <row r="6">
          <cell r="F6">
            <v>0.15</v>
          </cell>
        </row>
        <row r="7">
          <cell r="F7">
            <v>0.9</v>
          </cell>
        </row>
        <row r="8">
          <cell r="F8">
            <v>0.3</v>
          </cell>
          <cell r="H8">
            <v>0.5</v>
          </cell>
        </row>
        <row r="9">
          <cell r="F9">
            <v>0.45</v>
          </cell>
          <cell r="H9">
            <v>0.45</v>
          </cell>
        </row>
        <row r="10">
          <cell r="F10">
            <v>200.78</v>
          </cell>
          <cell r="H10">
            <v>199.78</v>
          </cell>
        </row>
        <row r="11">
          <cell r="F11">
            <v>201.47</v>
          </cell>
          <cell r="H11">
            <v>201.47</v>
          </cell>
        </row>
        <row r="25">
          <cell r="F25">
            <v>0.79</v>
          </cell>
        </row>
        <row r="29">
          <cell r="H29">
            <v>0.45</v>
          </cell>
        </row>
        <row r="35">
          <cell r="H35">
            <v>1</v>
          </cell>
        </row>
        <row r="42">
          <cell r="H42">
            <v>2</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DATA_ENTRY"/>
      <sheetName val="Letter"/>
      <sheetName val="Cover"/>
      <sheetName val="Report"/>
      <sheetName val="GenAbs"/>
      <sheetName val="DWE"/>
      <sheetName val="Compar"/>
      <sheetName val="DetEst"/>
      <sheetName val="Seignarages"/>
      <sheetName val="Lead"/>
      <sheetName val="RMR"/>
      <sheetName val="BT"/>
      <sheetName val="MasterData"/>
      <sheetName val="WorkSlip"/>
      <sheetName val="Certificates"/>
      <sheetName val="M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DATA_ENTRY"/>
      <sheetName val="Letter"/>
      <sheetName val="Cover"/>
      <sheetName val="Report"/>
      <sheetName val="GenAbs"/>
      <sheetName val="DWE"/>
      <sheetName val="Compar"/>
      <sheetName val="DetEst"/>
      <sheetName val="Seignarages"/>
      <sheetName val="Lead"/>
      <sheetName val="RMR"/>
      <sheetName val="BT"/>
      <sheetName val="MasterData"/>
      <sheetName val="WorkSlip"/>
      <sheetName val="Certificates"/>
      <sheetName val="MRAT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6">
          <cell r="G6">
            <v>103</v>
          </cell>
          <cell r="M6">
            <v>308</v>
          </cell>
        </row>
        <row r="7">
          <cell r="G7">
            <v>566</v>
          </cell>
          <cell r="J7">
            <v>692</v>
          </cell>
          <cell r="M7">
            <v>504</v>
          </cell>
        </row>
        <row r="8">
          <cell r="G8">
            <v>422</v>
          </cell>
          <cell r="J8">
            <v>822</v>
          </cell>
          <cell r="M8">
            <v>656</v>
          </cell>
        </row>
        <row r="9">
          <cell r="G9">
            <v>302</v>
          </cell>
          <cell r="J9">
            <v>1036</v>
          </cell>
          <cell r="M9">
            <v>780</v>
          </cell>
        </row>
        <row r="10">
          <cell r="G10">
            <v>262</v>
          </cell>
          <cell r="M10">
            <v>984</v>
          </cell>
          <cell r="AD10">
            <v>52</v>
          </cell>
        </row>
        <row r="11">
          <cell r="G11">
            <v>160</v>
          </cell>
          <cell r="J11">
            <v>620</v>
          </cell>
          <cell r="M11">
            <v>944</v>
          </cell>
          <cell r="X11">
            <v>103.9</v>
          </cell>
          <cell r="AD11">
            <v>15.8</v>
          </cell>
        </row>
        <row r="12">
          <cell r="G12">
            <v>30</v>
          </cell>
          <cell r="M12">
            <v>588</v>
          </cell>
          <cell r="X12">
            <v>15.8</v>
          </cell>
        </row>
        <row r="13">
          <cell r="G13">
            <v>95</v>
          </cell>
          <cell r="X13">
            <v>0</v>
          </cell>
        </row>
        <row r="15">
          <cell r="G15">
            <v>156</v>
          </cell>
        </row>
        <row r="16">
          <cell r="G16">
            <v>42</v>
          </cell>
          <cell r="J16">
            <v>70</v>
          </cell>
        </row>
        <row r="17">
          <cell r="G17">
            <v>48</v>
          </cell>
          <cell r="J17">
            <v>74</v>
          </cell>
          <cell r="M17">
            <v>340</v>
          </cell>
        </row>
        <row r="18">
          <cell r="J18">
            <v>70</v>
          </cell>
        </row>
        <row r="30">
          <cell r="H30">
            <v>0</v>
          </cell>
          <cell r="K30">
            <v>0</v>
          </cell>
        </row>
        <row r="32">
          <cell r="H32">
            <v>0</v>
          </cell>
          <cell r="K32">
            <v>0</v>
          </cell>
        </row>
        <row r="33">
          <cell r="K33">
            <v>0</v>
          </cell>
        </row>
        <row r="34">
          <cell r="C34">
            <v>5</v>
          </cell>
          <cell r="H34">
            <v>0</v>
          </cell>
          <cell r="K34">
            <v>0</v>
          </cell>
        </row>
        <row r="35">
          <cell r="C35">
            <v>20</v>
          </cell>
        </row>
        <row r="36">
          <cell r="C36">
            <v>10</v>
          </cell>
        </row>
        <row r="48">
          <cell r="P48">
            <v>5650</v>
          </cell>
        </row>
        <row r="49">
          <cell r="P49">
            <v>29500</v>
          </cell>
        </row>
        <row r="50">
          <cell r="P50">
            <v>36000</v>
          </cell>
        </row>
        <row r="51">
          <cell r="P51">
            <v>37500</v>
          </cell>
        </row>
        <row r="52">
          <cell r="P52">
            <v>70</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C data"/>
      <sheetName val="DATA_ENTRY"/>
      <sheetName val="UnitRates"/>
      <sheetName val="Report"/>
      <sheetName val="DetEst"/>
      <sheetName val="DetAbsAbs"/>
      <sheetName val="Lead"/>
      <sheetName val="WorkSlip"/>
      <sheetName val="BTLeads"/>
      <sheetName val="RMR"/>
      <sheetName val="HNM est"/>
      <sheetName val="HNM CS"/>
      <sheetName val="HNM LSCC"/>
      <sheetName val="hnm MSRMRNTS"/>
      <sheetName val="MRoad data"/>
      <sheetName val="Certificates"/>
      <sheetName val="MRATES"/>
      <sheetName val="Title"/>
      <sheetName val="GEN AB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ow r="6">
          <cell r="X6">
            <v>12.8</v>
          </cell>
        </row>
        <row r="17">
          <cell r="T17">
            <v>46000</v>
          </cell>
        </row>
      </sheetData>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F"/>
      <sheetName val="General_Abstract"/>
      <sheetName val="Name"/>
      <sheetName val="21-Col"/>
      <sheetName val="BCR"/>
      <sheetName val="GAB&amp; BCR"/>
      <sheetName val="RGM"/>
      <sheetName val="Canal -R.F"/>
      <sheetName val="Report"/>
      <sheetName val="YDBS"/>
      <sheetName val="Sheet2"/>
      <sheetName val="Weir Est (2)"/>
      <sheetName val="Abst-sl"/>
      <sheetName val="Rain fall"/>
      <sheetName val="EAB SC"/>
      <sheetName val="EWE-SC "/>
      <sheetName val="D-TAB"/>
      <sheetName val="P I R"/>
      <sheetName val="P.S"/>
      <sheetName val="Drawings"/>
      <sheetName val="Abst (2)"/>
      <sheetName val="S.C"/>
      <sheetName val="Weir Est-sl"/>
      <sheetName val="D-Slu"/>
      <sheetName val="Est-Slu"/>
      <sheetName val="Sheet1"/>
      <sheetName val="RGM (2)"/>
      <sheetName val="Tech Dts"/>
      <sheetName val="Certi"/>
      <sheetName val="CONST"/>
      <sheetName val="DT Bund "/>
      <sheetName val="C"/>
      <sheetName val="COM &amp; L.C"/>
      <sheetName val="USER1"/>
      <sheetName val="Data"/>
      <sheetName val="SSR 04-05"/>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sheetData sheetId="34"/>
      <sheetData sheetId="3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 val="Lead"/>
      <sheetName val="Materials"/>
      <sheetName val="Data "/>
      <sheetName val="Retaing"/>
      <sheetName val="Abstract(F6)"/>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7">
          <cell r="H7">
            <v>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DATA_ENTRY"/>
      <sheetName val="DetEst"/>
      <sheetName val="GenAbs"/>
      <sheetName val="WorkSlip"/>
      <sheetName val="BTLeads"/>
      <sheetName val="RMR"/>
      <sheetName val="MRoad data"/>
      <sheetName val="MRATES"/>
      <sheetName val="seignorage"/>
      <sheetName val="necessary information"/>
      <sheetName val="DetAbsAbs"/>
      <sheetName val="Sheet1 (2)"/>
      <sheetName val="AS_SR"/>
      <sheetName val="TS_MD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DATA_ENTRY"/>
      <sheetName val="DetEst"/>
      <sheetName val="GenAbs"/>
      <sheetName val="WorkSlip"/>
      <sheetName val="BTLeads"/>
      <sheetName val="RMR"/>
      <sheetName val="MRoad data"/>
      <sheetName val="MRATES"/>
      <sheetName val="seignorage"/>
      <sheetName val="necessary information"/>
      <sheetName val="DetAbsAbs"/>
      <sheetName val="Sheet1 (2)"/>
      <sheetName val="AS_SR"/>
      <sheetName val="TS_MDR"/>
      <sheetName val="Sheet1"/>
    </sheetNames>
    <sheetDataSet>
      <sheetData sheetId="0"/>
      <sheetData sheetId="1"/>
      <sheetData sheetId="2"/>
      <sheetData sheetId="3"/>
      <sheetData sheetId="4"/>
      <sheetData sheetId="5"/>
      <sheetData sheetId="6"/>
      <sheetData sheetId="7"/>
      <sheetData sheetId="8"/>
      <sheetData sheetId="9">
        <row r="6">
          <cell r="C6">
            <v>430</v>
          </cell>
        </row>
        <row r="7">
          <cell r="C7">
            <v>560</v>
          </cell>
          <cell r="F7">
            <v>430</v>
          </cell>
        </row>
        <row r="8">
          <cell r="C8">
            <v>690</v>
          </cell>
          <cell r="F8">
            <v>560</v>
          </cell>
        </row>
        <row r="9">
          <cell r="C9">
            <v>845</v>
          </cell>
          <cell r="F9">
            <v>690</v>
          </cell>
        </row>
        <row r="10">
          <cell r="C10">
            <v>830</v>
          </cell>
          <cell r="F10">
            <v>845</v>
          </cell>
        </row>
        <row r="11">
          <cell r="C11">
            <v>500</v>
          </cell>
          <cell r="F11">
            <v>830</v>
          </cell>
        </row>
        <row r="12">
          <cell r="F12">
            <v>500</v>
          </cell>
          <cell r="I12">
            <v>82</v>
          </cell>
        </row>
        <row r="13">
          <cell r="F13">
            <v>390</v>
          </cell>
          <cell r="I13">
            <v>71</v>
          </cell>
        </row>
        <row r="14">
          <cell r="F14">
            <v>360</v>
          </cell>
          <cell r="I14">
            <v>95</v>
          </cell>
        </row>
        <row r="15">
          <cell r="I15">
            <v>37.5</v>
          </cell>
        </row>
        <row r="16">
          <cell r="I16">
            <v>42</v>
          </cell>
        </row>
        <row r="17">
          <cell r="T17">
            <v>41500</v>
          </cell>
        </row>
        <row r="26">
          <cell r="T26">
            <v>20</v>
          </cell>
        </row>
      </sheetData>
      <sheetData sheetId="10"/>
      <sheetData sheetId="11"/>
      <sheetData sheetId="12"/>
      <sheetData sheetId="13"/>
      <sheetData sheetId="14"/>
      <sheetData sheetId="15"/>
      <sheetData sheetId="16"/>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cdAbst"/>
      <sheetName val="cost"/>
      <sheetName val="data"/>
      <sheetName val="hp900"/>
      <sheetName val="CDdata (2)"/>
      <sheetName val="1v900"/>
      <sheetName val="2v900"/>
      <sheetName val="3v900"/>
      <sheetName val="impRdam"/>
      <sheetName val="CDdata"/>
      <sheetName val="lchart"/>
      <sheetName val="keymap"/>
      <sheetName val="LS"/>
      <sheetName val="CS"/>
      <sheetName val="lead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A3" t="str">
            <v>Sno</v>
          </cell>
          <cell r="B3" t="str">
            <v>Lead</v>
          </cell>
          <cell r="D3" t="str">
            <v>Earth</v>
          </cell>
          <cell r="E3" t="str">
            <v>Metal</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row>
        <row r="9">
          <cell r="A9">
            <v>6</v>
          </cell>
          <cell r="B9">
            <v>1</v>
          </cell>
          <cell r="C9" t="str">
            <v>KM</v>
          </cell>
          <cell r="D9">
            <v>58</v>
          </cell>
          <cell r="E9">
            <v>67</v>
          </cell>
        </row>
        <row r="10">
          <cell r="A10">
            <v>7</v>
          </cell>
          <cell r="B10">
            <v>2</v>
          </cell>
          <cell r="C10" t="str">
            <v>KM</v>
          </cell>
          <cell r="D10">
            <v>61</v>
          </cell>
          <cell r="E10">
            <v>69</v>
          </cell>
        </row>
        <row r="11">
          <cell r="A11">
            <v>8</v>
          </cell>
          <cell r="B11">
            <v>3</v>
          </cell>
          <cell r="C11" t="str">
            <v>KM</v>
          </cell>
          <cell r="D11">
            <v>64</v>
          </cell>
          <cell r="E11">
            <v>72</v>
          </cell>
        </row>
        <row r="12">
          <cell r="A12">
            <v>9</v>
          </cell>
          <cell r="B12">
            <v>4</v>
          </cell>
          <cell r="C12" t="str">
            <v>KM</v>
          </cell>
          <cell r="D12">
            <v>67</v>
          </cell>
          <cell r="E12">
            <v>75</v>
          </cell>
        </row>
        <row r="13">
          <cell r="A13">
            <v>10</v>
          </cell>
          <cell r="B13">
            <v>5</v>
          </cell>
          <cell r="C13" t="str">
            <v>KM</v>
          </cell>
          <cell r="D13">
            <v>70</v>
          </cell>
          <cell r="E13">
            <v>78</v>
          </cell>
        </row>
        <row r="14">
          <cell r="A14">
            <v>11</v>
          </cell>
          <cell r="B14">
            <v>6</v>
          </cell>
          <cell r="C14" t="str">
            <v>KM</v>
          </cell>
          <cell r="D14">
            <v>72</v>
          </cell>
          <cell r="E14">
            <v>82</v>
          </cell>
        </row>
        <row r="15">
          <cell r="A15">
            <v>12</v>
          </cell>
          <cell r="B15">
            <v>7</v>
          </cell>
          <cell r="C15" t="str">
            <v>KM</v>
          </cell>
          <cell r="D15">
            <v>76</v>
          </cell>
          <cell r="E15">
            <v>84</v>
          </cell>
        </row>
        <row r="16">
          <cell r="A16">
            <v>13</v>
          </cell>
          <cell r="B16">
            <v>8</v>
          </cell>
          <cell r="C16" t="str">
            <v>KM</v>
          </cell>
          <cell r="D16">
            <v>79</v>
          </cell>
          <cell r="E16">
            <v>86</v>
          </cell>
        </row>
        <row r="17">
          <cell r="A17">
            <v>14</v>
          </cell>
          <cell r="B17">
            <v>9</v>
          </cell>
          <cell r="C17" t="str">
            <v>KM</v>
          </cell>
          <cell r="D17">
            <v>82</v>
          </cell>
          <cell r="E17">
            <v>90</v>
          </cell>
        </row>
        <row r="18">
          <cell r="A18">
            <v>15</v>
          </cell>
          <cell r="B18">
            <v>10</v>
          </cell>
          <cell r="C18" t="str">
            <v>KM</v>
          </cell>
          <cell r="D18">
            <v>85</v>
          </cell>
          <cell r="E18">
            <v>92</v>
          </cell>
        </row>
        <row r="19">
          <cell r="A19">
            <v>16</v>
          </cell>
          <cell r="B19">
            <v>11</v>
          </cell>
          <cell r="C19" t="str">
            <v>KM</v>
          </cell>
          <cell r="D19">
            <v>89</v>
          </cell>
          <cell r="E19">
            <v>95</v>
          </cell>
        </row>
        <row r="20">
          <cell r="A20">
            <v>17</v>
          </cell>
          <cell r="B20">
            <v>12</v>
          </cell>
          <cell r="C20" t="str">
            <v>KM</v>
          </cell>
          <cell r="D20">
            <v>91</v>
          </cell>
          <cell r="E20">
            <v>99</v>
          </cell>
        </row>
        <row r="21">
          <cell r="A21">
            <v>18</v>
          </cell>
          <cell r="B21">
            <v>13</v>
          </cell>
          <cell r="C21" t="str">
            <v>KM</v>
          </cell>
          <cell r="D21">
            <v>94</v>
          </cell>
          <cell r="E21">
            <v>102</v>
          </cell>
        </row>
        <row r="22">
          <cell r="A22">
            <v>19</v>
          </cell>
          <cell r="B22">
            <v>14</v>
          </cell>
          <cell r="C22" t="str">
            <v>KM</v>
          </cell>
          <cell r="D22">
            <v>97</v>
          </cell>
          <cell r="E22">
            <v>105</v>
          </cell>
        </row>
        <row r="23">
          <cell r="A23">
            <v>20</v>
          </cell>
          <cell r="B23">
            <v>15</v>
          </cell>
          <cell r="C23" t="str">
            <v>KM</v>
          </cell>
          <cell r="D23">
            <v>100</v>
          </cell>
          <cell r="E23">
            <v>107</v>
          </cell>
        </row>
        <row r="24">
          <cell r="A24">
            <v>21</v>
          </cell>
          <cell r="B24">
            <v>16</v>
          </cell>
          <cell r="C24" t="str">
            <v>KM</v>
          </cell>
          <cell r="D24">
            <v>102</v>
          </cell>
          <cell r="E24">
            <v>110</v>
          </cell>
        </row>
        <row r="25">
          <cell r="A25">
            <v>22</v>
          </cell>
          <cell r="B25">
            <v>17</v>
          </cell>
          <cell r="C25" t="str">
            <v>KM</v>
          </cell>
          <cell r="D25">
            <v>106</v>
          </cell>
          <cell r="E25">
            <v>113</v>
          </cell>
        </row>
        <row r="26">
          <cell r="A26">
            <v>23</v>
          </cell>
          <cell r="B26">
            <v>18</v>
          </cell>
          <cell r="C26" t="str">
            <v>KM</v>
          </cell>
          <cell r="D26">
            <v>109</v>
          </cell>
          <cell r="E26">
            <v>116</v>
          </cell>
        </row>
        <row r="27">
          <cell r="A27">
            <v>24</v>
          </cell>
          <cell r="B27">
            <v>19</v>
          </cell>
          <cell r="C27" t="str">
            <v>KM</v>
          </cell>
          <cell r="D27">
            <v>112</v>
          </cell>
          <cell r="E27">
            <v>118</v>
          </cell>
        </row>
        <row r="28">
          <cell r="A28">
            <v>25</v>
          </cell>
          <cell r="B28">
            <v>20</v>
          </cell>
          <cell r="C28" t="str">
            <v>KM</v>
          </cell>
          <cell r="D28">
            <v>115</v>
          </cell>
          <cell r="E28">
            <v>122</v>
          </cell>
        </row>
        <row r="29">
          <cell r="A29">
            <v>26</v>
          </cell>
          <cell r="B29">
            <v>21</v>
          </cell>
          <cell r="C29" t="str">
            <v>KM</v>
          </cell>
          <cell r="D29">
            <v>117.5</v>
          </cell>
          <cell r="E29">
            <v>125</v>
          </cell>
        </row>
        <row r="30">
          <cell r="A30">
            <v>27</v>
          </cell>
          <cell r="B30">
            <v>22</v>
          </cell>
          <cell r="C30" t="str">
            <v>KM</v>
          </cell>
          <cell r="D30">
            <v>120</v>
          </cell>
          <cell r="E30">
            <v>128</v>
          </cell>
        </row>
        <row r="31">
          <cell r="A31">
            <v>28</v>
          </cell>
          <cell r="B31">
            <v>23</v>
          </cell>
          <cell r="C31" t="str">
            <v>KM</v>
          </cell>
          <cell r="D31">
            <v>122.5</v>
          </cell>
          <cell r="E31">
            <v>131</v>
          </cell>
        </row>
        <row r="32">
          <cell r="A32">
            <v>29</v>
          </cell>
          <cell r="B32">
            <v>24</v>
          </cell>
          <cell r="C32" t="str">
            <v>KM</v>
          </cell>
          <cell r="D32">
            <v>125</v>
          </cell>
          <cell r="E32">
            <v>134</v>
          </cell>
        </row>
        <row r="33">
          <cell r="A33">
            <v>30</v>
          </cell>
          <cell r="B33">
            <v>25</v>
          </cell>
          <cell r="C33" t="str">
            <v>KM</v>
          </cell>
          <cell r="D33">
            <v>127.5</v>
          </cell>
          <cell r="E33">
            <v>137</v>
          </cell>
        </row>
        <row r="34">
          <cell r="A34">
            <v>31</v>
          </cell>
          <cell r="B34">
            <v>26</v>
          </cell>
          <cell r="C34" t="str">
            <v>KM</v>
          </cell>
          <cell r="D34">
            <v>130</v>
          </cell>
          <cell r="E34">
            <v>140</v>
          </cell>
        </row>
        <row r="35">
          <cell r="A35">
            <v>32</v>
          </cell>
          <cell r="B35">
            <v>27</v>
          </cell>
          <cell r="C35" t="str">
            <v>KM</v>
          </cell>
          <cell r="D35">
            <v>132.5</v>
          </cell>
          <cell r="E35">
            <v>143</v>
          </cell>
        </row>
        <row r="36">
          <cell r="A36">
            <v>33</v>
          </cell>
          <cell r="B36">
            <v>28</v>
          </cell>
          <cell r="C36" t="str">
            <v>KM</v>
          </cell>
          <cell r="D36">
            <v>135</v>
          </cell>
          <cell r="E36">
            <v>146</v>
          </cell>
        </row>
        <row r="37">
          <cell r="A37">
            <v>34</v>
          </cell>
          <cell r="B37">
            <v>29</v>
          </cell>
          <cell r="C37" t="str">
            <v>KM</v>
          </cell>
          <cell r="D37">
            <v>137.5</v>
          </cell>
          <cell r="E37">
            <v>149</v>
          </cell>
        </row>
        <row r="38">
          <cell r="A38">
            <v>35</v>
          </cell>
          <cell r="B38">
            <v>30</v>
          </cell>
          <cell r="C38" t="str">
            <v>KM</v>
          </cell>
          <cell r="D38">
            <v>140</v>
          </cell>
          <cell r="E38">
            <v>152</v>
          </cell>
        </row>
        <row r="39">
          <cell r="A39">
            <v>36</v>
          </cell>
          <cell r="B39">
            <v>31</v>
          </cell>
          <cell r="C39" t="str">
            <v>KM</v>
          </cell>
          <cell r="D39">
            <v>142.5</v>
          </cell>
          <cell r="E39">
            <v>155</v>
          </cell>
        </row>
        <row r="40">
          <cell r="A40">
            <v>37</v>
          </cell>
          <cell r="B40">
            <v>32</v>
          </cell>
          <cell r="C40" t="str">
            <v>KM</v>
          </cell>
          <cell r="D40">
            <v>145</v>
          </cell>
          <cell r="E40">
            <v>158</v>
          </cell>
        </row>
        <row r="41">
          <cell r="A41">
            <v>38</v>
          </cell>
          <cell r="B41">
            <v>33</v>
          </cell>
          <cell r="C41" t="str">
            <v>KM</v>
          </cell>
          <cell r="D41">
            <v>147.5</v>
          </cell>
          <cell r="E41">
            <v>161</v>
          </cell>
        </row>
        <row r="42">
          <cell r="A42">
            <v>39</v>
          </cell>
          <cell r="B42">
            <v>34</v>
          </cell>
          <cell r="C42" t="str">
            <v>KM</v>
          </cell>
          <cell r="D42">
            <v>150</v>
          </cell>
          <cell r="E42">
            <v>164</v>
          </cell>
        </row>
        <row r="43">
          <cell r="A43">
            <v>40</v>
          </cell>
          <cell r="B43">
            <v>35</v>
          </cell>
          <cell r="C43" t="str">
            <v>KM</v>
          </cell>
          <cell r="D43">
            <v>152.5</v>
          </cell>
          <cell r="E43">
            <v>167</v>
          </cell>
        </row>
        <row r="44">
          <cell r="A44">
            <v>41</v>
          </cell>
          <cell r="B44">
            <v>36</v>
          </cell>
          <cell r="C44" t="str">
            <v>KM</v>
          </cell>
          <cell r="D44">
            <v>155</v>
          </cell>
          <cell r="E44">
            <v>170</v>
          </cell>
        </row>
        <row r="45">
          <cell r="A45">
            <v>42</v>
          </cell>
          <cell r="B45">
            <v>37</v>
          </cell>
          <cell r="C45" t="str">
            <v>KM</v>
          </cell>
          <cell r="D45">
            <v>157.5</v>
          </cell>
          <cell r="E45">
            <v>173</v>
          </cell>
        </row>
        <row r="46">
          <cell r="A46">
            <v>43</v>
          </cell>
          <cell r="B46">
            <v>38</v>
          </cell>
          <cell r="C46" t="str">
            <v>KM</v>
          </cell>
          <cell r="D46">
            <v>160</v>
          </cell>
          <cell r="E46">
            <v>176</v>
          </cell>
        </row>
        <row r="47">
          <cell r="A47">
            <v>44</v>
          </cell>
          <cell r="B47">
            <v>39</v>
          </cell>
          <cell r="C47" t="str">
            <v>KM</v>
          </cell>
          <cell r="D47">
            <v>162.5</v>
          </cell>
          <cell r="E47">
            <v>179</v>
          </cell>
        </row>
        <row r="48">
          <cell r="A48">
            <v>45</v>
          </cell>
          <cell r="B48">
            <v>40</v>
          </cell>
          <cell r="C48" t="str">
            <v>KM</v>
          </cell>
          <cell r="D48">
            <v>165</v>
          </cell>
          <cell r="E48">
            <v>182</v>
          </cell>
        </row>
        <row r="49">
          <cell r="A49">
            <v>46</v>
          </cell>
          <cell r="B49">
            <v>41</v>
          </cell>
          <cell r="C49" t="str">
            <v>KM</v>
          </cell>
          <cell r="D49">
            <v>167.5</v>
          </cell>
          <cell r="E49">
            <v>185</v>
          </cell>
        </row>
        <row r="50">
          <cell r="A50">
            <v>47</v>
          </cell>
          <cell r="B50">
            <v>42</v>
          </cell>
          <cell r="C50" t="str">
            <v>KM</v>
          </cell>
          <cell r="D50">
            <v>170</v>
          </cell>
          <cell r="E50">
            <v>188</v>
          </cell>
        </row>
        <row r="51">
          <cell r="A51">
            <v>48</v>
          </cell>
          <cell r="B51">
            <v>43</v>
          </cell>
          <cell r="C51" t="str">
            <v>KM</v>
          </cell>
          <cell r="D51">
            <v>172.5</v>
          </cell>
          <cell r="E51">
            <v>191</v>
          </cell>
        </row>
        <row r="52">
          <cell r="A52">
            <v>49</v>
          </cell>
          <cell r="B52">
            <v>44</v>
          </cell>
          <cell r="C52" t="str">
            <v>KM</v>
          </cell>
          <cell r="D52">
            <v>175</v>
          </cell>
          <cell r="E52">
            <v>194</v>
          </cell>
        </row>
        <row r="53">
          <cell r="A53">
            <v>50</v>
          </cell>
          <cell r="B53">
            <v>45</v>
          </cell>
          <cell r="C53" t="str">
            <v>KM</v>
          </cell>
          <cell r="D53">
            <v>177.5</v>
          </cell>
          <cell r="E53">
            <v>197</v>
          </cell>
        </row>
        <row r="54">
          <cell r="A54">
            <v>51</v>
          </cell>
          <cell r="B54">
            <v>46</v>
          </cell>
          <cell r="C54" t="str">
            <v>KM</v>
          </cell>
          <cell r="D54">
            <v>180</v>
          </cell>
          <cell r="E54">
            <v>200</v>
          </cell>
        </row>
        <row r="55">
          <cell r="A55">
            <v>52</v>
          </cell>
          <cell r="B55">
            <v>47</v>
          </cell>
          <cell r="C55" t="str">
            <v>KM</v>
          </cell>
          <cell r="D55">
            <v>182.5</v>
          </cell>
          <cell r="E55">
            <v>203</v>
          </cell>
        </row>
        <row r="56">
          <cell r="A56">
            <v>53</v>
          </cell>
          <cell r="B56">
            <v>48</v>
          </cell>
          <cell r="C56" t="str">
            <v>KM</v>
          </cell>
          <cell r="D56">
            <v>185</v>
          </cell>
          <cell r="E56">
            <v>206</v>
          </cell>
        </row>
        <row r="57">
          <cell r="A57">
            <v>54</v>
          </cell>
          <cell r="B57">
            <v>49</v>
          </cell>
          <cell r="C57" t="str">
            <v>KM</v>
          </cell>
          <cell r="D57">
            <v>187.5</v>
          </cell>
          <cell r="E57">
            <v>209</v>
          </cell>
        </row>
        <row r="58">
          <cell r="A58">
            <v>55</v>
          </cell>
          <cell r="B58">
            <v>50</v>
          </cell>
          <cell r="C58" t="str">
            <v>KM</v>
          </cell>
          <cell r="D58">
            <v>190</v>
          </cell>
          <cell r="E58">
            <v>212</v>
          </cell>
        </row>
        <row r="59">
          <cell r="A59">
            <v>56</v>
          </cell>
          <cell r="B59">
            <v>51</v>
          </cell>
          <cell r="C59" t="str">
            <v>KM</v>
          </cell>
          <cell r="D59">
            <v>192.3</v>
          </cell>
          <cell r="E59">
            <v>214.8</v>
          </cell>
        </row>
        <row r="60">
          <cell r="A60">
            <v>57</v>
          </cell>
          <cell r="B60">
            <v>52</v>
          </cell>
          <cell r="C60" t="str">
            <v>KM</v>
          </cell>
          <cell r="D60">
            <v>194.6</v>
          </cell>
          <cell r="E60">
            <v>217.6</v>
          </cell>
        </row>
        <row r="61">
          <cell r="A61">
            <v>58</v>
          </cell>
          <cell r="B61">
            <v>53</v>
          </cell>
          <cell r="C61" t="str">
            <v>KM</v>
          </cell>
          <cell r="D61">
            <v>196.9</v>
          </cell>
          <cell r="E61">
            <v>220.4</v>
          </cell>
        </row>
        <row r="62">
          <cell r="A62">
            <v>59</v>
          </cell>
          <cell r="B62">
            <v>54</v>
          </cell>
          <cell r="C62" t="str">
            <v>KM</v>
          </cell>
          <cell r="D62">
            <v>199.2</v>
          </cell>
          <cell r="E62">
            <v>223.2</v>
          </cell>
        </row>
        <row r="63">
          <cell r="A63">
            <v>60</v>
          </cell>
          <cell r="B63">
            <v>55</v>
          </cell>
          <cell r="C63" t="str">
            <v>KM</v>
          </cell>
          <cell r="D63">
            <v>201.5</v>
          </cell>
          <cell r="E63">
            <v>226</v>
          </cell>
        </row>
        <row r="64">
          <cell r="A64">
            <v>61</v>
          </cell>
          <cell r="B64">
            <v>56</v>
          </cell>
          <cell r="C64" t="str">
            <v>KM</v>
          </cell>
          <cell r="D64">
            <v>203.8</v>
          </cell>
          <cell r="E64">
            <v>228.8</v>
          </cell>
        </row>
        <row r="65">
          <cell r="A65">
            <v>62</v>
          </cell>
          <cell r="B65">
            <v>57</v>
          </cell>
          <cell r="C65" t="str">
            <v>KM</v>
          </cell>
          <cell r="D65">
            <v>206.1</v>
          </cell>
          <cell r="E65">
            <v>231.6</v>
          </cell>
        </row>
        <row r="66">
          <cell r="A66">
            <v>63</v>
          </cell>
          <cell r="B66">
            <v>58</v>
          </cell>
          <cell r="C66" t="str">
            <v>KM</v>
          </cell>
          <cell r="D66">
            <v>208.4</v>
          </cell>
          <cell r="E66">
            <v>234.4</v>
          </cell>
        </row>
        <row r="67">
          <cell r="A67">
            <v>64</v>
          </cell>
          <cell r="B67">
            <v>59</v>
          </cell>
          <cell r="C67" t="str">
            <v>KM</v>
          </cell>
          <cell r="D67">
            <v>210.7</v>
          </cell>
          <cell r="E67">
            <v>237.2</v>
          </cell>
        </row>
        <row r="68">
          <cell r="A68">
            <v>65</v>
          </cell>
          <cell r="B68">
            <v>60</v>
          </cell>
          <cell r="C68" t="str">
            <v>KM</v>
          </cell>
          <cell r="D68">
            <v>213</v>
          </cell>
          <cell r="E68">
            <v>240</v>
          </cell>
        </row>
        <row r="69">
          <cell r="A69">
            <v>66</v>
          </cell>
          <cell r="B69">
            <v>61</v>
          </cell>
          <cell r="C69" t="str">
            <v>KM</v>
          </cell>
          <cell r="D69">
            <v>215.3</v>
          </cell>
          <cell r="E69">
            <v>242.8</v>
          </cell>
        </row>
        <row r="70">
          <cell r="A70">
            <v>67</v>
          </cell>
          <cell r="B70">
            <v>62</v>
          </cell>
          <cell r="C70" t="str">
            <v>KM</v>
          </cell>
          <cell r="D70">
            <v>217.6</v>
          </cell>
          <cell r="E70">
            <v>245.6</v>
          </cell>
        </row>
        <row r="71">
          <cell r="A71">
            <v>68</v>
          </cell>
          <cell r="B71">
            <v>63</v>
          </cell>
          <cell r="C71" t="str">
            <v>KM</v>
          </cell>
          <cell r="D71">
            <v>219.9</v>
          </cell>
          <cell r="E71">
            <v>248.4</v>
          </cell>
        </row>
        <row r="72">
          <cell r="A72">
            <v>69</v>
          </cell>
          <cell r="B72">
            <v>64</v>
          </cell>
          <cell r="C72" t="str">
            <v>KM</v>
          </cell>
          <cell r="D72">
            <v>222.2</v>
          </cell>
          <cell r="E72">
            <v>251.2</v>
          </cell>
        </row>
        <row r="73">
          <cell r="A73">
            <v>70</v>
          </cell>
          <cell r="B73">
            <v>65</v>
          </cell>
          <cell r="C73" t="str">
            <v>KM</v>
          </cell>
          <cell r="D73">
            <v>224.5</v>
          </cell>
          <cell r="E73">
            <v>254</v>
          </cell>
        </row>
        <row r="74">
          <cell r="A74">
            <v>71</v>
          </cell>
          <cell r="B74">
            <v>66</v>
          </cell>
          <cell r="C74" t="str">
            <v>KM</v>
          </cell>
          <cell r="D74">
            <v>226.8</v>
          </cell>
          <cell r="E74">
            <v>256.8</v>
          </cell>
        </row>
        <row r="75">
          <cell r="A75">
            <v>72</v>
          </cell>
          <cell r="B75">
            <v>67</v>
          </cell>
          <cell r="C75" t="str">
            <v>KM</v>
          </cell>
          <cell r="D75">
            <v>229.1</v>
          </cell>
          <cell r="E75">
            <v>259.60000000000002</v>
          </cell>
        </row>
        <row r="76">
          <cell r="A76">
            <v>73</v>
          </cell>
          <cell r="B76">
            <v>68</v>
          </cell>
          <cell r="C76" t="str">
            <v>KM</v>
          </cell>
          <cell r="D76">
            <v>231.4</v>
          </cell>
          <cell r="E76">
            <v>262.39999999999998</v>
          </cell>
        </row>
        <row r="77">
          <cell r="A77">
            <v>74</v>
          </cell>
          <cell r="B77">
            <v>69</v>
          </cell>
          <cell r="C77" t="str">
            <v>KM</v>
          </cell>
          <cell r="D77">
            <v>233.7</v>
          </cell>
          <cell r="E77">
            <v>265.2</v>
          </cell>
        </row>
        <row r="78">
          <cell r="A78">
            <v>75</v>
          </cell>
          <cell r="B78">
            <v>70</v>
          </cell>
          <cell r="C78" t="str">
            <v>KM</v>
          </cell>
          <cell r="D78">
            <v>236</v>
          </cell>
          <cell r="E78">
            <v>268</v>
          </cell>
        </row>
        <row r="79">
          <cell r="A79">
            <v>76</v>
          </cell>
          <cell r="B79">
            <v>71</v>
          </cell>
          <cell r="C79" t="str">
            <v>KM</v>
          </cell>
          <cell r="D79">
            <v>238.3</v>
          </cell>
          <cell r="E79">
            <v>270.8</v>
          </cell>
        </row>
        <row r="80">
          <cell r="A80">
            <v>77</v>
          </cell>
          <cell r="B80">
            <v>72</v>
          </cell>
          <cell r="C80" t="str">
            <v>KM</v>
          </cell>
          <cell r="D80">
            <v>240.6</v>
          </cell>
          <cell r="E80">
            <v>273.60000000000002</v>
          </cell>
        </row>
        <row r="81">
          <cell r="A81">
            <v>78</v>
          </cell>
          <cell r="B81">
            <v>73</v>
          </cell>
          <cell r="C81" t="str">
            <v>KM</v>
          </cell>
          <cell r="D81">
            <v>242.9</v>
          </cell>
          <cell r="E81">
            <v>276.39999999999998</v>
          </cell>
        </row>
        <row r="82">
          <cell r="A82">
            <v>79</v>
          </cell>
          <cell r="B82">
            <v>74</v>
          </cell>
          <cell r="C82" t="str">
            <v>KM</v>
          </cell>
          <cell r="D82">
            <v>245.2</v>
          </cell>
          <cell r="E82">
            <v>279.2</v>
          </cell>
        </row>
        <row r="83">
          <cell r="A83">
            <v>80</v>
          </cell>
          <cell r="B83">
            <v>75</v>
          </cell>
          <cell r="C83" t="str">
            <v>KM</v>
          </cell>
          <cell r="D83">
            <v>247.5</v>
          </cell>
          <cell r="E83">
            <v>282</v>
          </cell>
        </row>
        <row r="84">
          <cell r="A84">
            <v>81</v>
          </cell>
          <cell r="B84">
            <v>76</v>
          </cell>
          <cell r="C84" t="str">
            <v>KM</v>
          </cell>
          <cell r="D84">
            <v>249.8</v>
          </cell>
          <cell r="E84">
            <v>284.8</v>
          </cell>
        </row>
        <row r="85">
          <cell r="A85">
            <v>82</v>
          </cell>
          <cell r="B85">
            <v>77</v>
          </cell>
          <cell r="C85" t="str">
            <v>KM</v>
          </cell>
          <cell r="D85">
            <v>252.1</v>
          </cell>
          <cell r="E85">
            <v>287.60000000000002</v>
          </cell>
        </row>
        <row r="86">
          <cell r="A86">
            <v>83</v>
          </cell>
          <cell r="B86">
            <v>78</v>
          </cell>
          <cell r="C86" t="str">
            <v>KM</v>
          </cell>
          <cell r="D86">
            <v>254.4</v>
          </cell>
          <cell r="E86">
            <v>290.39999999999998</v>
          </cell>
        </row>
        <row r="87">
          <cell r="A87">
            <v>84</v>
          </cell>
          <cell r="B87">
            <v>79</v>
          </cell>
          <cell r="C87" t="str">
            <v>KM</v>
          </cell>
          <cell r="D87">
            <v>256.7</v>
          </cell>
          <cell r="E87">
            <v>293.2</v>
          </cell>
        </row>
        <row r="88">
          <cell r="A88">
            <v>85</v>
          </cell>
          <cell r="B88">
            <v>80</v>
          </cell>
          <cell r="C88" t="str">
            <v>KM</v>
          </cell>
          <cell r="D88">
            <v>259</v>
          </cell>
          <cell r="E88">
            <v>296</v>
          </cell>
        </row>
        <row r="89">
          <cell r="A89">
            <v>86</v>
          </cell>
          <cell r="B89">
            <v>81</v>
          </cell>
          <cell r="C89" t="str">
            <v>KM</v>
          </cell>
          <cell r="D89">
            <v>261.3</v>
          </cell>
          <cell r="E89">
            <v>298.8</v>
          </cell>
        </row>
        <row r="90">
          <cell r="A90">
            <v>87</v>
          </cell>
          <cell r="B90">
            <v>82</v>
          </cell>
          <cell r="C90" t="str">
            <v>KM</v>
          </cell>
          <cell r="D90">
            <v>263.60000000000002</v>
          </cell>
          <cell r="E90">
            <v>301.60000000000002</v>
          </cell>
        </row>
        <row r="91">
          <cell r="A91">
            <v>88</v>
          </cell>
          <cell r="B91">
            <v>83</v>
          </cell>
          <cell r="C91" t="str">
            <v>KM</v>
          </cell>
          <cell r="D91">
            <v>265.89999999999998</v>
          </cell>
          <cell r="E91">
            <v>304.39999999999998</v>
          </cell>
        </row>
        <row r="92">
          <cell r="A92">
            <v>89</v>
          </cell>
          <cell r="B92">
            <v>84</v>
          </cell>
          <cell r="C92" t="str">
            <v>KM</v>
          </cell>
          <cell r="D92">
            <v>268.2</v>
          </cell>
          <cell r="E92">
            <v>307.2</v>
          </cell>
        </row>
        <row r="93">
          <cell r="A93">
            <v>90</v>
          </cell>
          <cell r="B93">
            <v>85</v>
          </cell>
          <cell r="C93" t="str">
            <v>KM</v>
          </cell>
          <cell r="D93">
            <v>270.5</v>
          </cell>
          <cell r="E93">
            <v>310</v>
          </cell>
        </row>
        <row r="94">
          <cell r="A94">
            <v>91</v>
          </cell>
          <cell r="B94">
            <v>86</v>
          </cell>
          <cell r="C94" t="str">
            <v>KM</v>
          </cell>
          <cell r="D94">
            <v>272.8</v>
          </cell>
          <cell r="E94">
            <v>312.8</v>
          </cell>
        </row>
        <row r="95">
          <cell r="A95">
            <v>92</v>
          </cell>
          <cell r="B95">
            <v>87</v>
          </cell>
          <cell r="C95" t="str">
            <v>KM</v>
          </cell>
          <cell r="D95">
            <v>275.10000000000002</v>
          </cell>
          <cell r="E95">
            <v>315.60000000000002</v>
          </cell>
        </row>
        <row r="96">
          <cell r="A96">
            <v>93</v>
          </cell>
          <cell r="B96">
            <v>88</v>
          </cell>
          <cell r="C96" t="str">
            <v>KM</v>
          </cell>
          <cell r="D96">
            <v>277.39999999999998</v>
          </cell>
          <cell r="E96">
            <v>318.39999999999998</v>
          </cell>
        </row>
        <row r="97">
          <cell r="A97">
            <v>94</v>
          </cell>
          <cell r="B97">
            <v>89</v>
          </cell>
          <cell r="C97" t="str">
            <v>KM</v>
          </cell>
          <cell r="D97">
            <v>279.7</v>
          </cell>
          <cell r="E97">
            <v>321.2</v>
          </cell>
        </row>
        <row r="98">
          <cell r="A98">
            <v>95</v>
          </cell>
          <cell r="B98">
            <v>90</v>
          </cell>
          <cell r="C98" t="str">
            <v>KM</v>
          </cell>
          <cell r="D98">
            <v>282</v>
          </cell>
          <cell r="E98">
            <v>324</v>
          </cell>
        </row>
        <row r="99">
          <cell r="A99">
            <v>96</v>
          </cell>
          <cell r="B99">
            <v>91</v>
          </cell>
          <cell r="C99" t="str">
            <v>KM</v>
          </cell>
          <cell r="D99">
            <v>284.3</v>
          </cell>
          <cell r="E99">
            <v>326.8</v>
          </cell>
        </row>
        <row r="100">
          <cell r="A100">
            <v>97</v>
          </cell>
          <cell r="B100">
            <v>92</v>
          </cell>
          <cell r="C100" t="str">
            <v>KM</v>
          </cell>
          <cell r="D100">
            <v>286.60000000000002</v>
          </cell>
          <cell r="E100">
            <v>329.6</v>
          </cell>
        </row>
        <row r="101">
          <cell r="A101">
            <v>98</v>
          </cell>
          <cell r="B101">
            <v>93</v>
          </cell>
          <cell r="C101" t="str">
            <v>KM</v>
          </cell>
          <cell r="D101">
            <v>288.89999999999998</v>
          </cell>
          <cell r="E101">
            <v>332.4</v>
          </cell>
        </row>
        <row r="102">
          <cell r="A102">
            <v>99</v>
          </cell>
          <cell r="B102">
            <v>94</v>
          </cell>
          <cell r="C102" t="str">
            <v>KM</v>
          </cell>
          <cell r="D102">
            <v>291.2</v>
          </cell>
          <cell r="E102">
            <v>335.2</v>
          </cell>
        </row>
        <row r="103">
          <cell r="A103">
            <v>100</v>
          </cell>
          <cell r="B103">
            <v>95</v>
          </cell>
          <cell r="C103" t="str">
            <v>KM</v>
          </cell>
          <cell r="D103">
            <v>293.5</v>
          </cell>
          <cell r="E103">
            <v>338</v>
          </cell>
        </row>
        <row r="104">
          <cell r="A104">
            <v>101</v>
          </cell>
          <cell r="B104">
            <v>96</v>
          </cell>
          <cell r="C104" t="str">
            <v>KM</v>
          </cell>
          <cell r="D104">
            <v>295.8</v>
          </cell>
          <cell r="E104">
            <v>340.8</v>
          </cell>
        </row>
        <row r="105">
          <cell r="A105">
            <v>102</v>
          </cell>
          <cell r="B105">
            <v>97</v>
          </cell>
          <cell r="C105" t="str">
            <v>KM</v>
          </cell>
          <cell r="D105">
            <v>298.10000000000002</v>
          </cell>
          <cell r="E105">
            <v>343.6</v>
          </cell>
        </row>
        <row r="106">
          <cell r="A106">
            <v>103</v>
          </cell>
          <cell r="B106">
            <v>98</v>
          </cell>
          <cell r="C106" t="str">
            <v>KM</v>
          </cell>
          <cell r="D106">
            <v>300.39999999999998</v>
          </cell>
          <cell r="E106">
            <v>346.4</v>
          </cell>
        </row>
        <row r="107">
          <cell r="A107">
            <v>104</v>
          </cell>
          <cell r="B107">
            <v>99</v>
          </cell>
          <cell r="C107" t="str">
            <v>KM</v>
          </cell>
          <cell r="D107">
            <v>302.7</v>
          </cell>
          <cell r="E107">
            <v>349.2</v>
          </cell>
        </row>
        <row r="108">
          <cell r="A108">
            <v>105</v>
          </cell>
          <cell r="B108">
            <v>100</v>
          </cell>
          <cell r="C108" t="str">
            <v>KM</v>
          </cell>
          <cell r="D108">
            <v>305</v>
          </cell>
          <cell r="E108">
            <v>352</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6pave"/>
      <sheetName val="F7hp900"/>
      <sheetName val="F7hp600"/>
      <sheetName val="F7slb3m"/>
      <sheetName val="F7slb4m"/>
      <sheetName val="F8rate"/>
      <sheetName val="Sheet2"/>
      <sheetName val="CDdata"/>
      <sheetName val="Sheet1"/>
      <sheetName val="leads"/>
    </sheetNames>
    <sheetDataSet>
      <sheetData sheetId="0"/>
      <sheetData sheetId="1"/>
      <sheetData sheetId="2"/>
      <sheetData sheetId="3" refreshError="1"/>
      <sheetData sheetId="4"/>
      <sheetData sheetId="5"/>
      <sheetData sheetId="6"/>
      <sheetData sheetId="7" refreshError="1"/>
      <sheetData sheetId="8">
        <row r="2">
          <cell r="W2" t="str">
            <v>KM</v>
          </cell>
          <cell r="X2" t="str">
            <v>Metal</v>
          </cell>
          <cell r="Y2" t="str">
            <v>Gravel, Sand, earth</v>
          </cell>
        </row>
        <row r="3">
          <cell r="W3">
            <v>0.5</v>
          </cell>
          <cell r="X3">
            <v>64</v>
          </cell>
          <cell r="Y3">
            <v>56</v>
          </cell>
        </row>
        <row r="4">
          <cell r="W4">
            <v>1</v>
          </cell>
          <cell r="X4">
            <v>67</v>
          </cell>
          <cell r="Y4">
            <v>58</v>
          </cell>
        </row>
        <row r="5">
          <cell r="W5">
            <v>2</v>
          </cell>
          <cell r="X5">
            <v>69</v>
          </cell>
          <cell r="Y5">
            <v>61</v>
          </cell>
        </row>
        <row r="6">
          <cell r="W6">
            <v>3</v>
          </cell>
          <cell r="X6">
            <v>72</v>
          </cell>
          <cell r="Y6">
            <v>64</v>
          </cell>
        </row>
        <row r="7">
          <cell r="W7">
            <v>4</v>
          </cell>
          <cell r="X7">
            <v>75</v>
          </cell>
          <cell r="Y7">
            <v>67</v>
          </cell>
        </row>
        <row r="8">
          <cell r="W8">
            <v>5</v>
          </cell>
          <cell r="X8">
            <v>78</v>
          </cell>
          <cell r="Y8">
            <v>70</v>
          </cell>
        </row>
        <row r="9">
          <cell r="W9">
            <v>6</v>
          </cell>
          <cell r="X9">
            <v>82</v>
          </cell>
          <cell r="Y9">
            <v>72</v>
          </cell>
        </row>
        <row r="10">
          <cell r="W10">
            <v>7</v>
          </cell>
          <cell r="X10">
            <v>84</v>
          </cell>
          <cell r="Y10">
            <v>76</v>
          </cell>
        </row>
        <row r="11">
          <cell r="W11">
            <v>8</v>
          </cell>
          <cell r="X11">
            <v>86</v>
          </cell>
          <cell r="Y11">
            <v>79</v>
          </cell>
        </row>
        <row r="12">
          <cell r="W12">
            <v>9</v>
          </cell>
          <cell r="X12">
            <v>90</v>
          </cell>
          <cell r="Y12">
            <v>82</v>
          </cell>
        </row>
        <row r="13">
          <cell r="W13">
            <v>10</v>
          </cell>
          <cell r="X13">
            <v>92</v>
          </cell>
          <cell r="Y13">
            <v>85</v>
          </cell>
        </row>
        <row r="14">
          <cell r="W14">
            <v>11</v>
          </cell>
          <cell r="X14">
            <v>95</v>
          </cell>
          <cell r="Y14">
            <v>89</v>
          </cell>
        </row>
        <row r="15">
          <cell r="W15">
            <v>12</v>
          </cell>
          <cell r="X15">
            <v>99</v>
          </cell>
          <cell r="Y15">
            <v>91</v>
          </cell>
        </row>
        <row r="16">
          <cell r="W16">
            <v>13</v>
          </cell>
          <cell r="X16">
            <v>102</v>
          </cell>
          <cell r="Y16">
            <v>94</v>
          </cell>
        </row>
        <row r="17">
          <cell r="W17">
            <v>14</v>
          </cell>
          <cell r="X17">
            <v>105</v>
          </cell>
          <cell r="Y17">
            <v>97</v>
          </cell>
        </row>
        <row r="18">
          <cell r="W18">
            <v>15</v>
          </cell>
          <cell r="X18">
            <v>107</v>
          </cell>
          <cell r="Y18">
            <v>100</v>
          </cell>
        </row>
        <row r="19">
          <cell r="W19">
            <v>16</v>
          </cell>
          <cell r="X19">
            <v>110</v>
          </cell>
          <cell r="Y19">
            <v>102</v>
          </cell>
        </row>
        <row r="20">
          <cell r="W20">
            <v>17</v>
          </cell>
          <cell r="X20">
            <v>113</v>
          </cell>
          <cell r="Y20">
            <v>106</v>
          </cell>
        </row>
        <row r="21">
          <cell r="W21">
            <v>18</v>
          </cell>
          <cell r="X21">
            <v>116</v>
          </cell>
          <cell r="Y21">
            <v>109</v>
          </cell>
        </row>
        <row r="22">
          <cell r="W22">
            <v>19</v>
          </cell>
          <cell r="X22">
            <v>118</v>
          </cell>
          <cell r="Y22">
            <v>112</v>
          </cell>
        </row>
        <row r="23">
          <cell r="W23">
            <v>20</v>
          </cell>
          <cell r="X23">
            <v>122</v>
          </cell>
          <cell r="Y23">
            <v>115</v>
          </cell>
        </row>
        <row r="24">
          <cell r="W24">
            <v>21</v>
          </cell>
          <cell r="X24">
            <v>125</v>
          </cell>
          <cell r="Y24">
            <v>117.3</v>
          </cell>
        </row>
        <row r="25">
          <cell r="W25">
            <v>22</v>
          </cell>
          <cell r="X25">
            <v>128</v>
          </cell>
          <cell r="Y25">
            <v>119.6</v>
          </cell>
        </row>
        <row r="26">
          <cell r="W26">
            <v>23</v>
          </cell>
          <cell r="X26">
            <v>131</v>
          </cell>
          <cell r="Y26">
            <v>121.9</v>
          </cell>
        </row>
        <row r="27">
          <cell r="W27">
            <v>24</v>
          </cell>
          <cell r="X27">
            <v>134</v>
          </cell>
          <cell r="Y27">
            <v>124.2</v>
          </cell>
        </row>
        <row r="28">
          <cell r="W28">
            <v>25</v>
          </cell>
          <cell r="X28">
            <v>137</v>
          </cell>
          <cell r="Y28">
            <v>126.5</v>
          </cell>
        </row>
        <row r="29">
          <cell r="W29">
            <v>26</v>
          </cell>
          <cell r="X29">
            <v>140</v>
          </cell>
          <cell r="Y29">
            <v>128.80000000000001</v>
          </cell>
        </row>
        <row r="30">
          <cell r="W30">
            <v>27</v>
          </cell>
          <cell r="X30">
            <v>143</v>
          </cell>
          <cell r="Y30">
            <v>131.1</v>
          </cell>
        </row>
        <row r="31">
          <cell r="W31">
            <v>28</v>
          </cell>
          <cell r="X31">
            <v>146</v>
          </cell>
          <cell r="Y31">
            <v>133.4</v>
          </cell>
        </row>
        <row r="32">
          <cell r="W32">
            <v>29</v>
          </cell>
          <cell r="X32">
            <v>149</v>
          </cell>
          <cell r="Y32">
            <v>135.69999999999999</v>
          </cell>
        </row>
        <row r="33">
          <cell r="W33">
            <v>30</v>
          </cell>
          <cell r="X33">
            <v>152</v>
          </cell>
          <cell r="Y33">
            <v>138</v>
          </cell>
        </row>
        <row r="34">
          <cell r="W34">
            <v>31</v>
          </cell>
          <cell r="X34">
            <v>155</v>
          </cell>
          <cell r="Y34">
            <v>140.30000000000001</v>
          </cell>
        </row>
        <row r="35">
          <cell r="W35">
            <v>32</v>
          </cell>
          <cell r="X35">
            <v>158</v>
          </cell>
          <cell r="Y35">
            <v>142.6</v>
          </cell>
        </row>
        <row r="36">
          <cell r="W36">
            <v>33</v>
          </cell>
          <cell r="X36">
            <v>161</v>
          </cell>
          <cell r="Y36">
            <v>144.9</v>
          </cell>
        </row>
        <row r="37">
          <cell r="W37">
            <v>34</v>
          </cell>
          <cell r="X37">
            <v>164</v>
          </cell>
          <cell r="Y37">
            <v>147.19999999999999</v>
          </cell>
        </row>
        <row r="38">
          <cell r="W38">
            <v>35</v>
          </cell>
          <cell r="X38">
            <v>167</v>
          </cell>
          <cell r="Y38">
            <v>149.5</v>
          </cell>
        </row>
        <row r="39">
          <cell r="W39">
            <v>36</v>
          </cell>
          <cell r="X39">
            <v>170</v>
          </cell>
          <cell r="Y39">
            <v>151.80000000000001</v>
          </cell>
        </row>
        <row r="40">
          <cell r="W40">
            <v>37</v>
          </cell>
          <cell r="X40">
            <v>173</v>
          </cell>
          <cell r="Y40">
            <v>154.1</v>
          </cell>
        </row>
        <row r="41">
          <cell r="W41">
            <v>38</v>
          </cell>
          <cell r="X41">
            <v>176</v>
          </cell>
          <cell r="Y41">
            <v>156.4</v>
          </cell>
        </row>
        <row r="42">
          <cell r="W42">
            <v>39</v>
          </cell>
          <cell r="X42">
            <v>179</v>
          </cell>
          <cell r="Y42">
            <v>158.69999999999999</v>
          </cell>
        </row>
        <row r="43">
          <cell r="W43">
            <v>40</v>
          </cell>
          <cell r="X43">
            <v>182</v>
          </cell>
          <cell r="Y43">
            <v>161</v>
          </cell>
        </row>
        <row r="44">
          <cell r="W44">
            <v>41</v>
          </cell>
          <cell r="X44">
            <v>185</v>
          </cell>
          <cell r="Y44">
            <v>163.30000000000001</v>
          </cell>
        </row>
        <row r="45">
          <cell r="W45">
            <v>42</v>
          </cell>
          <cell r="X45">
            <v>188</v>
          </cell>
          <cell r="Y45">
            <v>165.6</v>
          </cell>
        </row>
        <row r="46">
          <cell r="W46">
            <v>43</v>
          </cell>
          <cell r="X46">
            <v>191</v>
          </cell>
          <cell r="Y46">
            <v>167.9</v>
          </cell>
        </row>
        <row r="47">
          <cell r="W47">
            <v>44</v>
          </cell>
          <cell r="X47">
            <v>194</v>
          </cell>
          <cell r="Y47">
            <v>170.2</v>
          </cell>
        </row>
        <row r="48">
          <cell r="W48">
            <v>45</v>
          </cell>
          <cell r="X48">
            <v>197</v>
          </cell>
          <cell r="Y48">
            <v>172.5</v>
          </cell>
        </row>
        <row r="49">
          <cell r="W49">
            <v>46</v>
          </cell>
          <cell r="X49">
            <v>200</v>
          </cell>
          <cell r="Y49">
            <v>174.8</v>
          </cell>
        </row>
        <row r="50">
          <cell r="W50">
            <v>47</v>
          </cell>
          <cell r="X50">
            <v>203</v>
          </cell>
          <cell r="Y50">
            <v>177.1</v>
          </cell>
        </row>
        <row r="51">
          <cell r="W51">
            <v>48</v>
          </cell>
          <cell r="X51">
            <v>206</v>
          </cell>
          <cell r="Y51">
            <v>179.4</v>
          </cell>
        </row>
        <row r="52">
          <cell r="W52">
            <v>49</v>
          </cell>
          <cell r="X52">
            <v>209</v>
          </cell>
          <cell r="Y52">
            <v>181.7</v>
          </cell>
        </row>
        <row r="53">
          <cell r="W53">
            <v>50</v>
          </cell>
          <cell r="X53">
            <v>212</v>
          </cell>
          <cell r="Y53">
            <v>184</v>
          </cell>
        </row>
        <row r="54">
          <cell r="W54">
            <v>51</v>
          </cell>
          <cell r="X54">
            <v>214.8</v>
          </cell>
          <cell r="Y54">
            <v>186.3</v>
          </cell>
        </row>
        <row r="55">
          <cell r="W55">
            <v>52</v>
          </cell>
          <cell r="X55">
            <v>217.6</v>
          </cell>
          <cell r="Y55">
            <v>188.6</v>
          </cell>
        </row>
        <row r="56">
          <cell r="W56">
            <v>53</v>
          </cell>
          <cell r="X56">
            <v>220.4</v>
          </cell>
          <cell r="Y56">
            <v>190.9</v>
          </cell>
        </row>
        <row r="57">
          <cell r="W57">
            <v>54</v>
          </cell>
          <cell r="X57">
            <v>223.2</v>
          </cell>
          <cell r="Y57">
            <v>193.2</v>
          </cell>
        </row>
        <row r="58">
          <cell r="W58">
            <v>55</v>
          </cell>
          <cell r="X58">
            <v>226</v>
          </cell>
          <cell r="Y58">
            <v>195.5</v>
          </cell>
        </row>
        <row r="59">
          <cell r="W59">
            <v>56</v>
          </cell>
          <cell r="X59">
            <v>228.8</v>
          </cell>
          <cell r="Y59">
            <v>197.8</v>
          </cell>
        </row>
        <row r="60">
          <cell r="W60">
            <v>57</v>
          </cell>
          <cell r="X60">
            <v>231.6</v>
          </cell>
          <cell r="Y60">
            <v>200.1</v>
          </cell>
        </row>
        <row r="61">
          <cell r="W61">
            <v>58</v>
          </cell>
          <cell r="X61">
            <v>234.4</v>
          </cell>
          <cell r="Y61">
            <v>202.4</v>
          </cell>
        </row>
        <row r="62">
          <cell r="W62">
            <v>59</v>
          </cell>
          <cell r="X62">
            <v>237.2</v>
          </cell>
          <cell r="Y62">
            <v>204.7</v>
          </cell>
        </row>
        <row r="63">
          <cell r="W63">
            <v>60</v>
          </cell>
          <cell r="X63">
            <v>240</v>
          </cell>
          <cell r="Y63">
            <v>207</v>
          </cell>
        </row>
        <row r="64">
          <cell r="W64">
            <v>61</v>
          </cell>
          <cell r="X64">
            <v>242.8</v>
          </cell>
          <cell r="Y64">
            <v>209.3</v>
          </cell>
        </row>
        <row r="65">
          <cell r="W65">
            <v>62</v>
          </cell>
          <cell r="X65">
            <v>245.6</v>
          </cell>
          <cell r="Y65">
            <v>211.6</v>
          </cell>
        </row>
        <row r="66">
          <cell r="W66">
            <v>63</v>
          </cell>
          <cell r="X66">
            <v>248.4</v>
          </cell>
          <cell r="Y66">
            <v>213.9</v>
          </cell>
        </row>
        <row r="67">
          <cell r="W67">
            <v>64</v>
          </cell>
          <cell r="X67">
            <v>251.2</v>
          </cell>
          <cell r="Y67">
            <v>216.2</v>
          </cell>
        </row>
        <row r="68">
          <cell r="W68">
            <v>65</v>
          </cell>
          <cell r="X68">
            <v>254</v>
          </cell>
          <cell r="Y68">
            <v>218.5</v>
          </cell>
        </row>
        <row r="69">
          <cell r="W69">
            <v>66</v>
          </cell>
          <cell r="X69">
            <v>256.8</v>
          </cell>
          <cell r="Y69">
            <v>220.8</v>
          </cell>
        </row>
        <row r="70">
          <cell r="W70">
            <v>67</v>
          </cell>
          <cell r="X70">
            <v>259.60000000000002</v>
          </cell>
          <cell r="Y70">
            <v>223.1</v>
          </cell>
        </row>
        <row r="71">
          <cell r="W71">
            <v>68</v>
          </cell>
          <cell r="X71">
            <v>262.39999999999998</v>
          </cell>
          <cell r="Y71">
            <v>225.4</v>
          </cell>
        </row>
        <row r="72">
          <cell r="W72">
            <v>69</v>
          </cell>
          <cell r="X72">
            <v>265.2</v>
          </cell>
          <cell r="Y72">
            <v>227.7</v>
          </cell>
        </row>
        <row r="73">
          <cell r="W73">
            <v>70</v>
          </cell>
          <cell r="X73">
            <v>268</v>
          </cell>
          <cell r="Y73">
            <v>230</v>
          </cell>
        </row>
        <row r="74">
          <cell r="W74">
            <v>71</v>
          </cell>
          <cell r="X74">
            <v>270.8</v>
          </cell>
          <cell r="Y74">
            <v>232.3</v>
          </cell>
        </row>
        <row r="75">
          <cell r="W75">
            <v>72</v>
          </cell>
          <cell r="X75">
            <v>273.60000000000002</v>
          </cell>
          <cell r="Y75">
            <v>234.6</v>
          </cell>
        </row>
        <row r="76">
          <cell r="W76">
            <v>73</v>
          </cell>
          <cell r="X76">
            <v>276.39999999999998</v>
          </cell>
          <cell r="Y76">
            <v>236.9</v>
          </cell>
        </row>
        <row r="77">
          <cell r="W77">
            <v>74</v>
          </cell>
          <cell r="X77">
            <v>279.2</v>
          </cell>
          <cell r="Y77">
            <v>239.2</v>
          </cell>
        </row>
        <row r="78">
          <cell r="W78">
            <v>75</v>
          </cell>
          <cell r="X78">
            <v>282</v>
          </cell>
          <cell r="Y78">
            <v>241.5</v>
          </cell>
        </row>
        <row r="79">
          <cell r="W79">
            <v>76</v>
          </cell>
          <cell r="X79">
            <v>284.8</v>
          </cell>
          <cell r="Y79">
            <v>243.8</v>
          </cell>
        </row>
        <row r="80">
          <cell r="W80">
            <v>77</v>
          </cell>
          <cell r="X80">
            <v>287.60000000000002</v>
          </cell>
          <cell r="Y80">
            <v>246.1</v>
          </cell>
        </row>
        <row r="81">
          <cell r="W81">
            <v>78</v>
          </cell>
          <cell r="X81">
            <v>290.39999999999998</v>
          </cell>
          <cell r="Y81">
            <v>248.4</v>
          </cell>
        </row>
        <row r="82">
          <cell r="W82">
            <v>79</v>
          </cell>
          <cell r="X82">
            <v>293.2</v>
          </cell>
          <cell r="Y82">
            <v>250.7</v>
          </cell>
        </row>
        <row r="83">
          <cell r="W83">
            <v>80</v>
          </cell>
          <cell r="X83">
            <v>296</v>
          </cell>
          <cell r="Y83">
            <v>253</v>
          </cell>
        </row>
        <row r="84">
          <cell r="W84">
            <v>81</v>
          </cell>
          <cell r="X84">
            <v>298.8</v>
          </cell>
          <cell r="Y84">
            <v>255.3</v>
          </cell>
        </row>
        <row r="85">
          <cell r="W85">
            <v>82</v>
          </cell>
          <cell r="X85">
            <v>301.60000000000002</v>
          </cell>
          <cell r="Y85">
            <v>257.60000000000002</v>
          </cell>
        </row>
        <row r="86">
          <cell r="W86">
            <v>83</v>
          </cell>
          <cell r="X86">
            <v>304.39999999999998</v>
          </cell>
          <cell r="Y86">
            <v>259.89999999999998</v>
          </cell>
        </row>
        <row r="87">
          <cell r="W87">
            <v>84</v>
          </cell>
          <cell r="X87">
            <v>307.2</v>
          </cell>
          <cell r="Y87">
            <v>262.2</v>
          </cell>
        </row>
        <row r="88">
          <cell r="W88">
            <v>85</v>
          </cell>
          <cell r="X88">
            <v>310</v>
          </cell>
          <cell r="Y88">
            <v>264.5</v>
          </cell>
        </row>
        <row r="89">
          <cell r="W89">
            <v>86</v>
          </cell>
          <cell r="X89">
            <v>312.8</v>
          </cell>
          <cell r="Y89">
            <v>266.8</v>
          </cell>
        </row>
        <row r="90">
          <cell r="W90">
            <v>87</v>
          </cell>
          <cell r="X90">
            <v>315.60000000000002</v>
          </cell>
          <cell r="Y90">
            <v>269.10000000000002</v>
          </cell>
        </row>
        <row r="91">
          <cell r="W91">
            <v>88</v>
          </cell>
          <cell r="X91">
            <v>318.39999999999998</v>
          </cell>
          <cell r="Y91">
            <v>271.39999999999998</v>
          </cell>
        </row>
        <row r="92">
          <cell r="W92">
            <v>89</v>
          </cell>
          <cell r="X92">
            <v>321.2</v>
          </cell>
          <cell r="Y92">
            <v>273.7</v>
          </cell>
        </row>
        <row r="93">
          <cell r="W93">
            <v>90</v>
          </cell>
          <cell r="X93">
            <v>324</v>
          </cell>
          <cell r="Y93">
            <v>276</v>
          </cell>
        </row>
        <row r="94">
          <cell r="W94">
            <v>91</v>
          </cell>
          <cell r="X94">
            <v>326.8</v>
          </cell>
          <cell r="Y94">
            <v>278.3</v>
          </cell>
        </row>
        <row r="95">
          <cell r="W95">
            <v>92</v>
          </cell>
          <cell r="X95">
            <v>329.6</v>
          </cell>
          <cell r="Y95">
            <v>280.60000000000002</v>
          </cell>
        </row>
        <row r="96">
          <cell r="W96">
            <v>93</v>
          </cell>
          <cell r="X96">
            <v>332.4</v>
          </cell>
          <cell r="Y96">
            <v>282.89999999999998</v>
          </cell>
        </row>
        <row r="97">
          <cell r="W97">
            <v>94</v>
          </cell>
          <cell r="X97">
            <v>335.2</v>
          </cell>
          <cell r="Y97">
            <v>285.2</v>
          </cell>
        </row>
        <row r="98">
          <cell r="W98">
            <v>95</v>
          </cell>
          <cell r="X98">
            <v>338</v>
          </cell>
          <cell r="Y98">
            <v>287.5</v>
          </cell>
        </row>
        <row r="99">
          <cell r="W99">
            <v>96</v>
          </cell>
          <cell r="X99">
            <v>340.8</v>
          </cell>
          <cell r="Y99">
            <v>289.8</v>
          </cell>
        </row>
        <row r="100">
          <cell r="W100">
            <v>97</v>
          </cell>
          <cell r="X100">
            <v>343.6</v>
          </cell>
          <cell r="Y100">
            <v>292.10000000000002</v>
          </cell>
        </row>
        <row r="101">
          <cell r="W101">
            <v>98</v>
          </cell>
          <cell r="X101">
            <v>346.4</v>
          </cell>
          <cell r="Y101">
            <v>294.39999999999998</v>
          </cell>
        </row>
        <row r="102">
          <cell r="W102">
            <v>99</v>
          </cell>
          <cell r="X102">
            <v>349.2</v>
          </cell>
          <cell r="Y102">
            <v>296.7</v>
          </cell>
        </row>
        <row r="103">
          <cell r="W103">
            <v>100</v>
          </cell>
          <cell r="X103">
            <v>352</v>
          </cell>
          <cell r="Y103">
            <v>299</v>
          </cell>
        </row>
      </sheetData>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S"/>
      <sheetName val="maya"/>
      <sheetName val="ValveChamber"/>
      <sheetName val="V-CR"/>
      <sheetName val="r"/>
      <sheetName val="leads"/>
      <sheetName val="Sheet1"/>
      <sheetName val="v"/>
    </sheetNames>
    <sheetDataSet>
      <sheetData sheetId="0"/>
      <sheetData sheetId="1" refreshError="1">
        <row r="1">
          <cell r="A1" t="str">
            <v xml:space="preserve">Earth work excation and depositing on bank with initial lead and lift in loamy and clayee soils as per ss301 for foundations </v>
          </cell>
        </row>
        <row r="2">
          <cell r="A2" t="str">
            <v xml:space="preserve">Earth work excation for ISOLATED works and depositing on bank with initial lead and lift in loamy and clayee soils as per ss301 for foundations </v>
          </cell>
        </row>
        <row r="3">
          <cell r="A3" t="e">
            <v>#REF!</v>
          </cell>
        </row>
        <row r="4">
          <cell r="A4" t="str">
            <v>C.C (1:6:10 ) Mix for Foundation Concrete to ISOLATED works using 40mm H.B.Q metal including cost &amp; conveyance of materials and labour charges seigniorage charges etc complete .</v>
          </cell>
        </row>
        <row r="5">
          <cell r="A5" t="e">
            <v>#REF!</v>
          </cell>
        </row>
        <row r="6">
          <cell r="A6" t="str">
            <v>C.C (1:4:8 ) Mix for Foundation Concrete to ISOLATED works using 40mm H.B.G metal including cost &amp; conveyance of materials and labour charges seigniorage charges etc complete .</v>
          </cell>
        </row>
        <row r="11">
          <cell r="A11" t="e">
            <v>#REF!</v>
          </cell>
        </row>
        <row r="12">
          <cell r="A12" t="e">
            <v>#REF!</v>
          </cell>
        </row>
        <row r="13">
          <cell r="A13" t="e">
            <v>#REF!</v>
          </cell>
        </row>
        <row r="14">
          <cell r="A14" t="str">
            <v>R.C.C.(1:2:4) mix for Side walls to VALVE CHAMBERS using 20mm HBG chips with necessary Qty of steel per 1 cum of concrete including C &amp; C of all materials and labour charges seig charges, centering , curing etc complete but excluding cost of steel and fab</v>
          </cell>
        </row>
        <row r="15">
          <cell r="A15" t="e">
            <v>#REF!</v>
          </cell>
        </row>
        <row r="16">
          <cell r="A16" t="str">
            <v>R.C.C.(1:2:4) mix for Cover slab to VALVE CHAMBERS using 20mm HBG chips with necessary Qty of steel per 1 cum of concrete including C &amp; C of all materials and labour charges seig charges, centering , curing etc complete but excluding cost of steel and fab</v>
          </cell>
        </row>
        <row r="17">
          <cell r="A17" t="e">
            <v>#REF!</v>
          </cell>
        </row>
        <row r="18">
          <cell r="A18" t="str">
            <v>R.C.C.(1:2:4) mix for Bottom slab to VALVE CHAMBERS using 20mm HBG chips with necessary Qty of steel per 1 cum of concrete including C &amp; C of all materials and labour charges seig charges, centering , curing etc complete but excluding cost of steel and fa</v>
          </cell>
        </row>
        <row r="23">
          <cell r="A23" t="e">
            <v>#REF!</v>
          </cell>
        </row>
        <row r="24">
          <cell r="A24" t="str">
            <v>Plastering with CM.(1:5)mix 12mm thick for ISOLATED works including cost &amp; conveyance of all materials and labour charges etc,complete for all exposed brick work.</v>
          </cell>
        </row>
        <row r="25">
          <cell r="A25" t="e">
            <v>#REF!</v>
          </cell>
        </row>
        <row r="26">
          <cell r="A26" t="str">
            <v>Plastering with C.M (1:3)mix 8mm thick for ISOLATED including cost &amp; conveyance of all materials and labour charges etc , complete.</v>
          </cell>
        </row>
        <row r="27">
          <cell r="A27" t="e">
            <v>#REF!</v>
          </cell>
        </row>
        <row r="30">
          <cell r="A30" t="e">
            <v>#REF!</v>
          </cell>
        </row>
        <row r="31">
          <cell r="A31" t="str">
            <v xml:space="preserve">Sanding filling in foundation and basement for ISOLATED works including cost &amp; conveyance of all materials and labour charges seig charges , wtering and tamping etc, complete  </v>
          </cell>
        </row>
        <row r="247">
          <cell r="A247" t="str">
            <v>VALVES</v>
          </cell>
        </row>
        <row r="248">
          <cell r="A248" t="str">
            <v>S &amp; D of CI D/F Double Air Valve 40MM dia suitable for working pressure upto 10Kg/cm2 conforming to G&amp;K Fig. H7 but excluding Transportation ,CED ,Sales Tax etc complete</v>
          </cell>
        </row>
        <row r="249">
          <cell r="A249" t="str">
            <v>S &amp; D of CI D/F Double Air Valve 50MM dia suitable for working pressure upto 10Kg/cm2 conforming to G&amp;K Fig. H7 but excluding Transportation ,CED ,Sales Tax etc complete</v>
          </cell>
        </row>
        <row r="250">
          <cell r="A250" t="str">
            <v>S &amp; D of CI D/F Double Air Valve 80MM dia suitable for working pressure upto 10Kg/cm2 conforming to G&amp;K Fig. H7 but excluding Transportation ,CED ,Sales Tax etc complete</v>
          </cell>
        </row>
        <row r="251">
          <cell r="A251" t="str">
            <v>S &amp; D of CI D/F Double Air Valve 100MM dia suitable for working pressure upto 10Kg/cm2 conforming to G&amp;K Fig. H7 but excluding Transportation ,CED ,Sales Tax etc complete</v>
          </cell>
        </row>
        <row r="252">
          <cell r="A252" t="str">
            <v>S &amp; D of CI D/F Double Air Valve 40MM dia Heavy duty suitable for working pressure upto 16Kg/cm2 without isolating vale, conforming to IS 14845 but excluding Transportation ,CED ,Sales Tax etc complete</v>
          </cell>
        </row>
        <row r="253">
          <cell r="A253" t="str">
            <v>S &amp; D of CI D/F Double Air Valve 50MM dia Heavy duty suitable for working pressure upto 16Kg/cm2 without isolating vale, conforming to IS 14845 but excluding Transportation ,CED ,Sales Tax etc complete</v>
          </cell>
        </row>
        <row r="254">
          <cell r="A254" t="str">
            <v>S &amp; D of CI D/F Double Air Valve 80MM dia Heavy duty suitable for working pressure upto 16Kg/cm2 without isolating vale, conforming to IS 14845 but excluding Transportation ,CED ,Sales Tax etc complete</v>
          </cell>
        </row>
        <row r="255">
          <cell r="A255" t="str">
            <v>S &amp; D of CI D/F Double Air Valve 100MM dia Heavy duty suitable for working pressure upto 16Kg/cm2 without isolating vale, conforming to IS 14845 but excluding Transportation ,CED ,Sales Tax etc complete</v>
          </cell>
        </row>
        <row r="256">
          <cell r="A256" t="str">
            <v>S &amp; D of CI D/F Kinetc Air Valve 40MM dia as per IS14845 Heavy duty with isolating valve bevel gear operated as per IS 14846 ,PIN-1.0  but excluding Transportation ,CED ,Sales Tax etc complete</v>
          </cell>
        </row>
        <row r="257">
          <cell r="A257" t="str">
            <v>S &amp; D of CI D/F Kinetc Air Valve 50MM dia as per IS14845 Heavy duty with isolating valve bevel gear operated as per IS 14846 ,PIN-1.0  but excluding Transportation ,CED ,Sales Tax etc complete</v>
          </cell>
        </row>
        <row r="258">
          <cell r="A258" t="str">
            <v>S &amp; D of CI D/F Kinetc Air Valve 80MM dia as per IS14845 Heavy duty with isolating valve bevel gear operated as per IS 14846 ,PIN-1.0  but excluding Transportation ,CED ,Sales Tax etc complete</v>
          </cell>
        </row>
        <row r="259">
          <cell r="A259" t="str">
            <v>S &amp; D of CI D/F Kinetc Air Valve 100MM dia as per IS14845 Heavy duty with isolating valve bevel gear operated as per IS 14846 ,PIN-1.0  but excluding Transportation ,CED ,Sales Tax etc complete</v>
          </cell>
        </row>
        <row r="260">
          <cell r="A260" t="str">
            <v>S &amp; D of CI D/F Kinetc Air Valve 40MM dia as per G&amp;K  H42K with isolating valve bevel gear operated as per IS 14845 PIN - 1.0  but excluding Transportation ,CED ,Sales Tax etc complete</v>
          </cell>
        </row>
        <row r="261">
          <cell r="A261" t="str">
            <v>S &amp; D of CI D/F Kinetc Air Valve 50MM dia as per G&amp;K  H42K with isolating valve bevel gear operated as per IS 14845 PIN - 1.0  but excluding Transportation ,CED ,Sales Tax etc complete</v>
          </cell>
        </row>
        <row r="262">
          <cell r="A262" t="str">
            <v>S &amp; D of CI D/F Kinetc Air Valve 80MM dia as per G&amp;K  H42K with isolating valve bevel gear operated as per IS 14845 PIN - 1.0  but excluding Transportation ,CED ,Sales Tax etc complete</v>
          </cell>
        </row>
        <row r="263">
          <cell r="A263" t="str">
            <v>S &amp; D of CI D/F Kinetc Air Valve 100MM dia as per G&amp;K  H42K with isolating valve bevel gear operated as per IS 14845 PIN - 1.0  but excluding Transportation ,CED ,Sales Tax etc complete</v>
          </cell>
        </row>
        <row r="264">
          <cell r="A264" t="str">
            <v>SLUICE VALVES</v>
          </cell>
        </row>
        <row r="265">
          <cell r="A265" t="str">
            <v xml:space="preserve">S &amp; D of CI D/F Sluice Valve 50MM dia conforming to IS 14846 / 2000 with amdt No:1 &amp; 2 components / parts  but excluding Transportation ,CED ,Sales Tax etc complete PN-1.0   with hand wheel </v>
          </cell>
        </row>
        <row r="266">
          <cell r="A266" t="str">
            <v xml:space="preserve">S &amp; D of CI D/F Sluice Valve 65MM dia conforming to IS 14846 / 2000 with amdt No:1 &amp; 2 components / parts  but excluding Transportation ,CED ,Sales Tax etc complete PN-1.0   with hand wheel </v>
          </cell>
        </row>
        <row r="267">
          <cell r="A267" t="str">
            <v xml:space="preserve">S &amp; D of CI D/F Sluice Valve 80MM dia conforming to IS 14846 / 2000 with amdt No:1 &amp; 2 components / parts  but excluding Transportation ,CED ,Sales Tax etc complete PN-1.0   with hand wheel </v>
          </cell>
        </row>
        <row r="268">
          <cell r="A268" t="str">
            <v xml:space="preserve">S &amp; D of CI D/F Sluice Valve 100MM dia conforming to IS 14846 / 2000 with amdt No:1 &amp; 2 components / parts  but excluding Transportation ,CED ,Sales Tax etc complete PN-1.0   with hand wheel </v>
          </cell>
        </row>
        <row r="269">
          <cell r="A269" t="str">
            <v>NON RETURN VALVES</v>
          </cell>
        </row>
        <row r="270">
          <cell r="A270" t="str">
            <v>S &amp; D of CI D/F Non -Return Valve Heavy duty 50MM dia round body conforming to IS 5312/part1/1984     PN-1.0 but excluding Transportation ,CED ,Sales Tax etc complete</v>
          </cell>
        </row>
        <row r="271">
          <cell r="A271" t="str">
            <v>S &amp; D of CI D/F Non -Return Valve Heavy duty 65MM dia round body conforming to IS 5312/part1/1984     PN-1.0 but excluding Transportation ,CED ,Sales Tax etc complete</v>
          </cell>
        </row>
        <row r="272">
          <cell r="A272" t="str">
            <v>S &amp; D of CI D/F Non -Return Valve Heavy duty 80MM dia round body conforming to IS 5312/part1/1984     PN-1.0 but excluding Transportation ,CED ,Sales Tax etc complete</v>
          </cell>
        </row>
        <row r="273">
          <cell r="A273" t="str">
            <v>S &amp; D of CI D/F Non -Return Valve Heavy duty 100MM dia round body conforming to IS 5312/part1/1984     PN-1.0 but excluding Transportation ,CED ,Sales Tax etc complete</v>
          </cell>
        </row>
        <row r="343">
          <cell r="B343" t="str">
            <v>Flanged spigot-Tail Piece</v>
          </cell>
        </row>
        <row r="344">
          <cell r="B344" t="str">
            <v>80MM Dia Flanged spigot-Tail Piece</v>
          </cell>
        </row>
        <row r="345">
          <cell r="B345" t="str">
            <v>100MM Dia Flanged spigot-Tail Piece</v>
          </cell>
        </row>
        <row r="346">
          <cell r="B346" t="str">
            <v>125MM Dia Flanged spigot-Tail Piece</v>
          </cell>
        </row>
        <row r="347">
          <cell r="B347" t="str">
            <v>150MM Dia Flanged spigot-Tail Piece</v>
          </cell>
        </row>
        <row r="348">
          <cell r="B348" t="str">
            <v>200MM Dia Flanged spigot-Tail Piece</v>
          </cell>
        </row>
        <row r="370">
          <cell r="B370" t="str">
            <v>CID Joints</v>
          </cell>
        </row>
        <row r="371">
          <cell r="B371" t="str">
            <v>80MM Dia CID joints including bolts &amp; nuts and rubber rings</v>
          </cell>
        </row>
        <row r="372">
          <cell r="B372" t="str">
            <v>100MM Dia CID joints including bolts &amp; nuts and rubber rings</v>
          </cell>
        </row>
        <row r="373">
          <cell r="B373" t="str">
            <v>125MM Dia CID joints including bolts &amp; nuts and rubber rings</v>
          </cell>
        </row>
        <row r="374">
          <cell r="B374" t="str">
            <v>150MM Dia CID joints including bolts &amp; nuts and rubber rings</v>
          </cell>
        </row>
        <row r="375">
          <cell r="B375" t="str">
            <v>200MM Dia CID joints including bolts &amp; nuts and rubber rings</v>
          </cell>
        </row>
        <row r="376">
          <cell r="B376" t="str">
            <v>Bolts &amp; Nuts to CID joints</v>
          </cell>
        </row>
        <row r="377">
          <cell r="B377" t="str">
            <v>Bolts &amp; Nuts to 80MM Dia CID joints</v>
          </cell>
        </row>
        <row r="378">
          <cell r="B378" t="str">
            <v>Bolts &amp; Nuts to 100MM Dia CID joints</v>
          </cell>
        </row>
        <row r="379">
          <cell r="B379" t="str">
            <v>Bolts &amp; Nuts to 125MM Dia CID joints</v>
          </cell>
        </row>
        <row r="380">
          <cell r="B380" t="str">
            <v>Bolts &amp; Nuts to 150MM Dia CID joints</v>
          </cell>
        </row>
        <row r="381">
          <cell r="B381" t="str">
            <v>Bolts &amp; Nuts to 200MM Dia CID joints</v>
          </cell>
        </row>
        <row r="382">
          <cell r="B382" t="str">
            <v>Rubber Rings to CID joints</v>
          </cell>
        </row>
        <row r="383">
          <cell r="B383" t="str">
            <v>Rubber rings to 80MM Dia CID joints</v>
          </cell>
        </row>
        <row r="384">
          <cell r="B384" t="str">
            <v>Rubber rings to 100MM Dia CID joints</v>
          </cell>
        </row>
        <row r="385">
          <cell r="B385" t="str">
            <v>Rubber rings to 125MM Dia CID joints</v>
          </cell>
        </row>
        <row r="386">
          <cell r="B386" t="str">
            <v>Rubber rings to 150MM Dia CID joints</v>
          </cell>
        </row>
      </sheetData>
      <sheetData sheetId="2"/>
      <sheetData sheetId="3"/>
      <sheetData sheetId="4" refreshError="1"/>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Sheet1"/>
    </sheetNames>
    <sheetDataSet>
      <sheetData sheetId="0"/>
      <sheetData sheetId="1"/>
      <sheetData sheetId="2"/>
      <sheetData sheetId="3"/>
      <sheetData sheetId="4"/>
      <sheetData sheetId="5"/>
      <sheetData sheetId="6"/>
      <sheetData sheetId="7"/>
      <sheetData sheetId="8" refreshError="1">
        <row r="4">
          <cell r="F4">
            <v>65</v>
          </cell>
        </row>
      </sheetData>
      <sheetData sheetId="9"/>
      <sheetData sheetId="10"/>
      <sheetData sheetId="11"/>
      <sheetData sheetId="12"/>
      <sheetData sheetId="13"/>
      <sheetData sheetId="14"/>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row r="1">
          <cell r="B1" t="str">
            <v>SNO</v>
          </cell>
          <cell r="C1" t="str">
            <v>SSITEMNO</v>
          </cell>
          <cell r="F1" t="str">
            <v>DETAILS</v>
          </cell>
          <cell r="G1" t="str">
            <v>Unit</v>
          </cell>
          <cell r="H1" t="str">
            <v>PER</v>
          </cell>
          <cell r="I1" t="str">
            <v>RATE</v>
          </cell>
        </row>
        <row r="2">
          <cell r="B2">
            <v>1</v>
          </cell>
          <cell r="C2" t="str">
            <v>1ab</v>
          </cell>
          <cell r="F2" t="str">
            <v>1st Class Mason</v>
          </cell>
          <cell r="G2">
            <v>1</v>
          </cell>
          <cell r="H2" t="str">
            <v>each</v>
          </cell>
          <cell r="I2">
            <v>86</v>
          </cell>
        </row>
        <row r="3">
          <cell r="B3">
            <v>26</v>
          </cell>
          <cell r="C3">
            <v>17</v>
          </cell>
          <cell r="F3" t="str">
            <v>Spl.grade Mason</v>
          </cell>
          <cell r="G3">
            <v>1</v>
          </cell>
          <cell r="H3" t="str">
            <v>each</v>
          </cell>
          <cell r="I3">
            <v>0</v>
          </cell>
        </row>
        <row r="4">
          <cell r="B4">
            <v>28</v>
          </cell>
          <cell r="C4" t="str">
            <v>1a</v>
          </cell>
          <cell r="F4" t="str">
            <v>2nd Class Mason</v>
          </cell>
          <cell r="G4">
            <v>1</v>
          </cell>
          <cell r="H4" t="str">
            <v>each</v>
          </cell>
          <cell r="I4">
            <v>75</v>
          </cell>
        </row>
        <row r="5">
          <cell r="B5">
            <v>53</v>
          </cell>
          <cell r="C5">
            <v>2</v>
          </cell>
          <cell r="F5" t="str">
            <v>Man Mazdoor</v>
          </cell>
          <cell r="G5">
            <v>1</v>
          </cell>
          <cell r="H5" t="str">
            <v>each</v>
          </cell>
          <cell r="I5">
            <v>55</v>
          </cell>
        </row>
        <row r="6">
          <cell r="B6">
            <v>54</v>
          </cell>
          <cell r="C6">
            <v>3</v>
          </cell>
          <cell r="F6" t="str">
            <v>Woman Mazdoor</v>
          </cell>
          <cell r="G6">
            <v>1</v>
          </cell>
          <cell r="H6" t="str">
            <v>each</v>
          </cell>
          <cell r="I6">
            <v>55</v>
          </cell>
        </row>
        <row r="7">
          <cell r="B7">
            <v>60</v>
          </cell>
          <cell r="C7" t="str">
            <v>1a</v>
          </cell>
          <cell r="F7" t="str">
            <v>2nd Class Bricks</v>
          </cell>
          <cell r="G7">
            <v>1000</v>
          </cell>
          <cell r="H7" t="str">
            <v>Nos</v>
          </cell>
          <cell r="I7">
            <v>1200</v>
          </cell>
        </row>
        <row r="8">
          <cell r="B8">
            <v>67</v>
          </cell>
          <cell r="C8" t="str">
            <v>2c</v>
          </cell>
          <cell r="F8" t="str">
            <v>RR stone Granite Variety</v>
          </cell>
          <cell r="G8">
            <v>1</v>
          </cell>
          <cell r="H8" t="str">
            <v>cum</v>
          </cell>
          <cell r="I8">
            <v>75</v>
          </cell>
        </row>
        <row r="9">
          <cell r="B9">
            <v>72</v>
          </cell>
          <cell r="C9" t="str">
            <v>3a</v>
          </cell>
          <cell r="F9" t="str">
            <v>CR stone Granite Variety</v>
          </cell>
          <cell r="G9">
            <v>1</v>
          </cell>
          <cell r="H9" t="str">
            <v>cum</v>
          </cell>
          <cell r="I9">
            <v>109</v>
          </cell>
        </row>
        <row r="10">
          <cell r="B10">
            <v>80</v>
          </cell>
          <cell r="F10" t="str">
            <v>6 mm SS</v>
          </cell>
          <cell r="G10">
            <v>1</v>
          </cell>
          <cell r="H10" t="str">
            <v>cum</v>
          </cell>
          <cell r="I10">
            <v>170</v>
          </cell>
        </row>
        <row r="11">
          <cell r="B11">
            <v>81</v>
          </cell>
          <cell r="F11" t="str">
            <v>5 to 7 mm IRC</v>
          </cell>
          <cell r="G11">
            <v>1</v>
          </cell>
          <cell r="H11" t="str">
            <v>cum</v>
          </cell>
          <cell r="I11">
            <v>170</v>
          </cell>
        </row>
        <row r="12">
          <cell r="B12">
            <v>82</v>
          </cell>
          <cell r="F12" t="str">
            <v>10 mm SS</v>
          </cell>
          <cell r="G12">
            <v>1</v>
          </cell>
          <cell r="H12" t="str">
            <v>cum</v>
          </cell>
          <cell r="I12">
            <v>250</v>
          </cell>
        </row>
        <row r="13">
          <cell r="B13">
            <v>83</v>
          </cell>
          <cell r="F13" t="str">
            <v>10 to 11.2 IRC</v>
          </cell>
          <cell r="G13">
            <v>1</v>
          </cell>
          <cell r="H13" t="str">
            <v>cum</v>
          </cell>
          <cell r="I13">
            <v>250</v>
          </cell>
        </row>
        <row r="14">
          <cell r="B14">
            <v>84</v>
          </cell>
          <cell r="F14" t="str">
            <v>12 mm SS</v>
          </cell>
          <cell r="G14">
            <v>1</v>
          </cell>
          <cell r="H14" t="str">
            <v>cum</v>
          </cell>
          <cell r="I14">
            <v>300</v>
          </cell>
        </row>
        <row r="15">
          <cell r="B15">
            <v>85</v>
          </cell>
          <cell r="F15" t="str">
            <v>12 to 14 mm IRC</v>
          </cell>
          <cell r="G15">
            <v>1</v>
          </cell>
          <cell r="H15" t="str">
            <v>cum</v>
          </cell>
          <cell r="I15">
            <v>300</v>
          </cell>
        </row>
        <row r="16">
          <cell r="B16">
            <v>86</v>
          </cell>
          <cell r="F16" t="str">
            <v>20 mm SS</v>
          </cell>
          <cell r="G16">
            <v>1</v>
          </cell>
          <cell r="H16" t="str">
            <v>cum</v>
          </cell>
          <cell r="I16">
            <v>380</v>
          </cell>
        </row>
        <row r="17">
          <cell r="B17">
            <v>87</v>
          </cell>
          <cell r="F17" t="str">
            <v>20 to 22 mm IRC</v>
          </cell>
          <cell r="G17">
            <v>1</v>
          </cell>
          <cell r="H17" t="str">
            <v>cum</v>
          </cell>
          <cell r="I17">
            <v>375</v>
          </cell>
        </row>
        <row r="18">
          <cell r="B18">
            <v>88</v>
          </cell>
          <cell r="F18" t="str">
            <v>25 mm SS</v>
          </cell>
          <cell r="G18">
            <v>1</v>
          </cell>
          <cell r="H18" t="str">
            <v>cum</v>
          </cell>
          <cell r="I18">
            <v>300</v>
          </cell>
        </row>
        <row r="19">
          <cell r="B19">
            <v>89</v>
          </cell>
          <cell r="F19" t="str">
            <v>25 to 27 mm IRC</v>
          </cell>
          <cell r="G19">
            <v>1</v>
          </cell>
          <cell r="H19" t="str">
            <v>cum</v>
          </cell>
          <cell r="I19">
            <v>300</v>
          </cell>
        </row>
        <row r="20">
          <cell r="B20">
            <v>90</v>
          </cell>
          <cell r="F20" t="str">
            <v>40 mm SS</v>
          </cell>
          <cell r="G20">
            <v>1</v>
          </cell>
          <cell r="H20" t="str">
            <v>cum</v>
          </cell>
          <cell r="I20">
            <v>215</v>
          </cell>
        </row>
        <row r="21">
          <cell r="B21">
            <v>91</v>
          </cell>
          <cell r="F21" t="str">
            <v>40 to 45 mm IRC</v>
          </cell>
          <cell r="G21">
            <v>1</v>
          </cell>
          <cell r="H21" t="str">
            <v>cum</v>
          </cell>
          <cell r="I21">
            <v>200</v>
          </cell>
        </row>
        <row r="22">
          <cell r="B22">
            <v>92</v>
          </cell>
          <cell r="F22" t="str">
            <v>50 mm SS</v>
          </cell>
          <cell r="G22">
            <v>1</v>
          </cell>
          <cell r="H22" t="str">
            <v>cum</v>
          </cell>
          <cell r="I22">
            <v>150</v>
          </cell>
        </row>
        <row r="23">
          <cell r="B23">
            <v>93</v>
          </cell>
          <cell r="F23" t="str">
            <v>50 to 55mm IRC</v>
          </cell>
          <cell r="G23">
            <v>1</v>
          </cell>
          <cell r="H23" t="str">
            <v>cum</v>
          </cell>
          <cell r="I23">
            <v>120</v>
          </cell>
        </row>
        <row r="24">
          <cell r="B24">
            <v>94</v>
          </cell>
          <cell r="F24" t="str">
            <v>60 mm SS</v>
          </cell>
          <cell r="G24">
            <v>1</v>
          </cell>
          <cell r="H24" t="str">
            <v>cum</v>
          </cell>
          <cell r="I24">
            <v>150</v>
          </cell>
        </row>
        <row r="25">
          <cell r="B25">
            <v>95</v>
          </cell>
          <cell r="F25" t="str">
            <v>60 to 63 mm IRC</v>
          </cell>
          <cell r="G25">
            <v>1</v>
          </cell>
          <cell r="H25" t="str">
            <v>cum</v>
          </cell>
          <cell r="I25">
            <v>110</v>
          </cell>
        </row>
        <row r="26">
          <cell r="B26">
            <v>96</v>
          </cell>
          <cell r="F26" t="str">
            <v>65 mm SS</v>
          </cell>
          <cell r="G26">
            <v>1</v>
          </cell>
          <cell r="H26" t="str">
            <v>cum</v>
          </cell>
          <cell r="I26">
            <v>150</v>
          </cell>
        </row>
        <row r="27">
          <cell r="B27">
            <v>97</v>
          </cell>
          <cell r="F27" t="str">
            <v>65 mm IRC</v>
          </cell>
          <cell r="G27">
            <v>1</v>
          </cell>
          <cell r="H27" t="str">
            <v>cum</v>
          </cell>
          <cell r="I27">
            <v>120</v>
          </cell>
        </row>
        <row r="28">
          <cell r="B28">
            <v>98</v>
          </cell>
          <cell r="F28" t="str">
            <v>75 mm SS</v>
          </cell>
          <cell r="G28">
            <v>1</v>
          </cell>
          <cell r="H28" t="str">
            <v>cum</v>
          </cell>
          <cell r="I28">
            <v>95</v>
          </cell>
        </row>
        <row r="29">
          <cell r="B29">
            <v>99</v>
          </cell>
          <cell r="F29" t="str">
            <v>75 mm IRC</v>
          </cell>
          <cell r="G29">
            <v>1</v>
          </cell>
          <cell r="H29" t="str">
            <v>cum</v>
          </cell>
          <cell r="I29">
            <v>95</v>
          </cell>
        </row>
        <row r="30">
          <cell r="B30">
            <v>100</v>
          </cell>
          <cell r="F30" t="str">
            <v>Blasting</v>
          </cell>
          <cell r="G30">
            <v>1</v>
          </cell>
          <cell r="H30" t="str">
            <v>cum</v>
          </cell>
          <cell r="I30">
            <v>40</v>
          </cell>
        </row>
        <row r="31">
          <cell r="B31">
            <v>101</v>
          </cell>
          <cell r="F31" t="str">
            <v>Metal Crushing</v>
          </cell>
          <cell r="G31">
            <v>1</v>
          </cell>
          <cell r="H31" t="str">
            <v>cum</v>
          </cell>
          <cell r="I31">
            <v>0.25</v>
          </cell>
        </row>
        <row r="32">
          <cell r="B32">
            <v>127</v>
          </cell>
          <cell r="C32">
            <v>9</v>
          </cell>
          <cell r="F32" t="str">
            <v>Gravel</v>
          </cell>
          <cell r="G32">
            <v>1</v>
          </cell>
          <cell r="H32" t="str">
            <v>cum</v>
          </cell>
          <cell r="I32">
            <v>25</v>
          </cell>
        </row>
        <row r="33">
          <cell r="B33">
            <v>128</v>
          </cell>
          <cell r="F33" t="str">
            <v>Quarry rubbish</v>
          </cell>
          <cell r="G33">
            <v>1</v>
          </cell>
          <cell r="H33" t="str">
            <v>cum</v>
          </cell>
          <cell r="I33">
            <v>11</v>
          </cell>
        </row>
        <row r="34">
          <cell r="B34">
            <v>129</v>
          </cell>
          <cell r="F34" t="str">
            <v>Sand for Mortar, Seal coat</v>
          </cell>
          <cell r="G34">
            <v>1</v>
          </cell>
          <cell r="H34" t="str">
            <v>cum</v>
          </cell>
          <cell r="I34">
            <v>50</v>
          </cell>
        </row>
        <row r="35">
          <cell r="B35">
            <v>130</v>
          </cell>
          <cell r="F35" t="str">
            <v>Sand for Filling, Blindage</v>
          </cell>
          <cell r="G35">
            <v>1</v>
          </cell>
          <cell r="H35" t="str">
            <v>cum</v>
          </cell>
          <cell r="I35">
            <v>20</v>
          </cell>
        </row>
        <row r="36">
          <cell r="B36">
            <v>133</v>
          </cell>
          <cell r="C36">
            <v>15</v>
          </cell>
          <cell r="F36" t="str">
            <v>40 mm thick 0.762 m x.457 m</v>
          </cell>
          <cell r="G36">
            <v>1</v>
          </cell>
          <cell r="H36" t="str">
            <v>sqm</v>
          </cell>
          <cell r="I36">
            <v>70</v>
          </cell>
        </row>
        <row r="37">
          <cell r="B37">
            <v>134</v>
          </cell>
          <cell r="C37">
            <v>16</v>
          </cell>
          <cell r="F37" t="str">
            <v>50 mm thick 0.762 m x.457 m</v>
          </cell>
          <cell r="G37">
            <v>1</v>
          </cell>
          <cell r="H37" t="str">
            <v>sqm</v>
          </cell>
          <cell r="I37">
            <v>80</v>
          </cell>
        </row>
        <row r="38">
          <cell r="B38">
            <v>136</v>
          </cell>
          <cell r="F38" t="str">
            <v>25.4 mm thick White</v>
          </cell>
          <cell r="G38">
            <v>10</v>
          </cell>
          <cell r="H38" t="str">
            <v>sqm</v>
          </cell>
          <cell r="I38">
            <v>550</v>
          </cell>
        </row>
        <row r="39">
          <cell r="B39">
            <v>137</v>
          </cell>
          <cell r="F39" t="str">
            <v>25.4 mm thick Blue</v>
          </cell>
          <cell r="G39">
            <v>10</v>
          </cell>
          <cell r="H39" t="str">
            <v>sqm</v>
          </cell>
          <cell r="I39">
            <v>600</v>
          </cell>
        </row>
        <row r="40">
          <cell r="B40">
            <v>138</v>
          </cell>
          <cell r="F40" t="str">
            <v>25.4 mm thick White</v>
          </cell>
          <cell r="G40">
            <v>10</v>
          </cell>
          <cell r="H40" t="str">
            <v>sqm</v>
          </cell>
          <cell r="I40">
            <v>600</v>
          </cell>
        </row>
        <row r="41">
          <cell r="B41">
            <v>139</v>
          </cell>
          <cell r="F41" t="str">
            <v>25.4 mm thick Blue</v>
          </cell>
          <cell r="G41">
            <v>10</v>
          </cell>
          <cell r="H41" t="str">
            <v>sqm</v>
          </cell>
          <cell r="I41">
            <v>700</v>
          </cell>
        </row>
        <row r="42">
          <cell r="B42">
            <v>140</v>
          </cell>
          <cell r="F42" t="str">
            <v>25.4 mm thick White  0.457mx0.457 m</v>
          </cell>
          <cell r="G42">
            <v>10</v>
          </cell>
          <cell r="H42" t="str">
            <v>sqm</v>
          </cell>
          <cell r="I42">
            <v>1000</v>
          </cell>
        </row>
        <row r="43">
          <cell r="B43">
            <v>141</v>
          </cell>
          <cell r="F43" t="str">
            <v>25.4 mm thick Blue  0.457mx0.457 m</v>
          </cell>
          <cell r="G43">
            <v>10</v>
          </cell>
          <cell r="H43" t="str">
            <v>sqm</v>
          </cell>
          <cell r="I43">
            <v>1150</v>
          </cell>
        </row>
        <row r="44">
          <cell r="B44">
            <v>142</v>
          </cell>
          <cell r="C44">
            <v>20</v>
          </cell>
          <cell r="F44" t="str">
            <v>25.4 mm thick   0.457mx0.457 m</v>
          </cell>
          <cell r="G44">
            <v>10</v>
          </cell>
          <cell r="H44" t="str">
            <v>sqm</v>
          </cell>
          <cell r="I44">
            <v>900</v>
          </cell>
        </row>
        <row r="45">
          <cell r="B45">
            <v>143</v>
          </cell>
          <cell r="C45">
            <v>21</v>
          </cell>
          <cell r="F45" t="str">
            <v>25.4 mm thick 0.254mx0.254 m White</v>
          </cell>
          <cell r="G45">
            <v>10</v>
          </cell>
          <cell r="H45" t="str">
            <v>sqm</v>
          </cell>
          <cell r="I45">
            <v>2700</v>
          </cell>
        </row>
        <row r="46">
          <cell r="B46">
            <v>168</v>
          </cell>
          <cell r="F46" t="str">
            <v>Cement Mortar</v>
          </cell>
          <cell r="G46">
            <v>1</v>
          </cell>
          <cell r="H46" t="str">
            <v>cum</v>
          </cell>
          <cell r="I46">
            <v>15</v>
          </cell>
        </row>
        <row r="47">
          <cell r="B47">
            <v>169</v>
          </cell>
          <cell r="F47" t="str">
            <v>By Machine</v>
          </cell>
          <cell r="G47">
            <v>1</v>
          </cell>
          <cell r="H47" t="str">
            <v>cum</v>
          </cell>
          <cell r="I47">
            <v>25</v>
          </cell>
        </row>
        <row r="48">
          <cell r="B48">
            <v>175</v>
          </cell>
          <cell r="F48" t="str">
            <v>White Cement</v>
          </cell>
          <cell r="G48">
            <v>1</v>
          </cell>
          <cell r="H48" t="str">
            <v>kg</v>
          </cell>
          <cell r="I48">
            <v>9</v>
          </cell>
        </row>
        <row r="49">
          <cell r="B49">
            <v>176</v>
          </cell>
          <cell r="F49" t="str">
            <v xml:space="preserve">Scantling below 2m </v>
          </cell>
          <cell r="G49">
            <v>1</v>
          </cell>
          <cell r="H49" t="str">
            <v>cum</v>
          </cell>
          <cell r="I49">
            <v>50000</v>
          </cell>
        </row>
        <row r="50">
          <cell r="B50">
            <v>177</v>
          </cell>
          <cell r="F50" t="str">
            <v xml:space="preserve">Scantling above 2m </v>
          </cell>
          <cell r="G50">
            <v>1</v>
          </cell>
          <cell r="H50" t="str">
            <v>cum</v>
          </cell>
          <cell r="I50">
            <v>52000</v>
          </cell>
        </row>
        <row r="51">
          <cell r="B51">
            <v>178</v>
          </cell>
          <cell r="F51" t="str">
            <v>Planks of all sizes</v>
          </cell>
          <cell r="G51">
            <v>1</v>
          </cell>
          <cell r="H51" t="str">
            <v>cum</v>
          </cell>
          <cell r="I51">
            <v>55000</v>
          </cell>
        </row>
        <row r="52">
          <cell r="B52">
            <v>176</v>
          </cell>
          <cell r="F52" t="str">
            <v xml:space="preserve">Scantling below 2m </v>
          </cell>
          <cell r="G52">
            <v>1</v>
          </cell>
          <cell r="H52" t="str">
            <v>cum</v>
          </cell>
          <cell r="I52">
            <v>40000</v>
          </cell>
        </row>
        <row r="53">
          <cell r="B53">
            <v>177</v>
          </cell>
          <cell r="F53" t="str">
            <v xml:space="preserve">Scantling above 2m </v>
          </cell>
          <cell r="G53">
            <v>1</v>
          </cell>
          <cell r="H53" t="str">
            <v>cum</v>
          </cell>
          <cell r="I53">
            <v>42000</v>
          </cell>
        </row>
        <row r="54">
          <cell r="B54">
            <v>178</v>
          </cell>
          <cell r="F54" t="str">
            <v>Planks of all sizes</v>
          </cell>
          <cell r="G54">
            <v>1</v>
          </cell>
          <cell r="H54" t="str">
            <v>cum</v>
          </cell>
          <cell r="I54">
            <v>45000</v>
          </cell>
        </row>
        <row r="55">
          <cell r="B55">
            <v>187</v>
          </cell>
          <cell r="F55" t="str">
            <v>Steel fabrication</v>
          </cell>
          <cell r="G55">
            <v>1</v>
          </cell>
          <cell r="H55" t="str">
            <v>kg</v>
          </cell>
          <cell r="I55">
            <v>3.25</v>
          </cell>
        </row>
        <row r="56">
          <cell r="B56">
            <v>234</v>
          </cell>
          <cell r="F56" t="str">
            <v>25 mm thick</v>
          </cell>
          <cell r="G56">
            <v>1</v>
          </cell>
          <cell r="H56" t="str">
            <v>sqm</v>
          </cell>
          <cell r="I56">
            <v>80</v>
          </cell>
        </row>
        <row r="57">
          <cell r="B57">
            <v>235</v>
          </cell>
          <cell r="F57" t="str">
            <v>40 mm thick</v>
          </cell>
          <cell r="G57">
            <v>1</v>
          </cell>
          <cell r="H57" t="str">
            <v>sqm</v>
          </cell>
          <cell r="I57">
            <v>105</v>
          </cell>
        </row>
        <row r="58">
          <cell r="B58">
            <v>236</v>
          </cell>
          <cell r="F58" t="str">
            <v>50 mm thick</v>
          </cell>
          <cell r="G58">
            <v>1</v>
          </cell>
          <cell r="H58" t="str">
            <v>sqm</v>
          </cell>
          <cell r="I58">
            <v>140</v>
          </cell>
        </row>
        <row r="59">
          <cell r="B59">
            <v>239</v>
          </cell>
          <cell r="F59" t="str">
            <v>Dry powder Distemper</v>
          </cell>
          <cell r="G59">
            <v>1</v>
          </cell>
          <cell r="H59" t="str">
            <v>kg</v>
          </cell>
          <cell r="I59">
            <v>20</v>
          </cell>
        </row>
        <row r="60">
          <cell r="B60">
            <v>240</v>
          </cell>
          <cell r="F60" t="str">
            <v>Oil bound washable Distemper</v>
          </cell>
          <cell r="G60">
            <v>1</v>
          </cell>
          <cell r="H60" t="str">
            <v>kg</v>
          </cell>
          <cell r="I60">
            <v>60</v>
          </cell>
        </row>
        <row r="61">
          <cell r="B61">
            <v>245</v>
          </cell>
          <cell r="F61" t="str">
            <v>Alluminium paint 1st grade</v>
          </cell>
          <cell r="G61">
            <v>1</v>
          </cell>
          <cell r="H61" t="str">
            <v>litre</v>
          </cell>
          <cell r="I61">
            <v>176</v>
          </cell>
        </row>
        <row r="62">
          <cell r="B62">
            <v>246</v>
          </cell>
          <cell r="F62" t="str">
            <v>Anti corrosive bitument pain (Black) grade -1</v>
          </cell>
          <cell r="G62">
            <v>1</v>
          </cell>
          <cell r="H62" t="str">
            <v>litre</v>
          </cell>
          <cell r="I62">
            <v>250</v>
          </cell>
        </row>
        <row r="63">
          <cell r="B63">
            <v>247</v>
          </cell>
          <cell r="F63" t="str">
            <v>Red oxide Primer Paint grade-I</v>
          </cell>
          <cell r="G63">
            <v>1</v>
          </cell>
          <cell r="H63" t="str">
            <v>litre</v>
          </cell>
          <cell r="I63">
            <v>55</v>
          </cell>
        </row>
        <row r="64">
          <cell r="B64">
            <v>248</v>
          </cell>
          <cell r="F64" t="str">
            <v>Red oxide Primer Paint grade-II</v>
          </cell>
          <cell r="G64">
            <v>1</v>
          </cell>
          <cell r="H64" t="str">
            <v>litre</v>
          </cell>
          <cell r="I64">
            <v>45</v>
          </cell>
        </row>
        <row r="65">
          <cell r="B65">
            <v>249</v>
          </cell>
          <cell r="F65" t="str">
            <v>Synthetic enamel paints in all shades grade-I</v>
          </cell>
          <cell r="G65">
            <v>1</v>
          </cell>
          <cell r="H65" t="str">
            <v>litre</v>
          </cell>
          <cell r="I65">
            <v>130</v>
          </cell>
        </row>
        <row r="66">
          <cell r="B66">
            <v>250</v>
          </cell>
          <cell r="F66" t="str">
            <v>Synthetic enamel paints in all shades grade-II</v>
          </cell>
          <cell r="G66">
            <v>1</v>
          </cell>
          <cell r="H66" t="str">
            <v>litre</v>
          </cell>
          <cell r="I66">
            <v>95</v>
          </cell>
        </row>
        <row r="67">
          <cell r="B67">
            <v>251</v>
          </cell>
          <cell r="F67" t="str">
            <v>Plastic emultion paint grade-I</v>
          </cell>
          <cell r="G67">
            <v>1</v>
          </cell>
          <cell r="H67" t="str">
            <v>litre</v>
          </cell>
          <cell r="I67">
            <v>200</v>
          </cell>
        </row>
        <row r="68">
          <cell r="B68">
            <v>252</v>
          </cell>
          <cell r="C68">
            <v>63</v>
          </cell>
          <cell r="F68" t="str">
            <v>Oil Bound Distemper</v>
          </cell>
          <cell r="G68">
            <v>1</v>
          </cell>
          <cell r="H68" t="str">
            <v>kg</v>
          </cell>
          <cell r="I68">
            <v>40</v>
          </cell>
        </row>
        <row r="69">
          <cell r="B69">
            <v>253</v>
          </cell>
          <cell r="C69">
            <v>64</v>
          </cell>
          <cell r="F69" t="str">
            <v>Water proof cement paint of Superior Quality</v>
          </cell>
          <cell r="G69">
            <v>1</v>
          </cell>
          <cell r="H69" t="str">
            <v>kg</v>
          </cell>
          <cell r="I69">
            <v>30</v>
          </cell>
        </row>
        <row r="70">
          <cell r="B70">
            <v>254</v>
          </cell>
          <cell r="C70">
            <v>65</v>
          </cell>
          <cell r="F70" t="str">
            <v>White lead</v>
          </cell>
          <cell r="G70">
            <v>1</v>
          </cell>
          <cell r="H70" t="str">
            <v>kg</v>
          </cell>
          <cell r="I70">
            <v>50</v>
          </cell>
        </row>
        <row r="71">
          <cell r="B71">
            <v>255</v>
          </cell>
          <cell r="C71">
            <v>66</v>
          </cell>
          <cell r="F71" t="str">
            <v>Marble powder</v>
          </cell>
          <cell r="G71">
            <v>1</v>
          </cell>
          <cell r="H71" t="str">
            <v>kg</v>
          </cell>
          <cell r="I71">
            <v>12.5</v>
          </cell>
        </row>
        <row r="72">
          <cell r="B72">
            <v>256</v>
          </cell>
          <cell r="C72">
            <v>67</v>
          </cell>
          <cell r="F72" t="str">
            <v>Cement Primer grade-I</v>
          </cell>
          <cell r="G72">
            <v>1</v>
          </cell>
          <cell r="H72" t="str">
            <v>kg</v>
          </cell>
          <cell r="I72">
            <v>65</v>
          </cell>
        </row>
        <row r="73">
          <cell r="B73">
            <v>257</v>
          </cell>
          <cell r="F73" t="str">
            <v>Cement Primer grade-II</v>
          </cell>
          <cell r="G73">
            <v>1</v>
          </cell>
          <cell r="H73" t="str">
            <v>kg</v>
          </cell>
          <cell r="I73">
            <v>50</v>
          </cell>
        </row>
        <row r="74">
          <cell r="B74">
            <v>274</v>
          </cell>
          <cell r="D74" t="str">
            <v>b</v>
          </cell>
          <cell r="F74" t="str">
            <v>Fevicol</v>
          </cell>
          <cell r="G74">
            <v>1</v>
          </cell>
          <cell r="H74" t="str">
            <v>kg</v>
          </cell>
          <cell r="I74">
            <v>100</v>
          </cell>
        </row>
        <row r="75">
          <cell r="B75">
            <v>352</v>
          </cell>
          <cell r="D75" t="str">
            <v>a</v>
          </cell>
          <cell r="F75" t="str">
            <v>Clearing heavy jungle</v>
          </cell>
          <cell r="G75">
            <v>10</v>
          </cell>
          <cell r="H75" t="str">
            <v>sqm</v>
          </cell>
          <cell r="I75">
            <v>6</v>
          </cell>
        </row>
        <row r="76">
          <cell r="B76">
            <v>353</v>
          </cell>
          <cell r="D76" t="str">
            <v>b</v>
          </cell>
          <cell r="F76" t="str">
            <v>Clearing Light jungle</v>
          </cell>
          <cell r="G76">
            <v>10</v>
          </cell>
          <cell r="H76" t="str">
            <v>sqm</v>
          </cell>
          <cell r="I76">
            <v>5</v>
          </cell>
        </row>
        <row r="77">
          <cell r="B77">
            <v>354</v>
          </cell>
          <cell r="D77" t="str">
            <v>c</v>
          </cell>
          <cell r="F77" t="str">
            <v>Clearing Scrub jungle</v>
          </cell>
          <cell r="G77">
            <v>10</v>
          </cell>
          <cell r="H77" t="str">
            <v>sqm</v>
          </cell>
          <cell r="I77">
            <v>3</v>
          </cell>
        </row>
        <row r="78">
          <cell r="B78">
            <v>355</v>
          </cell>
          <cell r="D78" t="str">
            <v>d</v>
          </cell>
          <cell r="F78" t="str">
            <v xml:space="preserve">Cleaing Julie flora </v>
          </cell>
          <cell r="G78">
            <v>10</v>
          </cell>
          <cell r="H78" t="str">
            <v>sqm</v>
          </cell>
          <cell r="I78">
            <v>14</v>
          </cell>
        </row>
        <row r="79">
          <cell r="B79">
            <v>408</v>
          </cell>
          <cell r="D79" t="str">
            <v>a</v>
          </cell>
          <cell r="F79" t="str">
            <v>Loamy &amp; Clay soils like BC soils, Red earth &amp; OG SS 302 &amp; 303</v>
          </cell>
          <cell r="G79">
            <v>10</v>
          </cell>
          <cell r="H79" t="str">
            <v>cum</v>
          </cell>
          <cell r="I79">
            <v>235</v>
          </cell>
        </row>
        <row r="80">
          <cell r="B80">
            <v>409</v>
          </cell>
          <cell r="F80" t="str">
            <v>Loamy &amp; Clay soils like BC soils, Red earth &amp; OG SS 301</v>
          </cell>
          <cell r="G80">
            <v>10</v>
          </cell>
          <cell r="H80" t="str">
            <v>cum</v>
          </cell>
          <cell r="I80">
            <v>215</v>
          </cell>
        </row>
        <row r="81">
          <cell r="B81">
            <v>412</v>
          </cell>
          <cell r="F81" t="str">
            <v>Hard Gravelly Soils SS 302 &amp; 303</v>
          </cell>
          <cell r="G81">
            <v>10</v>
          </cell>
          <cell r="H81" t="str">
            <v>cum</v>
          </cell>
          <cell r="I81">
            <v>250</v>
          </cell>
        </row>
        <row r="82">
          <cell r="B82">
            <v>413</v>
          </cell>
          <cell r="F82" t="str">
            <v>Hard Gravelly Soils SS 301</v>
          </cell>
          <cell r="G82">
            <v>10</v>
          </cell>
          <cell r="H82" t="str">
            <v>cum</v>
          </cell>
          <cell r="I82">
            <v>230</v>
          </cell>
        </row>
        <row r="83">
          <cell r="B83">
            <v>459</v>
          </cell>
          <cell r="C83">
            <v>35</v>
          </cell>
          <cell r="F83" t="str">
            <v>Vibrating Concrete</v>
          </cell>
          <cell r="G83">
            <v>1</v>
          </cell>
          <cell r="H83" t="str">
            <v>cum</v>
          </cell>
          <cell r="I83">
            <v>22.4</v>
          </cell>
        </row>
        <row r="84">
          <cell r="B84">
            <v>460</v>
          </cell>
          <cell r="C84">
            <v>36</v>
          </cell>
          <cell r="F84" t="str">
            <v>Machine mixing Concrete</v>
          </cell>
          <cell r="G84">
            <v>1</v>
          </cell>
          <cell r="H84" t="str">
            <v>cum</v>
          </cell>
          <cell r="I84">
            <v>21.8</v>
          </cell>
        </row>
        <row r="85">
          <cell r="B85">
            <v>461</v>
          </cell>
          <cell r="C85">
            <v>37</v>
          </cell>
          <cell r="F85" t="str">
            <v>Power for Mixer</v>
          </cell>
          <cell r="G85">
            <v>1</v>
          </cell>
          <cell r="H85" t="str">
            <v>cum</v>
          </cell>
          <cell r="I85">
            <v>14.5</v>
          </cell>
        </row>
        <row r="86">
          <cell r="B86">
            <v>495</v>
          </cell>
          <cell r="C86">
            <v>40</v>
          </cell>
          <cell r="D86" t="str">
            <v>a</v>
          </cell>
          <cell r="F86" t="str">
            <v>First Floor</v>
          </cell>
          <cell r="G86">
            <v>1</v>
          </cell>
          <cell r="H86" t="str">
            <v>cum</v>
          </cell>
          <cell r="I86">
            <v>22</v>
          </cell>
        </row>
        <row r="87">
          <cell r="B87">
            <v>496</v>
          </cell>
          <cell r="D87" t="str">
            <v>b</v>
          </cell>
          <cell r="F87" t="str">
            <v>Second Floor</v>
          </cell>
          <cell r="G87">
            <v>1</v>
          </cell>
          <cell r="H87" t="str">
            <v>cum</v>
          </cell>
          <cell r="I87">
            <v>27</v>
          </cell>
        </row>
        <row r="88">
          <cell r="B88">
            <v>497</v>
          </cell>
          <cell r="D88" t="str">
            <v>c</v>
          </cell>
          <cell r="F88" t="str">
            <v>Third Floor</v>
          </cell>
          <cell r="G88">
            <v>1</v>
          </cell>
          <cell r="H88" t="str">
            <v>cum</v>
          </cell>
          <cell r="I88">
            <v>37</v>
          </cell>
        </row>
        <row r="89">
          <cell r="B89">
            <v>498</v>
          </cell>
          <cell r="D89" t="str">
            <v>d</v>
          </cell>
          <cell r="F89" t="str">
            <v>Each Additional Floor</v>
          </cell>
          <cell r="G89">
            <v>1</v>
          </cell>
          <cell r="H89" t="str">
            <v>cum</v>
          </cell>
          <cell r="I89">
            <v>16</v>
          </cell>
        </row>
        <row r="90">
          <cell r="B90">
            <v>499</v>
          </cell>
          <cell r="D90" t="str">
            <v>a</v>
          </cell>
          <cell r="F90" t="str">
            <v>1st &amp; 2nd Floor</v>
          </cell>
          <cell r="G90">
            <v>10</v>
          </cell>
          <cell r="H90" t="str">
            <v>sqm</v>
          </cell>
          <cell r="I90">
            <v>25</v>
          </cell>
        </row>
        <row r="91">
          <cell r="B91">
            <v>500</v>
          </cell>
          <cell r="D91" t="str">
            <v>b</v>
          </cell>
          <cell r="F91" t="str">
            <v>2nd &amp; 3rd Floor</v>
          </cell>
          <cell r="G91">
            <v>10</v>
          </cell>
          <cell r="H91" t="str">
            <v>sqm</v>
          </cell>
          <cell r="I91">
            <v>50</v>
          </cell>
        </row>
        <row r="92">
          <cell r="B92">
            <v>501</v>
          </cell>
          <cell r="D92" t="str">
            <v>c</v>
          </cell>
          <cell r="F92" t="str">
            <v>3rd &amp; 4th Floor</v>
          </cell>
          <cell r="G92">
            <v>10</v>
          </cell>
          <cell r="H92" t="str">
            <v>sqm</v>
          </cell>
          <cell r="I92">
            <v>75</v>
          </cell>
        </row>
        <row r="93">
          <cell r="B93">
            <v>502</v>
          </cell>
          <cell r="D93" t="str">
            <v>d</v>
          </cell>
          <cell r="F93" t="str">
            <v>Each Additional Floor</v>
          </cell>
          <cell r="G93">
            <v>10</v>
          </cell>
          <cell r="H93" t="str">
            <v>sqm</v>
          </cell>
          <cell r="I93">
            <v>18</v>
          </cell>
        </row>
        <row r="94">
          <cell r="B94">
            <v>503</v>
          </cell>
          <cell r="D94" t="str">
            <v>a</v>
          </cell>
          <cell r="F94" t="str">
            <v>upto 150 mm depth</v>
          </cell>
          <cell r="G94">
            <v>10</v>
          </cell>
          <cell r="H94" t="str">
            <v>sqm</v>
          </cell>
          <cell r="I94">
            <v>525</v>
          </cell>
        </row>
        <row r="95">
          <cell r="B95">
            <v>504</v>
          </cell>
          <cell r="D95" t="str">
            <v>b</v>
          </cell>
          <cell r="F95" t="str">
            <v>above 150 mm depth and upto 300 mm depth</v>
          </cell>
          <cell r="G95">
            <v>10</v>
          </cell>
          <cell r="H95" t="str">
            <v>sqm</v>
          </cell>
          <cell r="I95">
            <v>850</v>
          </cell>
        </row>
        <row r="96">
          <cell r="B96">
            <v>510</v>
          </cell>
          <cell r="D96" t="str">
            <v>g</v>
          </cell>
          <cell r="E96" t="str">
            <v xml:space="preserve">i </v>
          </cell>
          <cell r="F96" t="str">
            <v>0.60 m width</v>
          </cell>
          <cell r="G96">
            <v>1</v>
          </cell>
          <cell r="H96" t="str">
            <v>rmt</v>
          </cell>
          <cell r="I96">
            <v>25</v>
          </cell>
        </row>
        <row r="97">
          <cell r="B97">
            <v>511</v>
          </cell>
          <cell r="D97" t="str">
            <v>g</v>
          </cell>
          <cell r="E97" t="str">
            <v>ii</v>
          </cell>
          <cell r="F97" t="str">
            <v>0.80 m width</v>
          </cell>
          <cell r="G97">
            <v>1</v>
          </cell>
          <cell r="H97" t="str">
            <v>rmt</v>
          </cell>
          <cell r="I97">
            <v>30</v>
          </cell>
        </row>
        <row r="98">
          <cell r="B98">
            <v>512</v>
          </cell>
          <cell r="D98" t="str">
            <v>g</v>
          </cell>
          <cell r="E98" t="str">
            <v>iii</v>
          </cell>
          <cell r="F98" t="str">
            <v>1.00 m width</v>
          </cell>
          <cell r="G98">
            <v>1</v>
          </cell>
          <cell r="H98" t="str">
            <v>rmt</v>
          </cell>
          <cell r="I98">
            <v>35</v>
          </cell>
        </row>
        <row r="99">
          <cell r="B99">
            <v>513</v>
          </cell>
          <cell r="D99" t="str">
            <v>h</v>
          </cell>
          <cell r="F99" t="str">
            <v>T.Beams</v>
          </cell>
          <cell r="G99">
            <v>1</v>
          </cell>
          <cell r="H99" t="str">
            <v>cum</v>
          </cell>
          <cell r="I99">
            <v>650</v>
          </cell>
        </row>
        <row r="100">
          <cell r="B100">
            <v>514</v>
          </cell>
          <cell r="F100" t="str">
            <v>Columns, Rectangular beams, L.Beams</v>
          </cell>
          <cell r="G100">
            <v>1</v>
          </cell>
          <cell r="H100" t="str">
            <v>cum</v>
          </cell>
          <cell r="I100">
            <v>550</v>
          </cell>
        </row>
        <row r="101">
          <cell r="B101">
            <v>515</v>
          </cell>
          <cell r="F101" t="str">
            <v>Templates, Bed blocks,Footings</v>
          </cell>
          <cell r="G101">
            <v>1</v>
          </cell>
          <cell r="H101" t="str">
            <v>cum</v>
          </cell>
          <cell r="I101">
            <v>330</v>
          </cell>
        </row>
        <row r="102">
          <cell r="B102">
            <v>518</v>
          </cell>
          <cell r="F102" t="str">
            <v>Lintels, Plinth Beams</v>
          </cell>
          <cell r="G102">
            <v>1</v>
          </cell>
          <cell r="H102" t="str">
            <v>cum</v>
          </cell>
          <cell r="I102">
            <v>450</v>
          </cell>
        </row>
        <row r="103">
          <cell r="B103">
            <v>519</v>
          </cell>
          <cell r="F103" t="str">
            <v>Slabs above 300 mm depth</v>
          </cell>
          <cell r="G103">
            <v>1</v>
          </cell>
          <cell r="H103" t="str">
            <v>cum</v>
          </cell>
          <cell r="I103">
            <v>520</v>
          </cell>
        </row>
        <row r="104">
          <cell r="B104">
            <v>521</v>
          </cell>
          <cell r="D104" t="str">
            <v>a</v>
          </cell>
          <cell r="F104" t="str">
            <v>For mass concrete Piers, Abutments and steining well curb well caps etc.,</v>
          </cell>
          <cell r="G104">
            <v>1</v>
          </cell>
          <cell r="H104" t="str">
            <v>cum</v>
          </cell>
          <cell r="I104">
            <v>380</v>
          </cell>
        </row>
        <row r="105">
          <cell r="B105">
            <v>522</v>
          </cell>
          <cell r="F105" t="str">
            <v>For RCC Piers, Abutments, Wings, Well steining weel curbs, well Caps etc.,</v>
          </cell>
          <cell r="G105">
            <v>1</v>
          </cell>
          <cell r="H105" t="str">
            <v>cum</v>
          </cell>
          <cell r="I105">
            <v>500</v>
          </cell>
        </row>
        <row r="106">
          <cell r="B106">
            <v>523</v>
          </cell>
          <cell r="F106" t="str">
            <v>For RCC Deck Slabs</v>
          </cell>
          <cell r="G106">
            <v>1</v>
          </cell>
          <cell r="H106" t="str">
            <v>cum</v>
          </cell>
          <cell r="I106">
            <v>950</v>
          </cell>
        </row>
        <row r="107">
          <cell r="B107">
            <v>524</v>
          </cell>
          <cell r="F107" t="str">
            <v>For RCC beams</v>
          </cell>
          <cell r="G107">
            <v>1</v>
          </cell>
          <cell r="H107" t="str">
            <v>cum</v>
          </cell>
          <cell r="I107">
            <v>1150</v>
          </cell>
        </row>
        <row r="108">
          <cell r="B108">
            <v>525</v>
          </cell>
          <cell r="F108" t="str">
            <v>RCC hand rails</v>
          </cell>
          <cell r="G108">
            <v>1</v>
          </cell>
          <cell r="H108" t="str">
            <v>cum</v>
          </cell>
          <cell r="I108">
            <v>1250</v>
          </cell>
        </row>
        <row r="109">
          <cell r="B109">
            <v>526</v>
          </cell>
          <cell r="F109" t="str">
            <v>CC pavements, Wearing Coats, approach slabs guide stone JM stone etc.</v>
          </cell>
          <cell r="G109">
            <v>1</v>
          </cell>
          <cell r="H109" t="str">
            <v>cum</v>
          </cell>
          <cell r="I109">
            <v>95</v>
          </cell>
        </row>
        <row r="110">
          <cell r="B110">
            <v>555</v>
          </cell>
          <cell r="D110" t="str">
            <v>a</v>
          </cell>
          <cell r="F110" t="str">
            <v>250 mm dia</v>
          </cell>
          <cell r="G110">
            <v>1</v>
          </cell>
          <cell r="H110" t="str">
            <v>rmt</v>
          </cell>
          <cell r="I110">
            <v>8</v>
          </cell>
        </row>
        <row r="111">
          <cell r="B111">
            <v>556</v>
          </cell>
          <cell r="D111" t="str">
            <v>b</v>
          </cell>
          <cell r="F111" t="str">
            <v>300 mm dia</v>
          </cell>
          <cell r="G111">
            <v>1</v>
          </cell>
          <cell r="H111" t="str">
            <v>rmt</v>
          </cell>
          <cell r="I111">
            <v>11</v>
          </cell>
        </row>
        <row r="112">
          <cell r="B112">
            <v>557</v>
          </cell>
          <cell r="D112" t="str">
            <v>c</v>
          </cell>
          <cell r="F112" t="str">
            <v>450 mm dia</v>
          </cell>
          <cell r="G112">
            <v>1</v>
          </cell>
          <cell r="H112" t="str">
            <v>rmt</v>
          </cell>
          <cell r="I112">
            <v>15</v>
          </cell>
        </row>
        <row r="113">
          <cell r="B113">
            <v>558</v>
          </cell>
          <cell r="D113" t="str">
            <v>d</v>
          </cell>
          <cell r="F113" t="str">
            <v>600 mm dia</v>
          </cell>
          <cell r="G113">
            <v>1</v>
          </cell>
          <cell r="H113" t="str">
            <v>rmt</v>
          </cell>
          <cell r="I113">
            <v>25</v>
          </cell>
        </row>
        <row r="114">
          <cell r="B114">
            <v>559</v>
          </cell>
          <cell r="D114" t="str">
            <v>e</v>
          </cell>
          <cell r="F114" t="str">
            <v>750 mm dia</v>
          </cell>
          <cell r="G114">
            <v>1</v>
          </cell>
          <cell r="H114" t="str">
            <v>rmt</v>
          </cell>
          <cell r="I114">
            <v>30</v>
          </cell>
        </row>
        <row r="115">
          <cell r="B115">
            <v>560</v>
          </cell>
          <cell r="D115" t="str">
            <v>f</v>
          </cell>
          <cell r="F115" t="str">
            <v>800 mm dia</v>
          </cell>
          <cell r="G115">
            <v>1</v>
          </cell>
          <cell r="H115" t="str">
            <v>rmt</v>
          </cell>
          <cell r="I115">
            <v>35</v>
          </cell>
        </row>
        <row r="116">
          <cell r="B116">
            <v>561</v>
          </cell>
          <cell r="D116" t="str">
            <v>g</v>
          </cell>
          <cell r="F116" t="str">
            <v>1000 mm dia</v>
          </cell>
          <cell r="G116">
            <v>1</v>
          </cell>
          <cell r="H116" t="str">
            <v>rmt</v>
          </cell>
          <cell r="I116">
            <v>40</v>
          </cell>
        </row>
        <row r="117">
          <cell r="B117">
            <v>562</v>
          </cell>
          <cell r="D117" t="str">
            <v>h</v>
          </cell>
          <cell r="F117" t="str">
            <v>1220 mm dia</v>
          </cell>
          <cell r="G117">
            <v>1</v>
          </cell>
          <cell r="H117" t="str">
            <v>rmt</v>
          </cell>
          <cell r="I117">
            <v>50</v>
          </cell>
        </row>
        <row r="118">
          <cell r="B118">
            <v>563</v>
          </cell>
          <cell r="D118" t="str">
            <v>a</v>
          </cell>
          <cell r="F118" t="str">
            <v>40 mm</v>
          </cell>
          <cell r="G118">
            <v>1</v>
          </cell>
          <cell r="H118" t="str">
            <v>sqm</v>
          </cell>
          <cell r="I118">
            <v>29</v>
          </cell>
        </row>
        <row r="119">
          <cell r="B119">
            <v>564</v>
          </cell>
          <cell r="D119" t="str">
            <v>b</v>
          </cell>
          <cell r="F119" t="str">
            <v>50 mm</v>
          </cell>
          <cell r="G119">
            <v>1</v>
          </cell>
          <cell r="H119" t="str">
            <v>sqm</v>
          </cell>
          <cell r="I119">
            <v>31</v>
          </cell>
        </row>
        <row r="120">
          <cell r="B120">
            <v>565</v>
          </cell>
          <cell r="D120" t="str">
            <v>c</v>
          </cell>
          <cell r="F120" t="str">
            <v>75 mm</v>
          </cell>
          <cell r="G120">
            <v>1</v>
          </cell>
          <cell r="H120" t="str">
            <v>sqm</v>
          </cell>
          <cell r="I120">
            <v>34</v>
          </cell>
        </row>
        <row r="121">
          <cell r="B121">
            <v>566</v>
          </cell>
          <cell r="D121" t="str">
            <v>d</v>
          </cell>
          <cell r="F121" t="str">
            <v>100 mm</v>
          </cell>
          <cell r="G121">
            <v>1</v>
          </cell>
          <cell r="H121" t="str">
            <v>sqm</v>
          </cell>
          <cell r="I121">
            <v>36</v>
          </cell>
        </row>
        <row r="122">
          <cell r="B122">
            <v>570</v>
          </cell>
          <cell r="C122">
            <v>52</v>
          </cell>
          <cell r="F122" t="str">
            <v>Picking 50mm to 100mm old metalled surface and sectioning</v>
          </cell>
          <cell r="G122">
            <v>10</v>
          </cell>
          <cell r="H122" t="str">
            <v>sqm</v>
          </cell>
          <cell r="I122">
            <v>10</v>
          </cell>
        </row>
        <row r="123">
          <cell r="B123">
            <v>571</v>
          </cell>
          <cell r="C123">
            <v>53</v>
          </cell>
          <cell r="F123" t="str">
            <v>Picking gravelled surface 25mm deep and levelling and sectioning</v>
          </cell>
          <cell r="G123">
            <v>10</v>
          </cell>
          <cell r="H123" t="str">
            <v>sqm</v>
          </cell>
          <cell r="I123">
            <v>2.5</v>
          </cell>
        </row>
        <row r="124">
          <cell r="B124">
            <v>572</v>
          </cell>
          <cell r="C124">
            <v>54</v>
          </cell>
          <cell r="F124" t="str">
            <v>Picking existing BT survace and removal of chips</v>
          </cell>
          <cell r="G124">
            <v>10</v>
          </cell>
          <cell r="H124" t="str">
            <v>sqm</v>
          </cell>
          <cell r="I124">
            <v>9.5</v>
          </cell>
        </row>
      </sheetData>
      <sheetData sheetId="11"/>
      <sheetData sheetId="12" refreshError="1"/>
      <sheetData sheetId="1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v"/>
      <sheetName val="r"/>
    </sheetNames>
    <sheetDataSet>
      <sheetData sheetId="0"/>
      <sheetData sheetId="1" refreshError="1">
        <row r="6">
          <cell r="J6">
            <v>336.1</v>
          </cell>
        </row>
        <row r="7">
          <cell r="J7">
            <v>640.6</v>
          </cell>
        </row>
        <row r="8">
          <cell r="J8">
            <v>528.1</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F"/>
      <sheetName val="General_Abstract"/>
      <sheetName val="Name"/>
      <sheetName val="21-Col"/>
      <sheetName val="BCR"/>
      <sheetName val="GAB&amp; BCR"/>
      <sheetName val="RGM"/>
      <sheetName val="Canal -R.F"/>
      <sheetName val="Report"/>
      <sheetName val="YDBS"/>
      <sheetName val="Sheet2"/>
      <sheetName val="Weir Est (2)"/>
      <sheetName val="Abst-sl"/>
      <sheetName val="Rain fall"/>
      <sheetName val="EAB SC"/>
      <sheetName val="EWE-SC "/>
      <sheetName val="D-TAB"/>
      <sheetName val="P I R"/>
      <sheetName val="P.S"/>
      <sheetName val="Drawings"/>
      <sheetName val="Abst (2)"/>
      <sheetName val="S.C"/>
      <sheetName val="Weir Est-sl"/>
      <sheetName val="D-Slu"/>
      <sheetName val="Est-Slu"/>
      <sheetName val="Sheet1"/>
      <sheetName val="RGM (2)"/>
      <sheetName val="Tech Dts"/>
      <sheetName val="Certi"/>
      <sheetName val="CONST"/>
      <sheetName val="DT Bund "/>
      <sheetName val="C"/>
      <sheetName val="COM &amp; L.C"/>
      <sheetName val="USER1"/>
      <sheetName val="Data"/>
      <sheetName val="SSR 04-05"/>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ow r="75">
          <cell r="D75">
            <v>0.1</v>
          </cell>
          <cell r="E75">
            <v>4.5999999999999996</v>
          </cell>
          <cell r="F75">
            <v>1.38</v>
          </cell>
          <cell r="I75">
            <v>1.02</v>
          </cell>
          <cell r="M75">
            <v>0.5</v>
          </cell>
          <cell r="Q75">
            <v>0.1</v>
          </cell>
        </row>
        <row r="76">
          <cell r="D76">
            <v>0.2</v>
          </cell>
          <cell r="E76">
            <v>5</v>
          </cell>
          <cell r="F76">
            <v>1.5</v>
          </cell>
          <cell r="I76">
            <v>1.5</v>
          </cell>
          <cell r="M76">
            <v>0.5</v>
          </cell>
          <cell r="Q76">
            <v>0.2</v>
          </cell>
        </row>
        <row r="77">
          <cell r="D77">
            <v>0.3</v>
          </cell>
          <cell r="E77">
            <v>5.4</v>
          </cell>
          <cell r="F77">
            <v>1.62</v>
          </cell>
          <cell r="I77">
            <v>2.02</v>
          </cell>
          <cell r="M77">
            <v>0.5</v>
          </cell>
          <cell r="Q77">
            <v>0.3</v>
          </cell>
        </row>
        <row r="78">
          <cell r="D78">
            <v>0.4</v>
          </cell>
          <cell r="E78">
            <v>5.8</v>
          </cell>
          <cell r="F78">
            <v>1.74</v>
          </cell>
          <cell r="I78">
            <v>2.58</v>
          </cell>
          <cell r="M78">
            <v>0.5</v>
          </cell>
          <cell r="Q78">
            <v>0.4</v>
          </cell>
        </row>
        <row r="79">
          <cell r="D79">
            <v>0.5</v>
          </cell>
          <cell r="E79">
            <v>6.2</v>
          </cell>
          <cell r="F79">
            <v>1.86</v>
          </cell>
          <cell r="I79">
            <v>3.18</v>
          </cell>
          <cell r="M79">
            <v>0.5</v>
          </cell>
          <cell r="Q79">
            <v>0.5</v>
          </cell>
        </row>
        <row r="80">
          <cell r="D80">
            <v>0.55000000000000004</v>
          </cell>
        </row>
        <row r="81">
          <cell r="D81">
            <v>0.6</v>
          </cell>
          <cell r="E81">
            <v>6.6</v>
          </cell>
          <cell r="F81">
            <v>1.98</v>
          </cell>
          <cell r="I81">
            <v>3.82</v>
          </cell>
          <cell r="M81">
            <v>0.5</v>
          </cell>
          <cell r="Q81">
            <v>0.6</v>
          </cell>
        </row>
        <row r="82">
          <cell r="D82">
            <v>0.7</v>
          </cell>
          <cell r="E82">
            <v>7</v>
          </cell>
          <cell r="F82">
            <v>2.1</v>
          </cell>
          <cell r="I82">
            <v>4.5</v>
          </cell>
          <cell r="M82">
            <v>0.5</v>
          </cell>
          <cell r="Q82">
            <v>0.7</v>
          </cell>
        </row>
        <row r="83">
          <cell r="D83">
            <v>0.8</v>
          </cell>
          <cell r="E83">
            <v>7.4</v>
          </cell>
          <cell r="F83">
            <v>2.2200000000000002</v>
          </cell>
          <cell r="I83">
            <v>5.22</v>
          </cell>
          <cell r="M83">
            <v>0.5</v>
          </cell>
          <cell r="Q83">
            <v>0.8</v>
          </cell>
        </row>
        <row r="84">
          <cell r="D84">
            <v>0.9</v>
          </cell>
          <cell r="E84">
            <v>7.8</v>
          </cell>
          <cell r="F84">
            <v>2.34</v>
          </cell>
          <cell r="I84">
            <v>5.98</v>
          </cell>
          <cell r="M84">
            <v>0.5</v>
          </cell>
          <cell r="Q84">
            <v>0.9</v>
          </cell>
        </row>
        <row r="85">
          <cell r="D85">
            <v>1</v>
          </cell>
          <cell r="E85">
            <v>8.1999999999999993</v>
          </cell>
          <cell r="F85">
            <v>2.46</v>
          </cell>
          <cell r="I85">
            <v>6.78</v>
          </cell>
          <cell r="M85">
            <v>0.5</v>
          </cell>
          <cell r="Q85">
            <v>1</v>
          </cell>
        </row>
        <row r="86">
          <cell r="D86">
            <v>1.05</v>
          </cell>
        </row>
        <row r="87">
          <cell r="D87">
            <v>1.1000000000000001</v>
          </cell>
          <cell r="E87">
            <v>8.6</v>
          </cell>
          <cell r="F87">
            <v>2.58</v>
          </cell>
          <cell r="I87">
            <v>7.62</v>
          </cell>
          <cell r="M87">
            <v>0.5</v>
          </cell>
          <cell r="Q87">
            <v>1.1000000000000001</v>
          </cell>
        </row>
        <row r="88">
          <cell r="D88">
            <v>1.2</v>
          </cell>
          <cell r="E88">
            <v>9</v>
          </cell>
          <cell r="F88">
            <v>2.7</v>
          </cell>
          <cell r="I88">
            <v>8.5</v>
          </cell>
          <cell r="M88">
            <v>0.5</v>
          </cell>
          <cell r="Q88">
            <v>1.2</v>
          </cell>
        </row>
        <row r="89">
          <cell r="D89">
            <v>1.3</v>
          </cell>
          <cell r="E89">
            <v>9.4</v>
          </cell>
          <cell r="F89">
            <v>2.82</v>
          </cell>
          <cell r="I89">
            <v>9.42</v>
          </cell>
          <cell r="M89">
            <v>0.5</v>
          </cell>
          <cell r="Q89">
            <v>1.3</v>
          </cell>
        </row>
        <row r="90">
          <cell r="D90">
            <v>1.4</v>
          </cell>
          <cell r="E90">
            <v>9.8000000000000007</v>
          </cell>
          <cell r="F90">
            <v>2.94</v>
          </cell>
          <cell r="G90">
            <v>1.98</v>
          </cell>
          <cell r="I90">
            <v>10.38</v>
          </cell>
          <cell r="M90">
            <v>0.5</v>
          </cell>
          <cell r="Q90">
            <v>1.4</v>
          </cell>
        </row>
        <row r="91">
          <cell r="D91">
            <v>1.5</v>
          </cell>
          <cell r="E91">
            <v>10.199999999999999</v>
          </cell>
          <cell r="F91">
            <v>3.48</v>
          </cell>
          <cell r="G91">
            <v>1.98</v>
          </cell>
          <cell r="I91">
            <v>9.09</v>
          </cell>
          <cell r="J91">
            <v>1.57</v>
          </cell>
          <cell r="K91">
            <v>1.1100000000000001</v>
          </cell>
          <cell r="M91">
            <v>0.47</v>
          </cell>
          <cell r="Q91">
            <v>1.5</v>
          </cell>
        </row>
        <row r="92">
          <cell r="D92">
            <v>1.55</v>
          </cell>
        </row>
        <row r="93">
          <cell r="D93">
            <v>1.6</v>
          </cell>
          <cell r="E93">
            <v>10.6</v>
          </cell>
          <cell r="F93">
            <v>3.6</v>
          </cell>
          <cell r="G93">
            <v>1.98</v>
          </cell>
          <cell r="I93">
            <v>10</v>
          </cell>
          <cell r="J93">
            <v>1.64</v>
          </cell>
          <cell r="K93">
            <v>1.17</v>
          </cell>
          <cell r="M93">
            <v>0.47</v>
          </cell>
          <cell r="Q93">
            <v>1.6</v>
          </cell>
        </row>
        <row r="94">
          <cell r="D94">
            <v>1.7</v>
          </cell>
          <cell r="E94">
            <v>11</v>
          </cell>
          <cell r="F94">
            <v>3.72</v>
          </cell>
          <cell r="G94">
            <v>1.98</v>
          </cell>
          <cell r="I94">
            <v>10.95</v>
          </cell>
          <cell r="J94">
            <v>1.7</v>
          </cell>
          <cell r="K94">
            <v>1.24</v>
          </cell>
          <cell r="M94">
            <v>0.47</v>
          </cell>
          <cell r="Q94">
            <v>1.7</v>
          </cell>
        </row>
        <row r="95">
          <cell r="D95">
            <v>1.8</v>
          </cell>
          <cell r="E95">
            <v>11.4</v>
          </cell>
          <cell r="F95">
            <v>3.84</v>
          </cell>
          <cell r="G95">
            <v>1.98</v>
          </cell>
          <cell r="I95">
            <v>11.93</v>
          </cell>
          <cell r="J95">
            <v>1.77</v>
          </cell>
          <cell r="K95">
            <v>1.31</v>
          </cell>
          <cell r="M95">
            <v>0.47</v>
          </cell>
          <cell r="Q95">
            <v>1.8</v>
          </cell>
        </row>
        <row r="96">
          <cell r="D96">
            <v>1.9</v>
          </cell>
          <cell r="E96">
            <v>11.8</v>
          </cell>
          <cell r="F96">
            <v>3.96</v>
          </cell>
          <cell r="G96">
            <v>1.98</v>
          </cell>
          <cell r="I96">
            <v>12.95</v>
          </cell>
          <cell r="J96">
            <v>1.84</v>
          </cell>
          <cell r="K96">
            <v>1.38</v>
          </cell>
          <cell r="M96">
            <v>0.47</v>
          </cell>
          <cell r="Q96">
            <v>1.9</v>
          </cell>
        </row>
        <row r="97">
          <cell r="D97">
            <v>2</v>
          </cell>
          <cell r="E97">
            <v>12.2</v>
          </cell>
          <cell r="F97">
            <v>4.08</v>
          </cell>
          <cell r="G97">
            <v>1.98</v>
          </cell>
          <cell r="I97">
            <v>14.03</v>
          </cell>
          <cell r="J97">
            <v>1.9</v>
          </cell>
          <cell r="K97">
            <v>1.44</v>
          </cell>
          <cell r="M97">
            <v>0.47</v>
          </cell>
          <cell r="Q97">
            <v>2</v>
          </cell>
        </row>
        <row r="98">
          <cell r="D98">
            <v>2.1</v>
          </cell>
          <cell r="E98">
            <v>12.6</v>
          </cell>
          <cell r="F98">
            <v>4.2</v>
          </cell>
          <cell r="G98">
            <v>1.98</v>
          </cell>
          <cell r="I98">
            <v>15.13</v>
          </cell>
          <cell r="J98">
            <v>1.97</v>
          </cell>
          <cell r="K98">
            <v>1.51</v>
          </cell>
          <cell r="M98">
            <v>0.47</v>
          </cell>
          <cell r="Q98">
            <v>2.1</v>
          </cell>
        </row>
        <row r="99">
          <cell r="D99">
            <v>2.2000000000000002</v>
          </cell>
          <cell r="E99">
            <v>13</v>
          </cell>
          <cell r="F99">
            <v>4.32</v>
          </cell>
          <cell r="G99">
            <v>1.98</v>
          </cell>
          <cell r="I99">
            <v>16.27</v>
          </cell>
          <cell r="J99">
            <v>2.04</v>
          </cell>
          <cell r="K99">
            <v>1.58</v>
          </cell>
          <cell r="M99">
            <v>0.47</v>
          </cell>
          <cell r="Q99">
            <v>2.2000000000000002</v>
          </cell>
        </row>
        <row r="100">
          <cell r="D100">
            <v>2.2999999999999998</v>
          </cell>
          <cell r="E100">
            <v>13.4</v>
          </cell>
          <cell r="F100">
            <v>4.4400000000000004</v>
          </cell>
          <cell r="G100">
            <v>1.98</v>
          </cell>
          <cell r="I100">
            <v>17.47</v>
          </cell>
          <cell r="J100">
            <v>2.1</v>
          </cell>
          <cell r="K100">
            <v>1.64</v>
          </cell>
          <cell r="M100">
            <v>0.47</v>
          </cell>
          <cell r="Q100">
            <v>2.2999999999999998</v>
          </cell>
        </row>
        <row r="101">
          <cell r="D101">
            <v>2.4</v>
          </cell>
          <cell r="E101">
            <v>13.8</v>
          </cell>
          <cell r="F101">
            <v>4.5599999999999996</v>
          </cell>
          <cell r="G101">
            <v>1.98</v>
          </cell>
          <cell r="I101">
            <v>18.690000000000001</v>
          </cell>
          <cell r="J101">
            <v>2.17</v>
          </cell>
          <cell r="K101">
            <v>1.71</v>
          </cell>
          <cell r="M101">
            <v>0.47</v>
          </cell>
          <cell r="Q101">
            <v>2.4</v>
          </cell>
        </row>
        <row r="102">
          <cell r="D102">
            <v>2.5</v>
          </cell>
          <cell r="E102">
            <v>14.2</v>
          </cell>
          <cell r="F102">
            <v>4.68</v>
          </cell>
          <cell r="G102">
            <v>1.98</v>
          </cell>
          <cell r="I102">
            <v>19.95</v>
          </cell>
          <cell r="J102">
            <v>2.2400000000000002</v>
          </cell>
          <cell r="K102">
            <v>1.78</v>
          </cell>
          <cell r="M102">
            <v>0.47</v>
          </cell>
          <cell r="Q102">
            <v>2.5</v>
          </cell>
        </row>
        <row r="103">
          <cell r="D103">
            <v>2.5499999999999998</v>
          </cell>
        </row>
        <row r="104">
          <cell r="D104">
            <v>2.6</v>
          </cell>
          <cell r="E104">
            <v>14.6</v>
          </cell>
          <cell r="F104">
            <v>4.8</v>
          </cell>
          <cell r="G104">
            <v>1.98</v>
          </cell>
          <cell r="I104">
            <v>21.25</v>
          </cell>
          <cell r="J104">
            <v>2.31</v>
          </cell>
          <cell r="K104">
            <v>1.85</v>
          </cell>
          <cell r="M104">
            <v>0.47</v>
          </cell>
          <cell r="Q104">
            <v>2.6</v>
          </cell>
        </row>
        <row r="105">
          <cell r="D105">
            <v>2.7</v>
          </cell>
          <cell r="E105">
            <v>15</v>
          </cell>
          <cell r="F105">
            <v>4.92</v>
          </cell>
          <cell r="G105">
            <v>1.98</v>
          </cell>
          <cell r="I105">
            <v>22.61</v>
          </cell>
          <cell r="J105">
            <v>2.37</v>
          </cell>
          <cell r="K105">
            <v>1.91</v>
          </cell>
          <cell r="M105">
            <v>0.47</v>
          </cell>
          <cell r="Q105">
            <v>2.7</v>
          </cell>
        </row>
        <row r="106">
          <cell r="D106">
            <v>2.8</v>
          </cell>
          <cell r="E106">
            <v>15.4</v>
          </cell>
          <cell r="F106">
            <v>5.04</v>
          </cell>
          <cell r="G106">
            <v>2.16</v>
          </cell>
          <cell r="I106">
            <v>24.1</v>
          </cell>
          <cell r="J106">
            <v>2.44</v>
          </cell>
          <cell r="K106">
            <v>1.98</v>
          </cell>
          <cell r="M106">
            <v>0.47</v>
          </cell>
          <cell r="Q106">
            <v>2.8</v>
          </cell>
        </row>
        <row r="107">
          <cell r="D107">
            <v>2.9</v>
          </cell>
          <cell r="E107">
            <v>15.8</v>
          </cell>
          <cell r="F107">
            <v>5.16</v>
          </cell>
          <cell r="G107">
            <v>2.35</v>
          </cell>
          <cell r="I107">
            <v>25.41</v>
          </cell>
          <cell r="J107">
            <v>2.5099999999999998</v>
          </cell>
          <cell r="K107">
            <v>2.0499999999999998</v>
          </cell>
          <cell r="M107">
            <v>0.47</v>
          </cell>
          <cell r="Q107">
            <v>2.9</v>
          </cell>
        </row>
        <row r="108">
          <cell r="D108">
            <v>3</v>
          </cell>
          <cell r="E108">
            <v>16.2</v>
          </cell>
          <cell r="F108">
            <v>5.28</v>
          </cell>
          <cell r="G108">
            <v>2.5299999999999998</v>
          </cell>
          <cell r="I108">
            <v>26.89</v>
          </cell>
          <cell r="J108">
            <v>2.57</v>
          </cell>
          <cell r="K108">
            <v>2.11</v>
          </cell>
          <cell r="M108">
            <v>0.47</v>
          </cell>
          <cell r="Q108">
            <v>3</v>
          </cell>
        </row>
        <row r="109">
          <cell r="D109">
            <v>3.05</v>
          </cell>
        </row>
        <row r="110">
          <cell r="D110">
            <v>3.1</v>
          </cell>
          <cell r="E110">
            <v>16.600000000000001</v>
          </cell>
          <cell r="F110">
            <v>5.4</v>
          </cell>
          <cell r="G110">
            <v>2.72</v>
          </cell>
          <cell r="I110">
            <v>28.39</v>
          </cell>
          <cell r="J110">
            <v>2.64</v>
          </cell>
          <cell r="K110">
            <v>2.1800000000000002</v>
          </cell>
          <cell r="M110">
            <v>0.47</v>
          </cell>
          <cell r="Q110">
            <v>3.1</v>
          </cell>
        </row>
        <row r="111">
          <cell r="D111">
            <v>3.2</v>
          </cell>
          <cell r="E111">
            <v>17</v>
          </cell>
          <cell r="F111">
            <v>5.52</v>
          </cell>
          <cell r="G111">
            <v>2.91</v>
          </cell>
          <cell r="I111">
            <v>29.93</v>
          </cell>
          <cell r="J111">
            <v>2.71</v>
          </cell>
          <cell r="K111">
            <v>2.25</v>
          </cell>
          <cell r="M111">
            <v>0.47</v>
          </cell>
          <cell r="Q111">
            <v>3.2</v>
          </cell>
        </row>
        <row r="112">
          <cell r="D112">
            <v>3.3</v>
          </cell>
          <cell r="E112">
            <v>17.399999999999999</v>
          </cell>
          <cell r="F112">
            <v>5.64</v>
          </cell>
          <cell r="G112">
            <v>3.11</v>
          </cell>
          <cell r="I112">
            <v>31.53</v>
          </cell>
          <cell r="J112">
            <v>2.77</v>
          </cell>
          <cell r="K112">
            <v>2.31</v>
          </cell>
          <cell r="M112">
            <v>0.47</v>
          </cell>
          <cell r="Q112">
            <v>3.3</v>
          </cell>
        </row>
        <row r="113">
          <cell r="D113">
            <v>3.4</v>
          </cell>
          <cell r="E113">
            <v>17.8</v>
          </cell>
          <cell r="F113">
            <v>5.76</v>
          </cell>
          <cell r="G113">
            <v>3.3</v>
          </cell>
          <cell r="I113">
            <v>33.15</v>
          </cell>
          <cell r="J113">
            <v>2.84</v>
          </cell>
          <cell r="K113">
            <v>2.38</v>
          </cell>
          <cell r="M113">
            <v>0.47</v>
          </cell>
          <cell r="Q113">
            <v>3.4</v>
          </cell>
        </row>
        <row r="114">
          <cell r="D114">
            <v>3.5</v>
          </cell>
          <cell r="E114">
            <v>18</v>
          </cell>
          <cell r="F114">
            <v>7.82</v>
          </cell>
          <cell r="G114">
            <v>3.5</v>
          </cell>
          <cell r="I114">
            <v>29.63</v>
          </cell>
          <cell r="J114">
            <v>2.91</v>
          </cell>
          <cell r="K114">
            <v>2.4500000000000002</v>
          </cell>
          <cell r="L114">
            <v>2.64</v>
          </cell>
          <cell r="M114">
            <v>0.47</v>
          </cell>
          <cell r="N114">
            <v>2.64</v>
          </cell>
          <cell r="O114">
            <v>0.38</v>
          </cell>
          <cell r="P114">
            <v>1.01</v>
          </cell>
          <cell r="Q114">
            <v>3.05</v>
          </cell>
        </row>
        <row r="115">
          <cell r="D115">
            <v>3.55</v>
          </cell>
        </row>
        <row r="116">
          <cell r="D116">
            <v>3.6</v>
          </cell>
          <cell r="E116">
            <v>18.399999999999999</v>
          </cell>
          <cell r="F116">
            <v>7.94</v>
          </cell>
          <cell r="G116">
            <v>3.7</v>
          </cell>
          <cell r="I116">
            <v>31.17</v>
          </cell>
          <cell r="J116">
            <v>2.98</v>
          </cell>
          <cell r="K116">
            <v>2.52</v>
          </cell>
          <cell r="L116">
            <v>2.64</v>
          </cell>
          <cell r="M116">
            <v>0.47</v>
          </cell>
          <cell r="N116">
            <v>2.8</v>
          </cell>
          <cell r="O116">
            <v>0.38</v>
          </cell>
          <cell r="P116">
            <v>1.01</v>
          </cell>
          <cell r="Q116">
            <v>3.15</v>
          </cell>
        </row>
        <row r="117">
          <cell r="D117">
            <v>3.7</v>
          </cell>
          <cell r="E117">
            <v>18.8</v>
          </cell>
          <cell r="F117">
            <v>8.06</v>
          </cell>
          <cell r="G117">
            <v>3.91</v>
          </cell>
          <cell r="I117">
            <v>32.78</v>
          </cell>
          <cell r="J117">
            <v>3.04</v>
          </cell>
          <cell r="K117">
            <v>2.58</v>
          </cell>
          <cell r="L117">
            <v>2.64</v>
          </cell>
          <cell r="M117">
            <v>0.47</v>
          </cell>
          <cell r="N117">
            <v>2.95</v>
          </cell>
          <cell r="O117">
            <v>0.38</v>
          </cell>
          <cell r="P117">
            <v>1.01</v>
          </cell>
          <cell r="Q117">
            <v>3.25</v>
          </cell>
        </row>
        <row r="118">
          <cell r="D118">
            <v>3.8</v>
          </cell>
          <cell r="E118">
            <v>19.2</v>
          </cell>
          <cell r="F118">
            <v>8.18</v>
          </cell>
          <cell r="G118">
            <v>4.1100000000000003</v>
          </cell>
          <cell r="I118">
            <v>34.4</v>
          </cell>
          <cell r="J118">
            <v>3.11</v>
          </cell>
          <cell r="K118">
            <v>2.65</v>
          </cell>
          <cell r="L118">
            <v>2.64</v>
          </cell>
          <cell r="M118">
            <v>0.47</v>
          </cell>
          <cell r="N118">
            <v>3.11</v>
          </cell>
          <cell r="O118">
            <v>0.38</v>
          </cell>
          <cell r="P118">
            <v>1.01</v>
          </cell>
          <cell r="Q118">
            <v>3.35</v>
          </cell>
        </row>
        <row r="119">
          <cell r="D119">
            <v>3.9</v>
          </cell>
          <cell r="E119">
            <v>19.600000000000001</v>
          </cell>
          <cell r="F119">
            <v>8.3000000000000007</v>
          </cell>
          <cell r="G119">
            <v>4.32</v>
          </cell>
          <cell r="I119">
            <v>36.06</v>
          </cell>
          <cell r="J119">
            <v>3.18</v>
          </cell>
          <cell r="K119">
            <v>2.72</v>
          </cell>
          <cell r="L119">
            <v>2.64</v>
          </cell>
          <cell r="M119">
            <v>0.47</v>
          </cell>
          <cell r="N119">
            <v>3.27</v>
          </cell>
          <cell r="O119">
            <v>0.38</v>
          </cell>
          <cell r="P119">
            <v>1.01</v>
          </cell>
          <cell r="Q119">
            <v>3.45</v>
          </cell>
        </row>
        <row r="120">
          <cell r="D120">
            <v>4</v>
          </cell>
          <cell r="E120">
            <v>20</v>
          </cell>
          <cell r="F120">
            <v>8.42</v>
          </cell>
          <cell r="G120">
            <v>4.53</v>
          </cell>
          <cell r="I120">
            <v>37.79</v>
          </cell>
          <cell r="J120">
            <v>3.24</v>
          </cell>
          <cell r="K120">
            <v>2.78</v>
          </cell>
          <cell r="L120">
            <v>2.64</v>
          </cell>
          <cell r="M120">
            <v>0.47</v>
          </cell>
          <cell r="N120">
            <v>3.42</v>
          </cell>
          <cell r="O120">
            <v>0.38</v>
          </cell>
          <cell r="P120">
            <v>1.01</v>
          </cell>
          <cell r="Q120">
            <v>3.55</v>
          </cell>
        </row>
        <row r="121">
          <cell r="D121">
            <v>4.05</v>
          </cell>
        </row>
        <row r="122">
          <cell r="D122">
            <v>4.0999999999999996</v>
          </cell>
          <cell r="E122">
            <v>20.399999999999999</v>
          </cell>
          <cell r="F122">
            <v>8.5399999999999991</v>
          </cell>
          <cell r="G122">
            <v>4.75</v>
          </cell>
          <cell r="I122">
            <v>39.53</v>
          </cell>
          <cell r="J122">
            <v>3.31</v>
          </cell>
          <cell r="K122">
            <v>2.85</v>
          </cell>
          <cell r="L122">
            <v>2.64</v>
          </cell>
          <cell r="M122">
            <v>0.47</v>
          </cell>
          <cell r="N122">
            <v>3.58</v>
          </cell>
          <cell r="O122">
            <v>0.38</v>
          </cell>
          <cell r="P122">
            <v>1.01</v>
          </cell>
          <cell r="Q122">
            <v>3.65</v>
          </cell>
        </row>
        <row r="123">
          <cell r="D123">
            <v>4.2</v>
          </cell>
          <cell r="E123">
            <v>20.8</v>
          </cell>
          <cell r="F123">
            <v>8.66</v>
          </cell>
          <cell r="G123">
            <v>4.96</v>
          </cell>
          <cell r="I123">
            <v>41.31</v>
          </cell>
          <cell r="J123">
            <v>3.38</v>
          </cell>
          <cell r="K123">
            <v>2.92</v>
          </cell>
          <cell r="L123">
            <v>2.64</v>
          </cell>
          <cell r="M123">
            <v>0.47</v>
          </cell>
          <cell r="N123">
            <v>3.74</v>
          </cell>
          <cell r="O123">
            <v>0.38</v>
          </cell>
          <cell r="P123">
            <v>1.01</v>
          </cell>
          <cell r="Q123">
            <v>3.75</v>
          </cell>
        </row>
        <row r="124">
          <cell r="D124">
            <v>4.3</v>
          </cell>
          <cell r="E124">
            <v>21.2</v>
          </cell>
          <cell r="F124">
            <v>8.7799999999999994</v>
          </cell>
          <cell r="G124">
            <v>5.18</v>
          </cell>
          <cell r="I124">
            <v>43.13</v>
          </cell>
          <cell r="J124">
            <v>3.45</v>
          </cell>
          <cell r="K124">
            <v>2.99</v>
          </cell>
          <cell r="L124">
            <v>2.64</v>
          </cell>
          <cell r="M124">
            <v>0.47</v>
          </cell>
          <cell r="N124">
            <v>3.9</v>
          </cell>
          <cell r="O124">
            <v>0.38</v>
          </cell>
          <cell r="P124">
            <v>1.01</v>
          </cell>
          <cell r="Q124">
            <v>3.85</v>
          </cell>
        </row>
        <row r="125">
          <cell r="D125">
            <v>4.4000000000000004</v>
          </cell>
          <cell r="E125">
            <v>21.6</v>
          </cell>
          <cell r="F125">
            <v>8.9</v>
          </cell>
          <cell r="G125">
            <v>5.4</v>
          </cell>
          <cell r="I125">
            <v>45.02</v>
          </cell>
          <cell r="J125">
            <v>3.51</v>
          </cell>
          <cell r="K125">
            <v>3.05</v>
          </cell>
          <cell r="L125">
            <v>2.64</v>
          </cell>
          <cell r="M125">
            <v>0.47</v>
          </cell>
          <cell r="N125">
            <v>4.05</v>
          </cell>
          <cell r="O125">
            <v>0.38</v>
          </cell>
          <cell r="P125">
            <v>1.01</v>
          </cell>
          <cell r="Q125">
            <v>3.95</v>
          </cell>
        </row>
        <row r="126">
          <cell r="D126">
            <v>4.5</v>
          </cell>
          <cell r="E126">
            <v>22</v>
          </cell>
          <cell r="F126">
            <v>9.02</v>
          </cell>
          <cell r="G126">
            <v>5.63</v>
          </cell>
          <cell r="I126">
            <v>46.92</v>
          </cell>
          <cell r="J126">
            <v>3.58</v>
          </cell>
          <cell r="K126">
            <v>3.12</v>
          </cell>
          <cell r="L126">
            <v>2.64</v>
          </cell>
          <cell r="M126">
            <v>0.47</v>
          </cell>
          <cell r="N126">
            <v>4.21</v>
          </cell>
          <cell r="O126">
            <v>0.38</v>
          </cell>
          <cell r="P126">
            <v>1.01</v>
          </cell>
          <cell r="Q126">
            <v>4.05</v>
          </cell>
        </row>
        <row r="127">
          <cell r="D127">
            <v>4.55</v>
          </cell>
        </row>
        <row r="128">
          <cell r="D128">
            <v>4.5999999999999996</v>
          </cell>
          <cell r="E128">
            <v>22.4</v>
          </cell>
          <cell r="F128">
            <v>9.14</v>
          </cell>
          <cell r="G128">
            <v>5.85</v>
          </cell>
          <cell r="I128">
            <v>48.86</v>
          </cell>
          <cell r="J128">
            <v>3.65</v>
          </cell>
          <cell r="K128">
            <v>3.19</v>
          </cell>
          <cell r="L128">
            <v>2.64</v>
          </cell>
          <cell r="M128">
            <v>0.47</v>
          </cell>
          <cell r="N128">
            <v>4.37</v>
          </cell>
          <cell r="O128">
            <v>0.38</v>
          </cell>
          <cell r="P128">
            <v>1.01</v>
          </cell>
          <cell r="Q128">
            <v>4.1500000000000004</v>
          </cell>
        </row>
        <row r="129">
          <cell r="D129">
            <v>4.7</v>
          </cell>
          <cell r="E129">
            <v>22.8</v>
          </cell>
          <cell r="F129">
            <v>9.26</v>
          </cell>
          <cell r="G129">
            <v>6.08</v>
          </cell>
          <cell r="I129">
            <v>50.86</v>
          </cell>
          <cell r="J129">
            <v>3.71</v>
          </cell>
          <cell r="K129">
            <v>3.25</v>
          </cell>
          <cell r="L129">
            <v>2.64</v>
          </cell>
          <cell r="M129">
            <v>0.47</v>
          </cell>
          <cell r="N129">
            <v>4.53</v>
          </cell>
          <cell r="O129">
            <v>0.38</v>
          </cell>
          <cell r="P129">
            <v>1.01</v>
          </cell>
          <cell r="Q129">
            <v>4.25</v>
          </cell>
        </row>
        <row r="130">
          <cell r="D130">
            <v>4.8</v>
          </cell>
          <cell r="E130">
            <v>23.2</v>
          </cell>
          <cell r="F130">
            <v>9.3800000000000008</v>
          </cell>
          <cell r="G130">
            <v>6.31</v>
          </cell>
          <cell r="I130">
            <v>52.89</v>
          </cell>
          <cell r="J130">
            <v>3.78</v>
          </cell>
          <cell r="K130">
            <v>3.32</v>
          </cell>
          <cell r="L130">
            <v>2.64</v>
          </cell>
          <cell r="M130">
            <v>0.47</v>
          </cell>
          <cell r="N130">
            <v>4.68</v>
          </cell>
          <cell r="O130">
            <v>0.38</v>
          </cell>
          <cell r="P130">
            <v>1.01</v>
          </cell>
          <cell r="Q130">
            <v>4.3499999999999996</v>
          </cell>
        </row>
        <row r="131">
          <cell r="D131">
            <v>4.9000000000000004</v>
          </cell>
          <cell r="E131">
            <v>23.6</v>
          </cell>
          <cell r="F131">
            <v>9.5</v>
          </cell>
          <cell r="G131">
            <v>6.55</v>
          </cell>
          <cell r="I131">
            <v>54.95</v>
          </cell>
          <cell r="J131">
            <v>3.85</v>
          </cell>
          <cell r="K131">
            <v>3.39</v>
          </cell>
          <cell r="L131">
            <v>2.64</v>
          </cell>
          <cell r="M131">
            <v>0.47</v>
          </cell>
          <cell r="N131">
            <v>4.84</v>
          </cell>
          <cell r="O131">
            <v>0.38</v>
          </cell>
          <cell r="P131">
            <v>1.01</v>
          </cell>
          <cell r="Q131">
            <v>4.45</v>
          </cell>
        </row>
        <row r="132">
          <cell r="D132">
            <v>5</v>
          </cell>
          <cell r="E132">
            <v>24</v>
          </cell>
          <cell r="F132">
            <v>9.6199999999999992</v>
          </cell>
          <cell r="G132">
            <v>6.78</v>
          </cell>
          <cell r="I132">
            <v>57.05</v>
          </cell>
          <cell r="J132">
            <v>3.92</v>
          </cell>
          <cell r="K132">
            <v>3.46</v>
          </cell>
          <cell r="L132">
            <v>2.64</v>
          </cell>
          <cell r="M132">
            <v>0.47</v>
          </cell>
          <cell r="N132">
            <v>5</v>
          </cell>
          <cell r="O132">
            <v>0.38</v>
          </cell>
          <cell r="P132">
            <v>1.01</v>
          </cell>
          <cell r="Q132">
            <v>4.55</v>
          </cell>
        </row>
        <row r="133">
          <cell r="D133">
            <v>5.55</v>
          </cell>
        </row>
        <row r="134">
          <cell r="D134">
            <v>5.0999999999999996</v>
          </cell>
          <cell r="E134">
            <v>24.4</v>
          </cell>
          <cell r="F134">
            <v>9.74</v>
          </cell>
          <cell r="G134">
            <v>7.02</v>
          </cell>
          <cell r="I134">
            <v>59.21</v>
          </cell>
          <cell r="J134">
            <v>3.98</v>
          </cell>
          <cell r="K134">
            <v>3.52</v>
          </cell>
          <cell r="L134">
            <v>2.64</v>
          </cell>
          <cell r="M134">
            <v>0.47</v>
          </cell>
          <cell r="N134">
            <v>5.16</v>
          </cell>
          <cell r="O134">
            <v>0.38</v>
          </cell>
          <cell r="P134">
            <v>1.01</v>
          </cell>
          <cell r="Q134">
            <v>4.6500000000000004</v>
          </cell>
        </row>
        <row r="135">
          <cell r="D135">
            <v>5.2</v>
          </cell>
          <cell r="E135">
            <v>24.8</v>
          </cell>
          <cell r="F135">
            <v>9.86</v>
          </cell>
          <cell r="G135">
            <v>7.26</v>
          </cell>
          <cell r="I135">
            <v>61.4</v>
          </cell>
          <cell r="J135">
            <v>4.05</v>
          </cell>
          <cell r="K135">
            <v>3.59</v>
          </cell>
          <cell r="L135">
            <v>2.64</v>
          </cell>
          <cell r="M135">
            <v>0.47</v>
          </cell>
          <cell r="N135">
            <v>5.31</v>
          </cell>
          <cell r="O135">
            <v>0.38</v>
          </cell>
          <cell r="P135">
            <v>1.01</v>
          </cell>
          <cell r="Q135">
            <v>4.75</v>
          </cell>
        </row>
        <row r="136">
          <cell r="D136">
            <v>5.3</v>
          </cell>
          <cell r="E136">
            <v>25.2</v>
          </cell>
          <cell r="F136">
            <v>9.98</v>
          </cell>
          <cell r="G136">
            <v>7.51</v>
          </cell>
          <cell r="I136">
            <v>63.62</v>
          </cell>
          <cell r="J136">
            <v>4.12</v>
          </cell>
          <cell r="K136">
            <v>3.66</v>
          </cell>
          <cell r="L136">
            <v>2.64</v>
          </cell>
          <cell r="M136">
            <v>0.47</v>
          </cell>
          <cell r="N136">
            <v>5.47</v>
          </cell>
          <cell r="O136">
            <v>0.38</v>
          </cell>
          <cell r="P136">
            <v>1.01</v>
          </cell>
          <cell r="Q136">
            <v>4.8499999999999996</v>
          </cell>
        </row>
        <row r="137">
          <cell r="D137">
            <v>5.4</v>
          </cell>
          <cell r="E137">
            <v>25.6</v>
          </cell>
          <cell r="F137">
            <v>10.1</v>
          </cell>
          <cell r="G137">
            <v>7.75</v>
          </cell>
          <cell r="I137">
            <v>65.89</v>
          </cell>
          <cell r="J137">
            <v>4.1900000000000004</v>
          </cell>
          <cell r="K137">
            <v>3.72</v>
          </cell>
          <cell r="L137">
            <v>2.64</v>
          </cell>
          <cell r="M137">
            <v>0.47</v>
          </cell>
          <cell r="N137">
            <v>5.63</v>
          </cell>
          <cell r="O137">
            <v>0.38</v>
          </cell>
          <cell r="P137">
            <v>1.01</v>
          </cell>
          <cell r="Q137">
            <v>4.95</v>
          </cell>
        </row>
        <row r="138">
          <cell r="D138">
            <v>5.5</v>
          </cell>
          <cell r="E138">
            <v>26</v>
          </cell>
          <cell r="F138">
            <v>10.220000000000001</v>
          </cell>
          <cell r="G138">
            <v>8</v>
          </cell>
          <cell r="I138">
            <v>68.2</v>
          </cell>
          <cell r="J138">
            <v>4.25</v>
          </cell>
          <cell r="K138">
            <v>3.79</v>
          </cell>
          <cell r="L138">
            <v>2.64</v>
          </cell>
          <cell r="M138">
            <v>0.47</v>
          </cell>
          <cell r="N138">
            <v>5.79</v>
          </cell>
          <cell r="O138">
            <v>0.38</v>
          </cell>
          <cell r="P138">
            <v>1.01</v>
          </cell>
          <cell r="Q138">
            <v>5.05</v>
          </cell>
        </row>
        <row r="139">
          <cell r="D139">
            <v>5.55</v>
          </cell>
        </row>
        <row r="140">
          <cell r="D140">
            <v>5.6</v>
          </cell>
          <cell r="E140">
            <v>26.4</v>
          </cell>
          <cell r="F140">
            <v>10.34</v>
          </cell>
          <cell r="G140">
            <v>8.25</v>
          </cell>
          <cell r="I140">
            <v>70.55</v>
          </cell>
          <cell r="J140">
            <v>4.32</v>
          </cell>
          <cell r="K140">
            <v>3.86</v>
          </cell>
          <cell r="L140">
            <v>2.64</v>
          </cell>
          <cell r="M140">
            <v>0.47</v>
          </cell>
          <cell r="N140">
            <v>5.94</v>
          </cell>
          <cell r="O140">
            <v>0.38</v>
          </cell>
          <cell r="P140">
            <v>1.01</v>
          </cell>
          <cell r="Q140">
            <v>5.15</v>
          </cell>
        </row>
        <row r="141">
          <cell r="D141">
            <v>5.7</v>
          </cell>
          <cell r="E141">
            <v>26.8</v>
          </cell>
          <cell r="F141">
            <v>10.46</v>
          </cell>
          <cell r="G141">
            <v>8.51</v>
          </cell>
          <cell r="I141">
            <v>72.95</v>
          </cell>
          <cell r="J141">
            <v>4.38</v>
          </cell>
          <cell r="K141">
            <v>3.92</v>
          </cell>
          <cell r="L141">
            <v>2.64</v>
          </cell>
          <cell r="M141">
            <v>0.47</v>
          </cell>
          <cell r="N141">
            <v>6.1</v>
          </cell>
          <cell r="O141">
            <v>0.38</v>
          </cell>
          <cell r="P141">
            <v>1.01</v>
          </cell>
          <cell r="Q141">
            <v>5.25</v>
          </cell>
        </row>
        <row r="142">
          <cell r="D142">
            <v>5.8</v>
          </cell>
          <cell r="E142">
            <v>27.2</v>
          </cell>
          <cell r="F142">
            <v>10.58</v>
          </cell>
          <cell r="G142">
            <v>8.76</v>
          </cell>
          <cell r="I142">
            <v>75.37</v>
          </cell>
          <cell r="J142">
            <v>4.45</v>
          </cell>
          <cell r="K142">
            <v>3.99</v>
          </cell>
          <cell r="L142">
            <v>2.64</v>
          </cell>
          <cell r="M142">
            <v>0.47</v>
          </cell>
          <cell r="N142">
            <v>6.26</v>
          </cell>
          <cell r="O142">
            <v>0.38</v>
          </cell>
          <cell r="P142">
            <v>1.01</v>
          </cell>
          <cell r="Q142">
            <v>5.35</v>
          </cell>
        </row>
        <row r="143">
          <cell r="D143">
            <v>5.9</v>
          </cell>
          <cell r="E143">
            <v>27.6</v>
          </cell>
          <cell r="F143">
            <v>10.7</v>
          </cell>
          <cell r="G143">
            <v>9.02</v>
          </cell>
          <cell r="I143">
            <v>77.83</v>
          </cell>
          <cell r="J143">
            <v>4.5199999999999996</v>
          </cell>
          <cell r="K143">
            <v>4.0599999999999996</v>
          </cell>
          <cell r="L143">
            <v>2.64</v>
          </cell>
          <cell r="M143">
            <v>0.47</v>
          </cell>
          <cell r="N143">
            <v>6.42</v>
          </cell>
          <cell r="O143">
            <v>0.38</v>
          </cell>
          <cell r="P143">
            <v>1.01</v>
          </cell>
          <cell r="Q143">
            <v>5.45</v>
          </cell>
        </row>
        <row r="144">
          <cell r="D144">
            <v>6</v>
          </cell>
          <cell r="E144">
            <v>28</v>
          </cell>
          <cell r="F144">
            <v>10.82</v>
          </cell>
          <cell r="G144">
            <v>9.2799999999999994</v>
          </cell>
          <cell r="I144">
            <v>80.34</v>
          </cell>
          <cell r="J144">
            <v>4.59</v>
          </cell>
          <cell r="K144">
            <v>4.13</v>
          </cell>
          <cell r="L144">
            <v>2.64</v>
          </cell>
          <cell r="M144">
            <v>0.47</v>
          </cell>
          <cell r="N144">
            <v>6.57</v>
          </cell>
          <cell r="O144">
            <v>0.38</v>
          </cell>
          <cell r="P144">
            <v>1.01</v>
          </cell>
          <cell r="Q144">
            <v>5.55</v>
          </cell>
        </row>
        <row r="145">
          <cell r="D145">
            <v>6.05</v>
          </cell>
        </row>
        <row r="146">
          <cell r="D146">
            <v>6.1</v>
          </cell>
          <cell r="E146">
            <v>28.4</v>
          </cell>
          <cell r="F146">
            <v>10.94</v>
          </cell>
          <cell r="G146">
            <v>9.5500000000000007</v>
          </cell>
          <cell r="I146">
            <v>82.9</v>
          </cell>
          <cell r="J146">
            <v>4.6500000000000004</v>
          </cell>
          <cell r="K146">
            <v>4.1900000000000004</v>
          </cell>
          <cell r="L146">
            <v>2.64</v>
          </cell>
          <cell r="M146">
            <v>0.47</v>
          </cell>
          <cell r="N146">
            <v>6.73</v>
          </cell>
          <cell r="O146">
            <v>0.38</v>
          </cell>
          <cell r="P146">
            <v>1.01</v>
          </cell>
          <cell r="Q146">
            <v>5.65</v>
          </cell>
        </row>
        <row r="147">
          <cell r="D147">
            <v>6.2</v>
          </cell>
          <cell r="E147">
            <v>28.8</v>
          </cell>
          <cell r="F147">
            <v>11.06</v>
          </cell>
          <cell r="G147">
            <v>9.81</v>
          </cell>
          <cell r="I147">
            <v>85.48</v>
          </cell>
          <cell r="J147">
            <v>4.72</v>
          </cell>
          <cell r="K147">
            <v>4.26</v>
          </cell>
          <cell r="L147">
            <v>2.64</v>
          </cell>
          <cell r="M147">
            <v>0.47</v>
          </cell>
          <cell r="N147">
            <v>6.89</v>
          </cell>
          <cell r="O147">
            <v>0.38</v>
          </cell>
          <cell r="P147">
            <v>1.01</v>
          </cell>
          <cell r="Q147">
            <v>5.75</v>
          </cell>
        </row>
        <row r="148">
          <cell r="D148">
            <v>6.3</v>
          </cell>
          <cell r="E148">
            <v>29.2</v>
          </cell>
          <cell r="F148">
            <v>11.18</v>
          </cell>
          <cell r="G148">
            <v>10.08</v>
          </cell>
          <cell r="I148">
            <v>88.1</v>
          </cell>
          <cell r="J148">
            <v>4.79</v>
          </cell>
          <cell r="K148">
            <v>4.33</v>
          </cell>
          <cell r="L148">
            <v>2.64</v>
          </cell>
          <cell r="M148">
            <v>0.47</v>
          </cell>
          <cell r="N148">
            <v>7.05</v>
          </cell>
          <cell r="O148">
            <v>0.38</v>
          </cell>
          <cell r="P148">
            <v>1.01</v>
          </cell>
          <cell r="Q148">
            <v>5.85</v>
          </cell>
        </row>
        <row r="149">
          <cell r="D149">
            <v>6.4</v>
          </cell>
          <cell r="E149">
            <v>29.6</v>
          </cell>
          <cell r="F149">
            <v>11.3</v>
          </cell>
          <cell r="G149">
            <v>10.35</v>
          </cell>
          <cell r="I149">
            <v>90.79</v>
          </cell>
          <cell r="J149">
            <v>4.8499999999999996</v>
          </cell>
          <cell r="K149">
            <v>4.3899999999999997</v>
          </cell>
          <cell r="L149">
            <v>2.64</v>
          </cell>
          <cell r="M149">
            <v>0.47</v>
          </cell>
          <cell r="N149">
            <v>7.2</v>
          </cell>
          <cell r="O149">
            <v>0.38</v>
          </cell>
          <cell r="P149">
            <v>1.01</v>
          </cell>
          <cell r="Q149">
            <v>5.95</v>
          </cell>
        </row>
        <row r="150">
          <cell r="D150">
            <v>6.5</v>
          </cell>
          <cell r="E150">
            <v>30</v>
          </cell>
          <cell r="F150">
            <v>11.42</v>
          </cell>
          <cell r="G150">
            <v>1.63</v>
          </cell>
          <cell r="I150">
            <v>93.5</v>
          </cell>
          <cell r="J150">
            <v>4.92</v>
          </cell>
          <cell r="K150">
            <v>4.46</v>
          </cell>
          <cell r="L150">
            <v>2.64</v>
          </cell>
          <cell r="M150">
            <v>0.47</v>
          </cell>
          <cell r="N150">
            <v>7.36</v>
          </cell>
          <cell r="O150">
            <v>0.38</v>
          </cell>
          <cell r="P150">
            <v>1.01</v>
          </cell>
          <cell r="Q150">
            <v>6.05</v>
          </cell>
        </row>
        <row r="151">
          <cell r="D151">
            <v>6.55</v>
          </cell>
        </row>
        <row r="152">
          <cell r="D152">
            <v>6.6</v>
          </cell>
          <cell r="E152">
            <v>30.4</v>
          </cell>
          <cell r="F152">
            <v>11.54</v>
          </cell>
          <cell r="G152">
            <v>10.9</v>
          </cell>
          <cell r="I152">
            <v>96.23</v>
          </cell>
          <cell r="J152">
            <v>4.99</v>
          </cell>
          <cell r="K152">
            <v>4.53</v>
          </cell>
          <cell r="L152">
            <v>2.64</v>
          </cell>
          <cell r="M152">
            <v>0.47</v>
          </cell>
          <cell r="N152">
            <v>7.52</v>
          </cell>
          <cell r="O152">
            <v>0.38</v>
          </cell>
          <cell r="P152">
            <v>1.01</v>
          </cell>
          <cell r="Q152">
            <v>6.15</v>
          </cell>
        </row>
        <row r="153">
          <cell r="D153">
            <v>6.7</v>
          </cell>
          <cell r="E153">
            <v>30.8</v>
          </cell>
          <cell r="F153">
            <v>11.66</v>
          </cell>
          <cell r="G153">
            <v>11.18</v>
          </cell>
          <cell r="I153">
            <v>99.01</v>
          </cell>
          <cell r="J153">
            <v>5.0599999999999996</v>
          </cell>
          <cell r="K153">
            <v>4.5999999999999996</v>
          </cell>
          <cell r="L153">
            <v>2.64</v>
          </cell>
          <cell r="M153">
            <v>0.47</v>
          </cell>
          <cell r="N153">
            <v>7.68</v>
          </cell>
          <cell r="O153">
            <v>0.38</v>
          </cell>
          <cell r="P153">
            <v>1.01</v>
          </cell>
          <cell r="Q153">
            <v>6.25</v>
          </cell>
        </row>
        <row r="154">
          <cell r="D154">
            <v>6.8</v>
          </cell>
          <cell r="E154">
            <v>31.2</v>
          </cell>
          <cell r="F154">
            <v>11.78</v>
          </cell>
          <cell r="G154">
            <v>11.46</v>
          </cell>
          <cell r="I154">
            <v>101.86</v>
          </cell>
          <cell r="J154">
            <v>5.12</v>
          </cell>
          <cell r="K154">
            <v>4.66</v>
          </cell>
          <cell r="L154">
            <v>2.64</v>
          </cell>
          <cell r="M154">
            <v>0.47</v>
          </cell>
          <cell r="N154">
            <v>7.83</v>
          </cell>
          <cell r="O154">
            <v>0.38</v>
          </cell>
          <cell r="P154">
            <v>1.01</v>
          </cell>
          <cell r="Q154">
            <v>6.35</v>
          </cell>
        </row>
        <row r="155">
          <cell r="D155">
            <v>6.9</v>
          </cell>
          <cell r="E155">
            <v>31.6</v>
          </cell>
          <cell r="F155">
            <v>11.9</v>
          </cell>
          <cell r="G155">
            <v>11.75</v>
          </cell>
          <cell r="I155">
            <v>104.72</v>
          </cell>
          <cell r="J155">
            <v>5.19</v>
          </cell>
          <cell r="K155">
            <v>4.7300000000000004</v>
          </cell>
          <cell r="L155">
            <v>2.64</v>
          </cell>
          <cell r="M155">
            <v>0.47</v>
          </cell>
          <cell r="N155">
            <v>7.99</v>
          </cell>
          <cell r="O155">
            <v>0.38</v>
          </cell>
          <cell r="P155">
            <v>1.01</v>
          </cell>
          <cell r="Q155">
            <v>6.45</v>
          </cell>
        </row>
        <row r="156">
          <cell r="D156">
            <v>7</v>
          </cell>
          <cell r="E156">
            <v>32</v>
          </cell>
          <cell r="F156">
            <v>12.02</v>
          </cell>
          <cell r="G156">
            <v>12.03</v>
          </cell>
          <cell r="I156">
            <v>107.62</v>
          </cell>
          <cell r="J156">
            <v>5.26</v>
          </cell>
          <cell r="K156">
            <v>4.8</v>
          </cell>
          <cell r="L156">
            <v>2.64</v>
          </cell>
          <cell r="M156">
            <v>0.47</v>
          </cell>
          <cell r="N156">
            <v>8.15</v>
          </cell>
          <cell r="O156">
            <v>0.38</v>
          </cell>
          <cell r="P156">
            <v>1.01</v>
          </cell>
          <cell r="Q156">
            <v>6.55</v>
          </cell>
        </row>
        <row r="157">
          <cell r="D157">
            <v>7.05</v>
          </cell>
        </row>
        <row r="158">
          <cell r="D158">
            <v>7.1</v>
          </cell>
          <cell r="E158">
            <v>32.4</v>
          </cell>
          <cell r="F158">
            <v>12.14</v>
          </cell>
          <cell r="G158">
            <v>12.32</v>
          </cell>
          <cell r="I158">
            <v>110.58</v>
          </cell>
          <cell r="J158">
            <v>5.32</v>
          </cell>
          <cell r="K158">
            <v>4.8600000000000003</v>
          </cell>
          <cell r="L158">
            <v>2.64</v>
          </cell>
          <cell r="M158">
            <v>0.47</v>
          </cell>
          <cell r="N158">
            <v>8.31</v>
          </cell>
          <cell r="O158">
            <v>0.38</v>
          </cell>
          <cell r="P158">
            <v>1.01</v>
          </cell>
          <cell r="Q158">
            <v>6.65</v>
          </cell>
        </row>
        <row r="159">
          <cell r="D159">
            <v>7.2</v>
          </cell>
          <cell r="E159">
            <v>32.799999999999997</v>
          </cell>
          <cell r="F159">
            <v>12.26</v>
          </cell>
          <cell r="G159">
            <v>12.61</v>
          </cell>
          <cell r="I159">
            <v>113.57</v>
          </cell>
          <cell r="J159">
            <v>5.39</v>
          </cell>
          <cell r="K159">
            <v>4.93</v>
          </cell>
          <cell r="L159">
            <v>2.64</v>
          </cell>
          <cell r="M159">
            <v>0.47</v>
          </cell>
          <cell r="N159">
            <v>8.4600000000000009</v>
          </cell>
          <cell r="O159">
            <v>0.38</v>
          </cell>
          <cell r="P159">
            <v>1.01</v>
          </cell>
          <cell r="Q159">
            <v>6.75</v>
          </cell>
        </row>
        <row r="160">
          <cell r="D160">
            <v>7.3</v>
          </cell>
          <cell r="E160">
            <v>33.200000000000003</v>
          </cell>
          <cell r="F160">
            <v>12.38</v>
          </cell>
          <cell r="G160">
            <v>12.91</v>
          </cell>
          <cell r="I160">
            <v>116.59</v>
          </cell>
          <cell r="J160">
            <v>5.46</v>
          </cell>
          <cell r="K160">
            <v>5</v>
          </cell>
          <cell r="L160">
            <v>2.64</v>
          </cell>
          <cell r="M160">
            <v>0.47</v>
          </cell>
          <cell r="N160">
            <v>8.6199999999999992</v>
          </cell>
          <cell r="O160">
            <v>0.38</v>
          </cell>
          <cell r="P160">
            <v>1.01</v>
          </cell>
          <cell r="Q160">
            <v>6.85</v>
          </cell>
        </row>
        <row r="161">
          <cell r="D161">
            <v>7.4</v>
          </cell>
          <cell r="E161">
            <v>33.6</v>
          </cell>
          <cell r="F161">
            <v>12.5</v>
          </cell>
          <cell r="G161">
            <v>13.2</v>
          </cell>
          <cell r="I161">
            <v>119.65</v>
          </cell>
          <cell r="J161">
            <v>5.53</v>
          </cell>
          <cell r="K161">
            <v>5.07</v>
          </cell>
          <cell r="L161">
            <v>2.64</v>
          </cell>
          <cell r="M161">
            <v>0.47</v>
          </cell>
          <cell r="N161">
            <v>8.7799999999999994</v>
          </cell>
          <cell r="O161">
            <v>0.38</v>
          </cell>
          <cell r="P161">
            <v>1.01</v>
          </cell>
          <cell r="Q161">
            <v>6.95</v>
          </cell>
        </row>
        <row r="162">
          <cell r="D162">
            <v>7.5</v>
          </cell>
          <cell r="E162">
            <v>34</v>
          </cell>
          <cell r="F162">
            <v>12.62</v>
          </cell>
          <cell r="G162">
            <v>13.5</v>
          </cell>
          <cell r="H162">
            <v>34.97</v>
          </cell>
          <cell r="I162">
            <v>82.87</v>
          </cell>
          <cell r="J162">
            <v>5.59</v>
          </cell>
          <cell r="K162">
            <v>5.13</v>
          </cell>
          <cell r="L162">
            <v>2.64</v>
          </cell>
          <cell r="M162">
            <v>0.47</v>
          </cell>
          <cell r="N162">
            <v>13.82</v>
          </cell>
          <cell r="O162">
            <v>0.38</v>
          </cell>
          <cell r="P162">
            <v>1.01</v>
          </cell>
          <cell r="Q162">
            <v>7.05</v>
          </cell>
        </row>
        <row r="163">
          <cell r="D163">
            <v>7.55</v>
          </cell>
        </row>
        <row r="164">
          <cell r="D164">
            <v>7.6</v>
          </cell>
          <cell r="E164">
            <v>34.4</v>
          </cell>
          <cell r="F164">
            <v>12.74</v>
          </cell>
          <cell r="G164">
            <v>13.8</v>
          </cell>
          <cell r="H164">
            <v>35.840000000000003</v>
          </cell>
          <cell r="I164">
            <v>85.07</v>
          </cell>
          <cell r="J164">
            <v>5.66</v>
          </cell>
          <cell r="K164">
            <v>5.2</v>
          </cell>
          <cell r="L164">
            <v>2.64</v>
          </cell>
          <cell r="M164">
            <v>0.47</v>
          </cell>
          <cell r="N164">
            <v>14.1</v>
          </cell>
          <cell r="O164">
            <v>0.38</v>
          </cell>
          <cell r="P164">
            <v>1.01</v>
          </cell>
          <cell r="Q164">
            <v>7.15</v>
          </cell>
        </row>
        <row r="165">
          <cell r="D165">
            <v>7.7</v>
          </cell>
          <cell r="E165">
            <v>34.799999999999997</v>
          </cell>
          <cell r="F165">
            <v>12.86</v>
          </cell>
          <cell r="G165">
            <v>14.11</v>
          </cell>
          <cell r="H165">
            <v>36.729999999999997</v>
          </cell>
          <cell r="I165">
            <v>87.28</v>
          </cell>
          <cell r="J165">
            <v>5.73</v>
          </cell>
          <cell r="K165">
            <v>5.27</v>
          </cell>
          <cell r="L165">
            <v>2.64</v>
          </cell>
          <cell r="M165">
            <v>0.47</v>
          </cell>
          <cell r="N165">
            <v>14.34</v>
          </cell>
          <cell r="O165">
            <v>0.38</v>
          </cell>
          <cell r="P165">
            <v>1.01</v>
          </cell>
          <cell r="Q165">
            <v>7.25</v>
          </cell>
        </row>
        <row r="166">
          <cell r="D166">
            <v>7.8</v>
          </cell>
          <cell r="E166">
            <v>35.200000000000003</v>
          </cell>
          <cell r="F166">
            <v>12.98</v>
          </cell>
          <cell r="G166">
            <v>14.41</v>
          </cell>
          <cell r="H166">
            <v>37.619999999999997</v>
          </cell>
          <cell r="I166">
            <v>89.56</v>
          </cell>
          <cell r="J166">
            <v>5.79</v>
          </cell>
          <cell r="K166">
            <v>5.33</v>
          </cell>
          <cell r="L166">
            <v>2.64</v>
          </cell>
          <cell r="M166">
            <v>0.47</v>
          </cell>
          <cell r="N166">
            <v>14.57</v>
          </cell>
          <cell r="O166">
            <v>0.38</v>
          </cell>
          <cell r="P166">
            <v>1.01</v>
          </cell>
          <cell r="Q166">
            <v>7.35</v>
          </cell>
        </row>
        <row r="167">
          <cell r="D167">
            <v>7.9</v>
          </cell>
          <cell r="E167">
            <v>35.6</v>
          </cell>
          <cell r="F167">
            <v>13.1</v>
          </cell>
          <cell r="G167">
            <v>14.72</v>
          </cell>
          <cell r="H167">
            <v>38.53</v>
          </cell>
          <cell r="I167">
            <v>91.83</v>
          </cell>
          <cell r="J167">
            <v>5.86</v>
          </cell>
          <cell r="K167">
            <v>5.4</v>
          </cell>
          <cell r="L167">
            <v>2.64</v>
          </cell>
          <cell r="M167">
            <v>0.47</v>
          </cell>
          <cell r="N167">
            <v>14.81</v>
          </cell>
          <cell r="O167">
            <v>0.38</v>
          </cell>
          <cell r="P167">
            <v>1.01</v>
          </cell>
          <cell r="Q167">
            <v>7.45</v>
          </cell>
        </row>
        <row r="168">
          <cell r="D168">
            <v>8</v>
          </cell>
          <cell r="E168">
            <v>36</v>
          </cell>
          <cell r="F168">
            <v>13.22</v>
          </cell>
          <cell r="G168">
            <v>15.03</v>
          </cell>
          <cell r="H168">
            <v>39.44</v>
          </cell>
          <cell r="I168">
            <v>94.15</v>
          </cell>
          <cell r="J168">
            <v>5.93</v>
          </cell>
          <cell r="K168">
            <v>5.47</v>
          </cell>
          <cell r="L168">
            <v>2.64</v>
          </cell>
          <cell r="M168">
            <v>0.47</v>
          </cell>
          <cell r="N168">
            <v>15.04</v>
          </cell>
          <cell r="O168">
            <v>0.38</v>
          </cell>
          <cell r="P168">
            <v>1.01</v>
          </cell>
          <cell r="Q168">
            <v>7.55</v>
          </cell>
        </row>
        <row r="169">
          <cell r="D169">
            <v>8.0500000000000007</v>
          </cell>
        </row>
        <row r="170">
          <cell r="D170">
            <v>8.1</v>
          </cell>
          <cell r="E170">
            <v>36.4</v>
          </cell>
          <cell r="F170">
            <v>13.34</v>
          </cell>
          <cell r="G170">
            <v>15.35</v>
          </cell>
          <cell r="H170">
            <v>40.369999999999997</v>
          </cell>
          <cell r="I170">
            <v>96.48</v>
          </cell>
          <cell r="J170">
            <v>6</v>
          </cell>
          <cell r="K170">
            <v>5.54</v>
          </cell>
          <cell r="L170">
            <v>2.64</v>
          </cell>
          <cell r="M170">
            <v>0.47</v>
          </cell>
          <cell r="N170">
            <v>15.28</v>
          </cell>
          <cell r="O170">
            <v>0.38</v>
          </cell>
          <cell r="P170">
            <v>1.01</v>
          </cell>
          <cell r="Q170">
            <v>7.65</v>
          </cell>
        </row>
        <row r="171">
          <cell r="D171">
            <v>8.1999999999999993</v>
          </cell>
          <cell r="E171">
            <v>36.799999999999997</v>
          </cell>
          <cell r="F171">
            <v>13.46</v>
          </cell>
          <cell r="G171">
            <v>15.66</v>
          </cell>
          <cell r="H171">
            <v>41.3</v>
          </cell>
          <cell r="I171">
            <v>98.88</v>
          </cell>
          <cell r="J171">
            <v>6.06</v>
          </cell>
          <cell r="K171">
            <v>5.6</v>
          </cell>
          <cell r="L171">
            <v>2.64</v>
          </cell>
          <cell r="M171">
            <v>0.47</v>
          </cell>
          <cell r="N171">
            <v>15.51</v>
          </cell>
          <cell r="O171">
            <v>0.38</v>
          </cell>
          <cell r="P171">
            <v>1.01</v>
          </cell>
          <cell r="Q171">
            <v>7.75</v>
          </cell>
        </row>
        <row r="172">
          <cell r="D172">
            <v>8.3000000000000007</v>
          </cell>
          <cell r="E172">
            <v>37.200000000000003</v>
          </cell>
          <cell r="F172">
            <v>13.58</v>
          </cell>
          <cell r="G172">
            <v>15.98</v>
          </cell>
          <cell r="H172">
            <v>42.25</v>
          </cell>
          <cell r="I172">
            <v>101.27</v>
          </cell>
          <cell r="J172">
            <v>6.13</v>
          </cell>
          <cell r="K172">
            <v>5.67</v>
          </cell>
          <cell r="L172">
            <v>2.64</v>
          </cell>
          <cell r="M172">
            <v>0.47</v>
          </cell>
          <cell r="N172">
            <v>15.75</v>
          </cell>
          <cell r="O172">
            <v>0.38</v>
          </cell>
          <cell r="P172">
            <v>1.01</v>
          </cell>
          <cell r="Q172">
            <v>7.85</v>
          </cell>
        </row>
        <row r="173">
          <cell r="D173">
            <v>8.4</v>
          </cell>
          <cell r="E173">
            <v>37.6</v>
          </cell>
          <cell r="F173">
            <v>13.7</v>
          </cell>
          <cell r="G173">
            <v>16.3</v>
          </cell>
          <cell r="H173">
            <v>43.2</v>
          </cell>
          <cell r="I173">
            <v>103.71</v>
          </cell>
          <cell r="J173">
            <v>6.2</v>
          </cell>
          <cell r="K173">
            <v>5.74</v>
          </cell>
          <cell r="L173">
            <v>2.64</v>
          </cell>
          <cell r="M173">
            <v>0.47</v>
          </cell>
          <cell r="N173">
            <v>15.98</v>
          </cell>
          <cell r="O173">
            <v>0.38</v>
          </cell>
          <cell r="P173">
            <v>1.01</v>
          </cell>
          <cell r="Q173">
            <v>7.95</v>
          </cell>
        </row>
        <row r="174">
          <cell r="D174">
            <v>8.5</v>
          </cell>
          <cell r="E174">
            <v>38</v>
          </cell>
          <cell r="F174">
            <v>13.82</v>
          </cell>
          <cell r="G174">
            <v>16.63</v>
          </cell>
          <cell r="H174">
            <v>44.17</v>
          </cell>
          <cell r="I174">
            <v>106.18</v>
          </cell>
          <cell r="J174">
            <v>6.26</v>
          </cell>
          <cell r="K174">
            <v>5.8</v>
          </cell>
          <cell r="L174">
            <v>2.64</v>
          </cell>
          <cell r="M174">
            <v>0.47</v>
          </cell>
          <cell r="N174">
            <v>16.22</v>
          </cell>
          <cell r="O174">
            <v>0.38</v>
          </cell>
          <cell r="P174">
            <v>1.01</v>
          </cell>
          <cell r="Q174">
            <v>8.0500000000000007</v>
          </cell>
        </row>
        <row r="175">
          <cell r="D175">
            <v>8.6</v>
          </cell>
          <cell r="E175">
            <v>38.4</v>
          </cell>
          <cell r="F175">
            <v>13.94</v>
          </cell>
          <cell r="G175">
            <v>16.95</v>
          </cell>
          <cell r="H175">
            <v>45.15</v>
          </cell>
          <cell r="I175">
            <v>108.67</v>
          </cell>
          <cell r="J175">
            <v>6.33</v>
          </cell>
          <cell r="K175">
            <v>5.87</v>
          </cell>
          <cell r="L175">
            <v>2.64</v>
          </cell>
          <cell r="M175">
            <v>0.47</v>
          </cell>
          <cell r="N175">
            <v>16.45</v>
          </cell>
          <cell r="O175">
            <v>0.38</v>
          </cell>
          <cell r="P175">
            <v>1.01</v>
          </cell>
          <cell r="Q175">
            <v>8.15</v>
          </cell>
        </row>
        <row r="176">
          <cell r="D176">
            <v>8.6999999999999993</v>
          </cell>
          <cell r="E176">
            <v>38.799999999999997</v>
          </cell>
          <cell r="F176">
            <v>14.06</v>
          </cell>
          <cell r="G176">
            <v>17.25</v>
          </cell>
          <cell r="H176">
            <v>46.13</v>
          </cell>
          <cell r="I176">
            <v>111.19</v>
          </cell>
          <cell r="J176">
            <v>6.4</v>
          </cell>
          <cell r="K176">
            <v>5.94</v>
          </cell>
          <cell r="L176">
            <v>2.64</v>
          </cell>
          <cell r="M176">
            <v>0.47</v>
          </cell>
          <cell r="N176">
            <v>16.690000000000001</v>
          </cell>
          <cell r="O176">
            <v>0.38</v>
          </cell>
          <cell r="P176">
            <v>1.01</v>
          </cell>
          <cell r="Q176">
            <v>8.25</v>
          </cell>
        </row>
        <row r="177">
          <cell r="D177">
            <v>8.8000000000000007</v>
          </cell>
          <cell r="E177">
            <v>39.200000000000003</v>
          </cell>
          <cell r="F177">
            <v>14.18</v>
          </cell>
          <cell r="G177">
            <v>17.61</v>
          </cell>
          <cell r="H177">
            <v>47.12</v>
          </cell>
          <cell r="I177">
            <v>113.69</v>
          </cell>
          <cell r="J177">
            <v>6.46</v>
          </cell>
          <cell r="K177">
            <v>6</v>
          </cell>
          <cell r="L177">
            <v>2.64</v>
          </cell>
          <cell r="M177">
            <v>0.47</v>
          </cell>
          <cell r="N177">
            <v>16.920000000000002</v>
          </cell>
          <cell r="O177">
            <v>0.38</v>
          </cell>
          <cell r="P177">
            <v>1.01</v>
          </cell>
          <cell r="Q177">
            <v>8.35</v>
          </cell>
        </row>
        <row r="178">
          <cell r="D178">
            <v>8.9</v>
          </cell>
          <cell r="E178">
            <v>39.6</v>
          </cell>
          <cell r="F178">
            <v>14.3</v>
          </cell>
          <cell r="G178">
            <v>17.95</v>
          </cell>
          <cell r="H178">
            <v>48.13</v>
          </cell>
          <cell r="I178">
            <v>116.34</v>
          </cell>
          <cell r="J178">
            <v>6.53</v>
          </cell>
          <cell r="K178">
            <v>6.07</v>
          </cell>
          <cell r="L178">
            <v>2.64</v>
          </cell>
          <cell r="M178">
            <v>0.47</v>
          </cell>
          <cell r="N178">
            <v>17.16</v>
          </cell>
          <cell r="O178">
            <v>0.38</v>
          </cell>
          <cell r="P178">
            <v>1.01</v>
          </cell>
          <cell r="Q178">
            <v>8.4499999999999993</v>
          </cell>
        </row>
        <row r="179">
          <cell r="D179">
            <v>9</v>
          </cell>
          <cell r="E179">
            <v>40</v>
          </cell>
          <cell r="F179">
            <v>14.42</v>
          </cell>
          <cell r="G179">
            <v>18.28</v>
          </cell>
          <cell r="H179">
            <v>49.14</v>
          </cell>
          <cell r="I179">
            <v>118.96</v>
          </cell>
          <cell r="J179">
            <v>6.6</v>
          </cell>
          <cell r="K179">
            <v>6.14</v>
          </cell>
          <cell r="L179">
            <v>2.64</v>
          </cell>
          <cell r="M179">
            <v>0.47</v>
          </cell>
          <cell r="N179">
            <v>17.39</v>
          </cell>
          <cell r="O179">
            <v>0.38</v>
          </cell>
          <cell r="P179">
            <v>1.01</v>
          </cell>
          <cell r="Q179">
            <v>8.5500000000000007</v>
          </cell>
        </row>
        <row r="180">
          <cell r="D180">
            <v>9.0500000000000007</v>
          </cell>
        </row>
        <row r="181">
          <cell r="D181">
            <v>9.1</v>
          </cell>
          <cell r="E181">
            <v>40.4</v>
          </cell>
          <cell r="F181">
            <v>14.54</v>
          </cell>
          <cell r="G181">
            <v>18.62</v>
          </cell>
          <cell r="H181">
            <v>50.17</v>
          </cell>
          <cell r="I181">
            <v>121.59</v>
          </cell>
          <cell r="J181">
            <v>6.67</v>
          </cell>
          <cell r="K181">
            <v>6.21</v>
          </cell>
          <cell r="L181">
            <v>2.64</v>
          </cell>
          <cell r="M181">
            <v>0.47</v>
          </cell>
          <cell r="N181">
            <v>17.63</v>
          </cell>
          <cell r="O181">
            <v>0.38</v>
          </cell>
          <cell r="P181">
            <v>1.01</v>
          </cell>
          <cell r="Q181">
            <v>8.65</v>
          </cell>
        </row>
        <row r="182">
          <cell r="D182">
            <v>9.1999999999999993</v>
          </cell>
          <cell r="E182">
            <v>40.799999999999997</v>
          </cell>
          <cell r="F182">
            <v>14.66</v>
          </cell>
          <cell r="G182">
            <v>18.96</v>
          </cell>
          <cell r="H182">
            <v>51.2</v>
          </cell>
          <cell r="I182">
            <v>124.29</v>
          </cell>
          <cell r="J182">
            <v>6.73</v>
          </cell>
          <cell r="K182">
            <v>6.27</v>
          </cell>
          <cell r="L182">
            <v>2.64</v>
          </cell>
          <cell r="M182">
            <v>0.47</v>
          </cell>
          <cell r="N182">
            <v>17.86</v>
          </cell>
          <cell r="O182">
            <v>0.38</v>
          </cell>
          <cell r="P182">
            <v>1.01</v>
          </cell>
          <cell r="Q182">
            <v>8.75</v>
          </cell>
        </row>
        <row r="183">
          <cell r="D183">
            <v>9.3000000000000007</v>
          </cell>
          <cell r="E183">
            <v>41.2</v>
          </cell>
          <cell r="F183">
            <v>14.78</v>
          </cell>
          <cell r="G183">
            <v>19.309999999999999</v>
          </cell>
          <cell r="H183">
            <v>52.25</v>
          </cell>
          <cell r="I183">
            <v>126.98</v>
          </cell>
          <cell r="J183">
            <v>6.8</v>
          </cell>
          <cell r="K183">
            <v>6.34</v>
          </cell>
          <cell r="L183">
            <v>2.64</v>
          </cell>
          <cell r="M183">
            <v>0.47</v>
          </cell>
          <cell r="N183">
            <v>18.100000000000001</v>
          </cell>
          <cell r="O183">
            <v>0.38</v>
          </cell>
          <cell r="P183">
            <v>1.01</v>
          </cell>
          <cell r="Q183">
            <v>8.85</v>
          </cell>
        </row>
        <row r="184">
          <cell r="D184">
            <v>9.4</v>
          </cell>
          <cell r="E184">
            <v>41.6</v>
          </cell>
          <cell r="F184">
            <v>14.9</v>
          </cell>
          <cell r="G184">
            <v>19.649999999999999</v>
          </cell>
          <cell r="H184">
            <v>53.3</v>
          </cell>
          <cell r="I184">
            <v>129.72</v>
          </cell>
          <cell r="J184">
            <v>6.87</v>
          </cell>
          <cell r="K184">
            <v>6.41</v>
          </cell>
          <cell r="L184">
            <v>2.64</v>
          </cell>
          <cell r="M184">
            <v>0.47</v>
          </cell>
          <cell r="N184">
            <v>18.329999999999998</v>
          </cell>
          <cell r="O184">
            <v>0.38</v>
          </cell>
          <cell r="P184">
            <v>1.01</v>
          </cell>
          <cell r="Q184">
            <v>8.9499999999999993</v>
          </cell>
        </row>
        <row r="185">
          <cell r="D185">
            <v>9.5</v>
          </cell>
          <cell r="E185">
            <v>42</v>
          </cell>
          <cell r="F185">
            <v>15.02</v>
          </cell>
          <cell r="G185">
            <v>20</v>
          </cell>
          <cell r="H185">
            <v>54.37</v>
          </cell>
          <cell r="I185">
            <v>132.49</v>
          </cell>
          <cell r="J185">
            <v>6.93</v>
          </cell>
          <cell r="K185">
            <v>6.47</v>
          </cell>
          <cell r="L185">
            <v>2.64</v>
          </cell>
          <cell r="M185">
            <v>0.47</v>
          </cell>
          <cell r="N185">
            <v>18.57</v>
          </cell>
          <cell r="O185">
            <v>0.38</v>
          </cell>
          <cell r="P185">
            <v>1.01</v>
          </cell>
          <cell r="Q185">
            <v>9.0500000000000007</v>
          </cell>
        </row>
        <row r="186">
          <cell r="D186">
            <v>9.5500000000000007</v>
          </cell>
        </row>
        <row r="187">
          <cell r="D187">
            <v>9.6</v>
          </cell>
          <cell r="E187">
            <v>42.4</v>
          </cell>
          <cell r="F187">
            <v>15.14</v>
          </cell>
          <cell r="G187">
            <v>20.350000000000001</v>
          </cell>
          <cell r="H187">
            <v>55.44</v>
          </cell>
          <cell r="I187">
            <v>135.29</v>
          </cell>
          <cell r="J187">
            <v>7</v>
          </cell>
          <cell r="K187">
            <v>6.54</v>
          </cell>
          <cell r="L187">
            <v>2.64</v>
          </cell>
          <cell r="M187">
            <v>0.47</v>
          </cell>
          <cell r="N187">
            <v>18.8</v>
          </cell>
          <cell r="O187">
            <v>0.38</v>
          </cell>
          <cell r="P187">
            <v>1.01</v>
          </cell>
          <cell r="Q187">
            <v>9.15</v>
          </cell>
        </row>
        <row r="188">
          <cell r="D188">
            <v>9.6999999999999993</v>
          </cell>
          <cell r="E188">
            <v>42.8</v>
          </cell>
          <cell r="F188">
            <v>15.26</v>
          </cell>
          <cell r="G188">
            <v>20.71</v>
          </cell>
          <cell r="H188">
            <v>56.53</v>
          </cell>
          <cell r="I188">
            <v>138.1</v>
          </cell>
          <cell r="J188">
            <v>7.07</v>
          </cell>
          <cell r="K188">
            <v>6.61</v>
          </cell>
          <cell r="L188">
            <v>2.64</v>
          </cell>
          <cell r="M188">
            <v>0.47</v>
          </cell>
          <cell r="N188">
            <v>19.04</v>
          </cell>
          <cell r="O188">
            <v>0.38</v>
          </cell>
          <cell r="P188">
            <v>1.01</v>
          </cell>
          <cell r="Q188">
            <v>9.25</v>
          </cell>
        </row>
        <row r="189">
          <cell r="D189">
            <v>9.8000000000000007</v>
          </cell>
          <cell r="E189">
            <v>43.2</v>
          </cell>
          <cell r="F189">
            <v>15.38</v>
          </cell>
          <cell r="G189">
            <v>21.06</v>
          </cell>
          <cell r="H189">
            <v>57.62</v>
          </cell>
          <cell r="I189">
            <v>140.96</v>
          </cell>
          <cell r="J189">
            <v>7.14</v>
          </cell>
          <cell r="K189">
            <v>6.68</v>
          </cell>
          <cell r="L189">
            <v>2.64</v>
          </cell>
          <cell r="M189">
            <v>0.47</v>
          </cell>
          <cell r="N189">
            <v>19.27</v>
          </cell>
          <cell r="O189">
            <v>0.38</v>
          </cell>
          <cell r="P189">
            <v>1.01</v>
          </cell>
          <cell r="Q189">
            <v>9.35</v>
          </cell>
        </row>
        <row r="190">
          <cell r="D190">
            <v>9.9</v>
          </cell>
          <cell r="E190">
            <v>43.6</v>
          </cell>
          <cell r="F190">
            <v>15.5</v>
          </cell>
          <cell r="G190">
            <v>21.42</v>
          </cell>
          <cell r="H190">
            <v>58.73</v>
          </cell>
          <cell r="I190">
            <v>143.85</v>
          </cell>
          <cell r="J190">
            <v>7.2</v>
          </cell>
          <cell r="K190">
            <v>6.74</v>
          </cell>
          <cell r="L190">
            <v>2.64</v>
          </cell>
          <cell r="M190">
            <v>0.47</v>
          </cell>
          <cell r="N190">
            <v>19.510000000000002</v>
          </cell>
          <cell r="O190">
            <v>0.38</v>
          </cell>
          <cell r="P190">
            <v>1.01</v>
          </cell>
          <cell r="Q190">
            <v>9.4499999999999993</v>
          </cell>
        </row>
        <row r="191">
          <cell r="D191">
            <v>10</v>
          </cell>
          <cell r="E191">
            <v>44</v>
          </cell>
          <cell r="F191">
            <v>15.62</v>
          </cell>
          <cell r="G191">
            <v>21.78</v>
          </cell>
          <cell r="H191">
            <v>59.84</v>
          </cell>
          <cell r="I191">
            <v>146.77000000000001</v>
          </cell>
          <cell r="J191">
            <v>7.27</v>
          </cell>
          <cell r="K191">
            <v>9.81</v>
          </cell>
          <cell r="L191">
            <v>2.64</v>
          </cell>
          <cell r="M191">
            <v>0.47</v>
          </cell>
          <cell r="N191">
            <v>19.739999999999998</v>
          </cell>
          <cell r="O191">
            <v>0.38</v>
          </cell>
          <cell r="P191">
            <v>1.01</v>
          </cell>
          <cell r="Q191">
            <v>9.5500000000000007</v>
          </cell>
        </row>
        <row r="192">
          <cell r="D192">
            <v>10.050000000000001</v>
          </cell>
        </row>
        <row r="193">
          <cell r="D193">
            <v>10.1</v>
          </cell>
          <cell r="E193">
            <v>44.4</v>
          </cell>
          <cell r="F193">
            <v>15.74</v>
          </cell>
          <cell r="G193">
            <v>22.15</v>
          </cell>
          <cell r="H193">
            <v>60.97</v>
          </cell>
          <cell r="I193">
            <v>149.69999999999999</v>
          </cell>
          <cell r="J193">
            <v>7.34</v>
          </cell>
          <cell r="K193">
            <v>6.88</v>
          </cell>
          <cell r="L193">
            <v>2.64</v>
          </cell>
          <cell r="M193">
            <v>0.47</v>
          </cell>
          <cell r="N193">
            <v>19.98</v>
          </cell>
          <cell r="O193">
            <v>0.38</v>
          </cell>
          <cell r="P193">
            <v>1.01</v>
          </cell>
          <cell r="Q193">
            <v>9.65</v>
          </cell>
        </row>
        <row r="194">
          <cell r="D194">
            <v>10.199999999999999</v>
          </cell>
          <cell r="E194">
            <v>44.8</v>
          </cell>
          <cell r="F194">
            <v>15.86</v>
          </cell>
          <cell r="G194">
            <v>22.51</v>
          </cell>
          <cell r="H194">
            <v>62.1</v>
          </cell>
          <cell r="I194">
            <v>152.69999999999999</v>
          </cell>
          <cell r="J194">
            <v>7.4</v>
          </cell>
          <cell r="K194">
            <v>6.94</v>
          </cell>
          <cell r="L194">
            <v>2.64</v>
          </cell>
          <cell r="M194">
            <v>0.47</v>
          </cell>
          <cell r="N194">
            <v>20.21</v>
          </cell>
          <cell r="O194">
            <v>0.38</v>
          </cell>
          <cell r="P194">
            <v>1.01</v>
          </cell>
          <cell r="Q194">
            <v>9.75</v>
          </cell>
        </row>
        <row r="195">
          <cell r="D195">
            <v>10.3</v>
          </cell>
          <cell r="E195">
            <v>45.2</v>
          </cell>
          <cell r="F195">
            <v>15.98</v>
          </cell>
          <cell r="G195">
            <v>22.88</v>
          </cell>
          <cell r="H195">
            <v>63.25</v>
          </cell>
          <cell r="I195">
            <v>155.69</v>
          </cell>
          <cell r="J195">
            <v>7.47</v>
          </cell>
          <cell r="K195">
            <v>7.01</v>
          </cell>
          <cell r="L195">
            <v>2.64</v>
          </cell>
          <cell r="M195">
            <v>0.47</v>
          </cell>
          <cell r="N195">
            <v>20.45</v>
          </cell>
          <cell r="O195">
            <v>0.38</v>
          </cell>
          <cell r="P195">
            <v>1.01</v>
          </cell>
          <cell r="Q195">
            <v>9.85</v>
          </cell>
        </row>
        <row r="196">
          <cell r="D196">
            <v>10.4</v>
          </cell>
          <cell r="E196">
            <v>45.6</v>
          </cell>
          <cell r="F196">
            <v>16.100000000000001</v>
          </cell>
          <cell r="G196">
            <v>23.25</v>
          </cell>
          <cell r="H196">
            <v>64.400000000000006</v>
          </cell>
          <cell r="I196">
            <v>158.72999999999999</v>
          </cell>
          <cell r="J196">
            <v>7.54</v>
          </cell>
          <cell r="K196">
            <v>7.08</v>
          </cell>
          <cell r="L196">
            <v>2.64</v>
          </cell>
          <cell r="M196">
            <v>0.47</v>
          </cell>
          <cell r="N196">
            <v>20.68</v>
          </cell>
          <cell r="O196">
            <v>0.38</v>
          </cell>
          <cell r="P196">
            <v>1.01</v>
          </cell>
          <cell r="Q196">
            <v>9.9499999999999993</v>
          </cell>
        </row>
        <row r="197">
          <cell r="D197">
            <v>10.5</v>
          </cell>
          <cell r="E197">
            <v>45.7</v>
          </cell>
          <cell r="F197">
            <v>16.13</v>
          </cell>
          <cell r="G197">
            <v>23.63</v>
          </cell>
          <cell r="H197">
            <v>65.67</v>
          </cell>
          <cell r="I197">
            <v>161.29</v>
          </cell>
          <cell r="J197">
            <v>7.6</v>
          </cell>
          <cell r="K197">
            <v>7.15</v>
          </cell>
          <cell r="L197">
            <v>3.75</v>
          </cell>
          <cell r="M197">
            <v>0.47</v>
          </cell>
          <cell r="N197">
            <v>20.11</v>
          </cell>
          <cell r="O197">
            <v>0.38</v>
          </cell>
          <cell r="P197">
            <v>1.01</v>
          </cell>
          <cell r="Q197">
            <v>9.9</v>
          </cell>
        </row>
        <row r="198">
          <cell r="D198">
            <v>10.55</v>
          </cell>
        </row>
        <row r="199">
          <cell r="D199">
            <v>10.6</v>
          </cell>
          <cell r="E199">
            <v>46.3</v>
          </cell>
          <cell r="F199">
            <v>16.309999999999999</v>
          </cell>
          <cell r="G199">
            <v>24</v>
          </cell>
          <cell r="H199">
            <v>66.739999999999995</v>
          </cell>
          <cell r="I199">
            <v>164.55</v>
          </cell>
          <cell r="J199">
            <v>7.72</v>
          </cell>
          <cell r="K199">
            <v>7.26</v>
          </cell>
          <cell r="L199">
            <v>3.75</v>
          </cell>
          <cell r="M199">
            <v>0.47</v>
          </cell>
          <cell r="N199">
            <v>20.34</v>
          </cell>
          <cell r="O199">
            <v>0.38</v>
          </cell>
          <cell r="P199">
            <v>1.01</v>
          </cell>
          <cell r="Q199">
            <v>10</v>
          </cell>
        </row>
        <row r="200">
          <cell r="D200">
            <v>10.7</v>
          </cell>
          <cell r="E200">
            <v>46.75</v>
          </cell>
          <cell r="F200">
            <v>16.45</v>
          </cell>
          <cell r="G200">
            <v>24.38</v>
          </cell>
          <cell r="H200">
            <v>67.930000000000007</v>
          </cell>
          <cell r="I200">
            <v>167.67</v>
          </cell>
          <cell r="J200">
            <v>7.8</v>
          </cell>
          <cell r="K200">
            <v>7.34</v>
          </cell>
          <cell r="L200">
            <v>3.75</v>
          </cell>
          <cell r="M200">
            <v>0.47</v>
          </cell>
          <cell r="N200">
            <v>20.58</v>
          </cell>
          <cell r="O200">
            <v>0.38</v>
          </cell>
          <cell r="P200">
            <v>1.01</v>
          </cell>
          <cell r="Q200">
            <v>10.1</v>
          </cell>
        </row>
        <row r="201">
          <cell r="D201">
            <v>10.8</v>
          </cell>
          <cell r="E201">
            <v>47.2</v>
          </cell>
          <cell r="F201">
            <v>16.579999999999998</v>
          </cell>
          <cell r="G201">
            <v>24.76</v>
          </cell>
          <cell r="H201">
            <v>69.12</v>
          </cell>
          <cell r="I201">
            <v>170.84</v>
          </cell>
          <cell r="J201">
            <v>7.88</v>
          </cell>
          <cell r="K201">
            <v>7.43</v>
          </cell>
          <cell r="L201">
            <v>3.75</v>
          </cell>
          <cell r="M201">
            <v>0.47</v>
          </cell>
          <cell r="N201">
            <v>20.81</v>
          </cell>
          <cell r="O201">
            <v>0.38</v>
          </cell>
          <cell r="P201">
            <v>1.01</v>
          </cell>
          <cell r="Q201">
            <v>10.199999999999999</v>
          </cell>
        </row>
        <row r="202">
          <cell r="D202">
            <v>10.9</v>
          </cell>
          <cell r="E202">
            <v>47.65</v>
          </cell>
          <cell r="F202">
            <v>16.72</v>
          </cell>
          <cell r="G202">
            <v>25.15</v>
          </cell>
          <cell r="H202">
            <v>70.33</v>
          </cell>
          <cell r="I202">
            <v>174.02</v>
          </cell>
          <cell r="J202">
            <v>7.97</v>
          </cell>
          <cell r="K202">
            <v>7.51</v>
          </cell>
          <cell r="L202">
            <v>3.75</v>
          </cell>
          <cell r="M202">
            <v>0.47</v>
          </cell>
          <cell r="N202">
            <v>21.05</v>
          </cell>
          <cell r="O202">
            <v>0.38</v>
          </cell>
          <cell r="P202">
            <v>1.01</v>
          </cell>
          <cell r="Q202">
            <v>10.3</v>
          </cell>
        </row>
        <row r="203">
          <cell r="D203">
            <v>11</v>
          </cell>
          <cell r="E203">
            <v>48.1</v>
          </cell>
          <cell r="F203">
            <v>16.850000000000001</v>
          </cell>
          <cell r="G203">
            <v>25.52</v>
          </cell>
          <cell r="H203">
            <v>71.540000000000006</v>
          </cell>
          <cell r="I203">
            <v>177.26</v>
          </cell>
          <cell r="J203">
            <v>8.0500000000000007</v>
          </cell>
          <cell r="K203">
            <v>7.59</v>
          </cell>
          <cell r="L203">
            <v>3.75</v>
          </cell>
          <cell r="M203">
            <v>0.47</v>
          </cell>
          <cell r="N203">
            <v>21.28</v>
          </cell>
          <cell r="O203">
            <v>0.38</v>
          </cell>
          <cell r="P203">
            <v>1.01</v>
          </cell>
          <cell r="Q203">
            <v>10.4</v>
          </cell>
        </row>
        <row r="204">
          <cell r="D204">
            <v>11.05</v>
          </cell>
        </row>
        <row r="205">
          <cell r="D205">
            <v>11.1</v>
          </cell>
          <cell r="E205">
            <v>48.55</v>
          </cell>
          <cell r="F205">
            <v>16.989999999999998</v>
          </cell>
          <cell r="G205">
            <v>25.92</v>
          </cell>
          <cell r="H205">
            <v>72.77</v>
          </cell>
          <cell r="I205">
            <v>180.5</v>
          </cell>
          <cell r="J205">
            <v>8.1300000000000008</v>
          </cell>
          <cell r="K205">
            <v>7.67</v>
          </cell>
          <cell r="L205">
            <v>3.75</v>
          </cell>
          <cell r="M205">
            <v>0.47</v>
          </cell>
          <cell r="N205">
            <v>21.52</v>
          </cell>
          <cell r="O205">
            <v>0.38</v>
          </cell>
          <cell r="P205">
            <v>1.01</v>
          </cell>
          <cell r="Q205">
            <v>10.5</v>
          </cell>
        </row>
        <row r="206">
          <cell r="D206">
            <v>11.2</v>
          </cell>
          <cell r="E206">
            <v>49</v>
          </cell>
          <cell r="F206">
            <v>17.12</v>
          </cell>
          <cell r="G206">
            <v>26.31</v>
          </cell>
          <cell r="H206">
            <v>74</v>
          </cell>
          <cell r="I206">
            <v>183.8</v>
          </cell>
          <cell r="J206">
            <v>8.2100000000000009</v>
          </cell>
          <cell r="K206">
            <v>7.75</v>
          </cell>
          <cell r="L206">
            <v>3.75</v>
          </cell>
          <cell r="M206">
            <v>0.47</v>
          </cell>
          <cell r="N206">
            <v>21.75</v>
          </cell>
          <cell r="O206">
            <v>0.38</v>
          </cell>
          <cell r="P206">
            <v>1.01</v>
          </cell>
          <cell r="Q206">
            <v>10.6</v>
          </cell>
        </row>
        <row r="207">
          <cell r="D207">
            <v>11.3</v>
          </cell>
          <cell r="E207">
            <v>49.45</v>
          </cell>
          <cell r="F207">
            <v>17.25</v>
          </cell>
          <cell r="G207">
            <v>26.71</v>
          </cell>
          <cell r="H207">
            <v>75.25</v>
          </cell>
          <cell r="I207">
            <v>187.11</v>
          </cell>
          <cell r="J207">
            <v>8.2899999999999991</v>
          </cell>
          <cell r="K207">
            <v>7.83</v>
          </cell>
          <cell r="L207">
            <v>3.75</v>
          </cell>
          <cell r="M207">
            <v>0.47</v>
          </cell>
          <cell r="N207">
            <v>21.79</v>
          </cell>
          <cell r="O207">
            <v>0.38</v>
          </cell>
          <cell r="P207">
            <v>1.01</v>
          </cell>
          <cell r="Q207">
            <v>10.7</v>
          </cell>
        </row>
        <row r="208">
          <cell r="D208">
            <v>11.4</v>
          </cell>
          <cell r="E208">
            <v>49.9</v>
          </cell>
          <cell r="F208">
            <v>17.39</v>
          </cell>
          <cell r="G208">
            <v>27.1</v>
          </cell>
          <cell r="H208">
            <v>76.5</v>
          </cell>
          <cell r="I208">
            <v>190.47</v>
          </cell>
          <cell r="J208">
            <v>8.3699999999999992</v>
          </cell>
          <cell r="K208">
            <v>7.91</v>
          </cell>
          <cell r="L208">
            <v>3.75</v>
          </cell>
          <cell r="M208">
            <v>0.47</v>
          </cell>
          <cell r="N208">
            <v>22.22</v>
          </cell>
          <cell r="O208">
            <v>0.38</v>
          </cell>
          <cell r="P208">
            <v>1.01</v>
          </cell>
          <cell r="Q208">
            <v>10.8</v>
          </cell>
        </row>
        <row r="209">
          <cell r="D209">
            <v>11.5</v>
          </cell>
          <cell r="E209">
            <v>50.35</v>
          </cell>
          <cell r="F209">
            <v>17.53</v>
          </cell>
          <cell r="G209">
            <v>27.5</v>
          </cell>
          <cell r="H209">
            <v>77.77</v>
          </cell>
          <cell r="I209">
            <v>193.83</v>
          </cell>
          <cell r="J209">
            <v>8.4499999999999993</v>
          </cell>
          <cell r="K209">
            <v>7.99</v>
          </cell>
          <cell r="L209">
            <v>3.75</v>
          </cell>
          <cell r="M209">
            <v>0.47</v>
          </cell>
          <cell r="N209">
            <v>22.46</v>
          </cell>
          <cell r="O209">
            <v>0.38</v>
          </cell>
          <cell r="P209">
            <v>1.01</v>
          </cell>
          <cell r="Q209">
            <v>10.9</v>
          </cell>
        </row>
        <row r="210">
          <cell r="D210">
            <v>11.55</v>
          </cell>
        </row>
        <row r="211">
          <cell r="D211">
            <v>11.6</v>
          </cell>
          <cell r="E211">
            <v>50.8</v>
          </cell>
          <cell r="F211">
            <v>17.66</v>
          </cell>
          <cell r="G211">
            <v>27.9</v>
          </cell>
          <cell r="H211">
            <v>79.040000000000006</v>
          </cell>
          <cell r="I211">
            <v>197.25</v>
          </cell>
          <cell r="J211">
            <v>8.5299999999999994</v>
          </cell>
          <cell r="K211">
            <v>8.07</v>
          </cell>
          <cell r="L211">
            <v>3.75</v>
          </cell>
          <cell r="M211">
            <v>0.47</v>
          </cell>
          <cell r="N211">
            <v>22.69</v>
          </cell>
          <cell r="O211">
            <v>0.38</v>
          </cell>
          <cell r="P211">
            <v>1.01</v>
          </cell>
          <cell r="Q211">
            <v>11</v>
          </cell>
        </row>
        <row r="212">
          <cell r="D212">
            <v>11.7</v>
          </cell>
          <cell r="E212">
            <v>51.25</v>
          </cell>
          <cell r="F212">
            <v>17.8</v>
          </cell>
          <cell r="G212">
            <v>28.31</v>
          </cell>
          <cell r="H212">
            <v>80.33</v>
          </cell>
          <cell r="I212">
            <v>200.68</v>
          </cell>
          <cell r="J212">
            <v>8.61</v>
          </cell>
          <cell r="K212">
            <v>8.15</v>
          </cell>
          <cell r="L212">
            <v>3.75</v>
          </cell>
          <cell r="M212">
            <v>0.47</v>
          </cell>
          <cell r="N212">
            <v>22.93</v>
          </cell>
          <cell r="O212">
            <v>0.38</v>
          </cell>
          <cell r="P212">
            <v>1.01</v>
          </cell>
          <cell r="Q212">
            <v>11.1</v>
          </cell>
        </row>
        <row r="213">
          <cell r="D213">
            <v>11.8</v>
          </cell>
          <cell r="E213">
            <v>51.7</v>
          </cell>
          <cell r="F213">
            <v>17.93</v>
          </cell>
          <cell r="G213">
            <v>28.71</v>
          </cell>
          <cell r="H213">
            <v>81.62</v>
          </cell>
          <cell r="I213">
            <v>204.19</v>
          </cell>
          <cell r="J213">
            <v>8.69</v>
          </cell>
          <cell r="K213">
            <v>8.23</v>
          </cell>
          <cell r="L213">
            <v>3.75</v>
          </cell>
          <cell r="M213">
            <v>0.47</v>
          </cell>
          <cell r="N213">
            <v>23.16</v>
          </cell>
          <cell r="O213">
            <v>0.38</v>
          </cell>
          <cell r="P213">
            <v>1.01</v>
          </cell>
          <cell r="Q213">
            <v>11.2</v>
          </cell>
        </row>
        <row r="214">
          <cell r="D214">
            <v>11.9</v>
          </cell>
          <cell r="E214">
            <v>52.15</v>
          </cell>
          <cell r="F214">
            <v>18.07</v>
          </cell>
          <cell r="G214">
            <v>29.12</v>
          </cell>
          <cell r="H214">
            <v>82.93</v>
          </cell>
          <cell r="I214">
            <v>207.73</v>
          </cell>
          <cell r="J214">
            <v>8.77</v>
          </cell>
          <cell r="K214">
            <v>8.31</v>
          </cell>
          <cell r="L214">
            <v>3.75</v>
          </cell>
          <cell r="M214">
            <v>0.47</v>
          </cell>
          <cell r="N214">
            <v>23.4</v>
          </cell>
          <cell r="O214">
            <v>0.38</v>
          </cell>
          <cell r="P214">
            <v>1.01</v>
          </cell>
          <cell r="Q214">
            <v>11.3</v>
          </cell>
        </row>
        <row r="215">
          <cell r="D215">
            <v>12</v>
          </cell>
          <cell r="E215">
            <v>52.6</v>
          </cell>
          <cell r="F215">
            <v>18.2</v>
          </cell>
          <cell r="G215">
            <v>29.53</v>
          </cell>
          <cell r="H215">
            <v>84.24</v>
          </cell>
          <cell r="I215">
            <v>211.22</v>
          </cell>
          <cell r="J215">
            <v>8.85</v>
          </cell>
          <cell r="K215">
            <v>8.39</v>
          </cell>
          <cell r="L215">
            <v>3.75</v>
          </cell>
          <cell r="M215">
            <v>0.47</v>
          </cell>
          <cell r="N215">
            <v>23.63</v>
          </cell>
          <cell r="O215">
            <v>0.38</v>
          </cell>
          <cell r="P215">
            <v>1.01</v>
          </cell>
          <cell r="Q215">
            <v>11.4</v>
          </cell>
        </row>
        <row r="216">
          <cell r="D216">
            <v>12.05</v>
          </cell>
        </row>
        <row r="217">
          <cell r="D217">
            <v>12.1</v>
          </cell>
          <cell r="E217">
            <v>53.05</v>
          </cell>
          <cell r="F217">
            <v>18.34</v>
          </cell>
          <cell r="G217">
            <v>29.95</v>
          </cell>
          <cell r="H217">
            <v>85.57</v>
          </cell>
          <cell r="I217">
            <v>214.9</v>
          </cell>
          <cell r="J217">
            <v>8.94</v>
          </cell>
          <cell r="K217">
            <v>8.48</v>
          </cell>
          <cell r="L217">
            <v>3.75</v>
          </cell>
          <cell r="M217">
            <v>0.47</v>
          </cell>
          <cell r="N217">
            <v>23.87</v>
          </cell>
          <cell r="O217">
            <v>0.38</v>
          </cell>
          <cell r="P217">
            <v>1.01</v>
          </cell>
          <cell r="Q217">
            <v>11.5</v>
          </cell>
        </row>
        <row r="218">
          <cell r="D218">
            <v>12.2</v>
          </cell>
          <cell r="E218">
            <v>53.5</v>
          </cell>
          <cell r="F218">
            <v>18.47</v>
          </cell>
          <cell r="G218">
            <v>30.36</v>
          </cell>
          <cell r="H218">
            <v>86.9</v>
          </cell>
          <cell r="I218">
            <v>218.56</v>
          </cell>
          <cell r="J218">
            <v>9.02</v>
          </cell>
          <cell r="K218">
            <v>8.56</v>
          </cell>
          <cell r="L218">
            <v>3.75</v>
          </cell>
          <cell r="M218">
            <v>0.47</v>
          </cell>
          <cell r="N218">
            <v>24.1</v>
          </cell>
          <cell r="O218">
            <v>0.38</v>
          </cell>
          <cell r="P218">
            <v>1.01</v>
          </cell>
          <cell r="Q218">
            <v>11.6</v>
          </cell>
        </row>
        <row r="219">
          <cell r="D219">
            <v>12.3</v>
          </cell>
          <cell r="E219">
            <v>53.95</v>
          </cell>
          <cell r="F219">
            <v>18.61</v>
          </cell>
          <cell r="G219">
            <v>30.78</v>
          </cell>
          <cell r="H219">
            <v>88.25</v>
          </cell>
          <cell r="I219">
            <v>222.23</v>
          </cell>
          <cell r="J219">
            <v>9.1</v>
          </cell>
          <cell r="K219">
            <v>8.64</v>
          </cell>
          <cell r="L219">
            <v>3.75</v>
          </cell>
          <cell r="M219">
            <v>0.47</v>
          </cell>
          <cell r="N219">
            <v>24.34</v>
          </cell>
          <cell r="O219">
            <v>0.38</v>
          </cell>
          <cell r="P219">
            <v>1.01</v>
          </cell>
          <cell r="Q219">
            <v>11.7</v>
          </cell>
        </row>
        <row r="220">
          <cell r="D220">
            <v>12.4</v>
          </cell>
          <cell r="E220">
            <v>54.4</v>
          </cell>
          <cell r="F220">
            <v>18.739999999999998</v>
          </cell>
          <cell r="G220">
            <v>31.2</v>
          </cell>
          <cell r="H220">
            <v>89.6</v>
          </cell>
          <cell r="I220">
            <v>225.96</v>
          </cell>
          <cell r="J220">
            <v>9.18</v>
          </cell>
          <cell r="K220">
            <v>8.7200000000000006</v>
          </cell>
          <cell r="L220">
            <v>3.75</v>
          </cell>
          <cell r="M220">
            <v>0.47</v>
          </cell>
          <cell r="N220">
            <v>24.57</v>
          </cell>
          <cell r="O220">
            <v>0.38</v>
          </cell>
          <cell r="P220">
            <v>1.01</v>
          </cell>
          <cell r="Q220">
            <v>11.8</v>
          </cell>
        </row>
        <row r="221">
          <cell r="D221">
            <v>12.5</v>
          </cell>
          <cell r="E221">
            <v>54.85</v>
          </cell>
          <cell r="F221">
            <v>18.88</v>
          </cell>
          <cell r="G221">
            <v>31.63</v>
          </cell>
          <cell r="H221">
            <v>90.97</v>
          </cell>
          <cell r="I221">
            <v>229.71</v>
          </cell>
          <cell r="J221">
            <v>9.26</v>
          </cell>
          <cell r="K221">
            <v>8.8000000000000007</v>
          </cell>
          <cell r="L221">
            <v>3.75</v>
          </cell>
          <cell r="M221">
            <v>0.47</v>
          </cell>
          <cell r="N221">
            <v>24.81</v>
          </cell>
          <cell r="O221">
            <v>0.38</v>
          </cell>
          <cell r="P221">
            <v>1.01</v>
          </cell>
          <cell r="Q221">
            <v>11.9</v>
          </cell>
        </row>
        <row r="222">
          <cell r="D222">
            <v>12.55</v>
          </cell>
        </row>
        <row r="223">
          <cell r="D223">
            <v>12.6</v>
          </cell>
          <cell r="E223">
            <v>55.3</v>
          </cell>
          <cell r="F223">
            <v>19.010000000000002</v>
          </cell>
          <cell r="G223">
            <v>32.049999999999997</v>
          </cell>
          <cell r="H223">
            <v>92.34</v>
          </cell>
          <cell r="I223">
            <v>233.5</v>
          </cell>
          <cell r="J223">
            <v>9.34</v>
          </cell>
          <cell r="K223">
            <v>8.8800000000000008</v>
          </cell>
          <cell r="L223">
            <v>3.75</v>
          </cell>
          <cell r="M223">
            <v>0.47</v>
          </cell>
          <cell r="N223">
            <v>25.04</v>
          </cell>
          <cell r="O223">
            <v>0.38</v>
          </cell>
          <cell r="P223">
            <v>1.01</v>
          </cell>
          <cell r="Q223">
            <v>12</v>
          </cell>
        </row>
        <row r="224">
          <cell r="D224">
            <v>12.7</v>
          </cell>
          <cell r="E224">
            <v>55.75</v>
          </cell>
          <cell r="F224">
            <v>19.149999999999999</v>
          </cell>
          <cell r="G224">
            <v>32.479999999999997</v>
          </cell>
          <cell r="H224">
            <v>93.73</v>
          </cell>
          <cell r="I224">
            <v>237.32</v>
          </cell>
          <cell r="J224">
            <v>9.42</v>
          </cell>
          <cell r="K224">
            <v>8.9600000000000009</v>
          </cell>
          <cell r="L224">
            <v>3.75</v>
          </cell>
          <cell r="M224">
            <v>0.47</v>
          </cell>
          <cell r="N224">
            <v>25.28</v>
          </cell>
          <cell r="O224">
            <v>0.38</v>
          </cell>
          <cell r="P224">
            <v>1.01</v>
          </cell>
          <cell r="Q224">
            <v>12.1</v>
          </cell>
        </row>
        <row r="225">
          <cell r="D225">
            <v>12.8</v>
          </cell>
          <cell r="E225">
            <v>56.2</v>
          </cell>
          <cell r="F225">
            <v>19.28</v>
          </cell>
          <cell r="G225">
            <v>32.909999999999997</v>
          </cell>
          <cell r="H225">
            <v>95.12</v>
          </cell>
          <cell r="I225">
            <v>241.18</v>
          </cell>
          <cell r="J225">
            <v>9.5</v>
          </cell>
          <cell r="K225">
            <v>9.0399999999999991</v>
          </cell>
          <cell r="L225">
            <v>3.75</v>
          </cell>
          <cell r="M225">
            <v>0.47</v>
          </cell>
          <cell r="N225">
            <v>25.51</v>
          </cell>
          <cell r="O225">
            <v>0.38</v>
          </cell>
          <cell r="P225">
            <v>1.01</v>
          </cell>
          <cell r="Q225">
            <v>12.2</v>
          </cell>
        </row>
        <row r="226">
          <cell r="D226">
            <v>12.9</v>
          </cell>
          <cell r="E226">
            <v>56.65</v>
          </cell>
          <cell r="F226">
            <v>19.420000000000002</v>
          </cell>
          <cell r="G226">
            <v>33.35</v>
          </cell>
          <cell r="H226">
            <v>96.53</v>
          </cell>
          <cell r="I226">
            <v>245.07</v>
          </cell>
          <cell r="J226">
            <v>9.58</v>
          </cell>
          <cell r="K226">
            <v>9.1199999999999992</v>
          </cell>
          <cell r="L226">
            <v>3.75</v>
          </cell>
          <cell r="M226">
            <v>0.47</v>
          </cell>
          <cell r="N226">
            <v>25.75</v>
          </cell>
          <cell r="O226">
            <v>0.38</v>
          </cell>
          <cell r="P226">
            <v>1.01</v>
          </cell>
          <cell r="Q226">
            <v>12.3</v>
          </cell>
        </row>
        <row r="227">
          <cell r="D227">
            <v>13</v>
          </cell>
          <cell r="E227">
            <v>57.1</v>
          </cell>
          <cell r="F227">
            <v>19.55</v>
          </cell>
          <cell r="G227">
            <v>33.78</v>
          </cell>
          <cell r="H227">
            <v>97.94</v>
          </cell>
          <cell r="I227">
            <v>249</v>
          </cell>
          <cell r="J227">
            <v>9.66</v>
          </cell>
          <cell r="K227">
            <v>9.1999999999999993</v>
          </cell>
          <cell r="L227">
            <v>3.75</v>
          </cell>
          <cell r="M227">
            <v>0.47</v>
          </cell>
          <cell r="N227">
            <v>25.98</v>
          </cell>
          <cell r="O227">
            <v>0.38</v>
          </cell>
          <cell r="P227">
            <v>1.01</v>
          </cell>
          <cell r="Q227">
            <v>12.4</v>
          </cell>
        </row>
        <row r="228">
          <cell r="D228">
            <v>13.05</v>
          </cell>
        </row>
        <row r="229">
          <cell r="D229">
            <v>13.1</v>
          </cell>
          <cell r="E229">
            <v>57.55</v>
          </cell>
          <cell r="F229">
            <v>19.690000000000001</v>
          </cell>
          <cell r="G229">
            <v>34.22</v>
          </cell>
          <cell r="H229">
            <v>99.37</v>
          </cell>
          <cell r="I229">
            <v>252.96</v>
          </cell>
          <cell r="J229">
            <v>9.74</v>
          </cell>
          <cell r="K229">
            <v>9.2799999999999994</v>
          </cell>
          <cell r="L229">
            <v>3.75</v>
          </cell>
          <cell r="M229">
            <v>0.47</v>
          </cell>
          <cell r="N229">
            <v>26.22</v>
          </cell>
          <cell r="O229">
            <v>0.38</v>
          </cell>
          <cell r="P229">
            <v>1.01</v>
          </cell>
          <cell r="Q229">
            <v>12.5</v>
          </cell>
        </row>
        <row r="230">
          <cell r="D230">
            <v>13.2</v>
          </cell>
          <cell r="E230">
            <v>58</v>
          </cell>
          <cell r="F230">
            <v>19.82</v>
          </cell>
          <cell r="G230">
            <v>34.659999999999997</v>
          </cell>
          <cell r="H230">
            <v>100.8</v>
          </cell>
          <cell r="I230">
            <v>256.95999999999998</v>
          </cell>
          <cell r="J230">
            <v>9.82</v>
          </cell>
          <cell r="K230">
            <v>9.36</v>
          </cell>
          <cell r="L230">
            <v>3.75</v>
          </cell>
          <cell r="M230">
            <v>0.47</v>
          </cell>
          <cell r="N230">
            <v>26.45</v>
          </cell>
          <cell r="O230">
            <v>0.38</v>
          </cell>
          <cell r="P230">
            <v>1.01</v>
          </cell>
          <cell r="Q230">
            <v>12.6</v>
          </cell>
        </row>
        <row r="231">
          <cell r="D231">
            <v>13.3</v>
          </cell>
          <cell r="E231">
            <v>58.45</v>
          </cell>
          <cell r="F231">
            <v>19.96</v>
          </cell>
          <cell r="G231">
            <v>35.11</v>
          </cell>
          <cell r="H231">
            <v>102.25</v>
          </cell>
          <cell r="I231">
            <v>260.97000000000003</v>
          </cell>
          <cell r="J231">
            <v>9.91</v>
          </cell>
          <cell r="K231">
            <v>9.4499999999999993</v>
          </cell>
          <cell r="L231">
            <v>3.75</v>
          </cell>
          <cell r="M231">
            <v>0.47</v>
          </cell>
          <cell r="N231">
            <v>26.69</v>
          </cell>
          <cell r="O231">
            <v>0.38</v>
          </cell>
          <cell r="P231">
            <v>1.01</v>
          </cell>
          <cell r="Q231">
            <v>12.7</v>
          </cell>
        </row>
        <row r="232">
          <cell r="D232">
            <v>13.4</v>
          </cell>
          <cell r="E232">
            <v>58.9</v>
          </cell>
          <cell r="F232">
            <v>20.09</v>
          </cell>
          <cell r="G232">
            <v>35.549999999999997</v>
          </cell>
          <cell r="H232">
            <v>103.7</v>
          </cell>
          <cell r="I232">
            <v>265.04000000000002</v>
          </cell>
          <cell r="J232">
            <v>9.99</v>
          </cell>
          <cell r="K232">
            <v>9.5299999999999994</v>
          </cell>
          <cell r="L232">
            <v>3.75</v>
          </cell>
          <cell r="M232">
            <v>0.47</v>
          </cell>
          <cell r="N232">
            <v>26.92</v>
          </cell>
          <cell r="O232">
            <v>0.38</v>
          </cell>
          <cell r="P232">
            <v>1.01</v>
          </cell>
          <cell r="Q232">
            <v>12.8</v>
          </cell>
        </row>
        <row r="233">
          <cell r="D233">
            <v>13.5</v>
          </cell>
          <cell r="E233">
            <v>59.35</v>
          </cell>
          <cell r="F233">
            <v>20.23</v>
          </cell>
          <cell r="G233">
            <v>36</v>
          </cell>
          <cell r="H233">
            <v>105.17</v>
          </cell>
          <cell r="I233">
            <v>269.13</v>
          </cell>
          <cell r="J233">
            <v>10.07</v>
          </cell>
          <cell r="K233">
            <v>9.61</v>
          </cell>
          <cell r="L233">
            <v>3.75</v>
          </cell>
          <cell r="M233">
            <v>0.47</v>
          </cell>
          <cell r="N233">
            <v>27.16</v>
          </cell>
          <cell r="O233">
            <v>0.38</v>
          </cell>
          <cell r="P233">
            <v>1.01</v>
          </cell>
          <cell r="Q233">
            <v>12.9</v>
          </cell>
        </row>
        <row r="234">
          <cell r="D234">
            <v>13.55</v>
          </cell>
        </row>
        <row r="235">
          <cell r="D235">
            <v>13.6</v>
          </cell>
          <cell r="E235">
            <v>59.8</v>
          </cell>
          <cell r="F235">
            <v>20.36</v>
          </cell>
          <cell r="G235">
            <v>36.450000000000003</v>
          </cell>
          <cell r="H235">
            <v>106.64</v>
          </cell>
          <cell r="I235">
            <v>273.27999999999997</v>
          </cell>
          <cell r="J235">
            <v>10.15</v>
          </cell>
          <cell r="K235">
            <v>9.69</v>
          </cell>
          <cell r="L235">
            <v>3.75</v>
          </cell>
          <cell r="M235">
            <v>0.47</v>
          </cell>
          <cell r="N235">
            <v>27.39</v>
          </cell>
          <cell r="O235">
            <v>0.38</v>
          </cell>
          <cell r="P235">
            <v>1.01</v>
          </cell>
          <cell r="Q235">
            <v>13</v>
          </cell>
        </row>
        <row r="236">
          <cell r="D236">
            <v>13.7</v>
          </cell>
          <cell r="E236">
            <v>60.25</v>
          </cell>
          <cell r="F236">
            <v>20.5</v>
          </cell>
          <cell r="G236">
            <v>36.909999999999997</v>
          </cell>
          <cell r="H236">
            <v>108.13</v>
          </cell>
          <cell r="I236">
            <v>277.45</v>
          </cell>
          <cell r="J236">
            <v>10.23</v>
          </cell>
          <cell r="K236">
            <v>9.77</v>
          </cell>
          <cell r="L236">
            <v>3.75</v>
          </cell>
          <cell r="M236">
            <v>0.47</v>
          </cell>
          <cell r="N236">
            <v>27.63</v>
          </cell>
          <cell r="O236">
            <v>0.38</v>
          </cell>
          <cell r="P236">
            <v>1.01</v>
          </cell>
          <cell r="Q236">
            <v>13.1</v>
          </cell>
        </row>
        <row r="237">
          <cell r="D237">
            <v>13.8</v>
          </cell>
          <cell r="E237">
            <v>60.7</v>
          </cell>
          <cell r="F237">
            <v>20.63</v>
          </cell>
          <cell r="G237">
            <v>37.36</v>
          </cell>
          <cell r="H237">
            <v>109.62</v>
          </cell>
          <cell r="I237">
            <v>281.66000000000003</v>
          </cell>
          <cell r="J237">
            <v>10.31</v>
          </cell>
          <cell r="K237">
            <v>9.85</v>
          </cell>
          <cell r="L237">
            <v>3.75</v>
          </cell>
          <cell r="M237">
            <v>0.47</v>
          </cell>
          <cell r="N237">
            <v>27.86</v>
          </cell>
          <cell r="O237">
            <v>0.38</v>
          </cell>
          <cell r="P237">
            <v>1.01</v>
          </cell>
          <cell r="Q237">
            <v>13.2</v>
          </cell>
        </row>
        <row r="238">
          <cell r="D238">
            <v>13.9</v>
          </cell>
          <cell r="E238">
            <v>61.15</v>
          </cell>
          <cell r="F238">
            <v>20.77</v>
          </cell>
          <cell r="G238">
            <v>37.82</v>
          </cell>
          <cell r="H238">
            <v>111.13</v>
          </cell>
          <cell r="I238">
            <v>285.89999999999998</v>
          </cell>
          <cell r="J238">
            <v>10.39</v>
          </cell>
          <cell r="K238">
            <v>9.93</v>
          </cell>
          <cell r="L238">
            <v>3.75</v>
          </cell>
          <cell r="M238">
            <v>0.47</v>
          </cell>
          <cell r="N238">
            <v>28.1</v>
          </cell>
          <cell r="O238">
            <v>0.38</v>
          </cell>
          <cell r="P238">
            <v>1.01</v>
          </cell>
          <cell r="Q238">
            <v>13.3</v>
          </cell>
        </row>
        <row r="239">
          <cell r="D239">
            <v>14</v>
          </cell>
          <cell r="E239">
            <v>61.6</v>
          </cell>
          <cell r="F239">
            <v>20.9</v>
          </cell>
          <cell r="G239">
            <v>38.28</v>
          </cell>
          <cell r="H239">
            <v>112.64</v>
          </cell>
          <cell r="I239">
            <v>290.18</v>
          </cell>
          <cell r="J239">
            <v>10.47</v>
          </cell>
          <cell r="K239">
            <v>10.01</v>
          </cell>
          <cell r="L239">
            <v>3.75</v>
          </cell>
          <cell r="M239">
            <v>0.47</v>
          </cell>
          <cell r="N239">
            <v>28.33</v>
          </cell>
          <cell r="O239">
            <v>0.38</v>
          </cell>
          <cell r="P239">
            <v>1.01</v>
          </cell>
          <cell r="Q239">
            <v>13.4</v>
          </cell>
        </row>
        <row r="240">
          <cell r="D240">
            <v>14.05</v>
          </cell>
        </row>
        <row r="241">
          <cell r="D241">
            <v>14.1</v>
          </cell>
          <cell r="E241">
            <v>62.05</v>
          </cell>
          <cell r="F241">
            <v>21.04</v>
          </cell>
          <cell r="G241">
            <v>38.75</v>
          </cell>
          <cell r="H241">
            <v>114.17</v>
          </cell>
          <cell r="I241">
            <v>294.56</v>
          </cell>
          <cell r="J241">
            <v>10.55</v>
          </cell>
          <cell r="K241">
            <v>10.09</v>
          </cell>
          <cell r="L241">
            <v>3.75</v>
          </cell>
          <cell r="M241">
            <v>0.47</v>
          </cell>
          <cell r="N241">
            <v>28.57</v>
          </cell>
          <cell r="O241">
            <v>0.38</v>
          </cell>
          <cell r="P241">
            <v>1.01</v>
          </cell>
          <cell r="Q241">
            <v>13.5</v>
          </cell>
        </row>
        <row r="242">
          <cell r="D242">
            <v>14.2</v>
          </cell>
          <cell r="E242">
            <v>62.3</v>
          </cell>
          <cell r="F242">
            <v>21.17</v>
          </cell>
          <cell r="G242">
            <v>39.21</v>
          </cell>
          <cell r="H242">
            <v>115.7</v>
          </cell>
          <cell r="I242">
            <v>298.83999999999997</v>
          </cell>
          <cell r="J242">
            <v>10.63</v>
          </cell>
          <cell r="K242">
            <v>10.17</v>
          </cell>
          <cell r="L242">
            <v>3.75</v>
          </cell>
          <cell r="M242">
            <v>0.47</v>
          </cell>
          <cell r="N242">
            <v>28.8</v>
          </cell>
          <cell r="O242">
            <v>0.38</v>
          </cell>
          <cell r="P242">
            <v>1.01</v>
          </cell>
          <cell r="Q242">
            <v>13.6</v>
          </cell>
        </row>
        <row r="243">
          <cell r="D243">
            <v>14.3</v>
          </cell>
          <cell r="E243">
            <v>62.95</v>
          </cell>
          <cell r="F243">
            <v>21.31</v>
          </cell>
          <cell r="G243">
            <v>39.68</v>
          </cell>
          <cell r="H243">
            <v>117.25</v>
          </cell>
          <cell r="I243">
            <v>303.22000000000003</v>
          </cell>
          <cell r="J243">
            <v>10.71</v>
          </cell>
          <cell r="K243">
            <v>10.25</v>
          </cell>
          <cell r="L243">
            <v>3.75</v>
          </cell>
          <cell r="M243">
            <v>0.47</v>
          </cell>
          <cell r="N243">
            <v>29.04</v>
          </cell>
          <cell r="O243">
            <v>0.38</v>
          </cell>
          <cell r="P243">
            <v>1.01</v>
          </cell>
          <cell r="Q243">
            <v>13.7</v>
          </cell>
        </row>
        <row r="244">
          <cell r="D244">
            <v>14.4</v>
          </cell>
          <cell r="E244">
            <v>63.4</v>
          </cell>
          <cell r="F244">
            <v>21.44</v>
          </cell>
          <cell r="G244">
            <v>40.15</v>
          </cell>
          <cell r="H244">
            <v>118.8</v>
          </cell>
          <cell r="I244">
            <v>307.64</v>
          </cell>
          <cell r="J244">
            <v>10.79</v>
          </cell>
          <cell r="K244">
            <v>10.33</v>
          </cell>
          <cell r="L244">
            <v>3.75</v>
          </cell>
          <cell r="M244">
            <v>0.47</v>
          </cell>
          <cell r="N244">
            <v>29.27</v>
          </cell>
          <cell r="O244">
            <v>0.38</v>
          </cell>
          <cell r="P244">
            <v>1.01</v>
          </cell>
          <cell r="Q244">
            <v>13.8</v>
          </cell>
        </row>
        <row r="245">
          <cell r="D245">
            <v>14.5</v>
          </cell>
          <cell r="E245">
            <v>63.85</v>
          </cell>
          <cell r="F245">
            <v>21.58</v>
          </cell>
          <cell r="G245">
            <v>40.630000000000003</v>
          </cell>
          <cell r="H245">
            <v>120.37</v>
          </cell>
          <cell r="I245">
            <v>312.08999999999997</v>
          </cell>
          <cell r="J245">
            <v>10.87</v>
          </cell>
          <cell r="K245">
            <v>10.41</v>
          </cell>
          <cell r="L245">
            <v>3.75</v>
          </cell>
          <cell r="M245">
            <v>0.47</v>
          </cell>
          <cell r="N245">
            <v>29.51</v>
          </cell>
          <cell r="O245">
            <v>0.38</v>
          </cell>
          <cell r="P245">
            <v>1.01</v>
          </cell>
          <cell r="Q245">
            <v>13.9</v>
          </cell>
        </row>
        <row r="246">
          <cell r="D246">
            <v>14.55</v>
          </cell>
        </row>
        <row r="247">
          <cell r="D247">
            <v>14.6</v>
          </cell>
          <cell r="E247">
            <v>64.3</v>
          </cell>
          <cell r="F247">
            <v>21.71</v>
          </cell>
          <cell r="G247">
            <v>41.1</v>
          </cell>
          <cell r="H247">
            <v>121.94</v>
          </cell>
          <cell r="I247">
            <v>316.56</v>
          </cell>
          <cell r="J247">
            <v>10.96</v>
          </cell>
          <cell r="K247">
            <v>10.5</v>
          </cell>
          <cell r="L247">
            <v>3.75</v>
          </cell>
          <cell r="M247">
            <v>0.47</v>
          </cell>
          <cell r="N247">
            <v>29.74</v>
          </cell>
          <cell r="O247">
            <v>0.38</v>
          </cell>
          <cell r="P247">
            <v>1.01</v>
          </cell>
          <cell r="Q247">
            <v>4</v>
          </cell>
        </row>
        <row r="248">
          <cell r="D248">
            <v>14.7</v>
          </cell>
          <cell r="E248">
            <v>64.75</v>
          </cell>
          <cell r="F248">
            <v>21.85</v>
          </cell>
          <cell r="G248">
            <v>41.58</v>
          </cell>
          <cell r="H248">
            <v>123.53</v>
          </cell>
          <cell r="I248">
            <v>321.08</v>
          </cell>
          <cell r="J248">
            <v>11.04</v>
          </cell>
          <cell r="K248">
            <v>10.58</v>
          </cell>
          <cell r="L248">
            <v>3.75</v>
          </cell>
          <cell r="M248">
            <v>0.47</v>
          </cell>
          <cell r="N248">
            <v>29.98</v>
          </cell>
          <cell r="O248">
            <v>0.38</v>
          </cell>
          <cell r="P248">
            <v>1.01</v>
          </cell>
          <cell r="Q248">
            <v>14.1</v>
          </cell>
        </row>
        <row r="249">
          <cell r="D249">
            <v>14.8</v>
          </cell>
          <cell r="E249">
            <v>65.2</v>
          </cell>
          <cell r="F249">
            <v>21.9</v>
          </cell>
          <cell r="G249">
            <v>42.06</v>
          </cell>
          <cell r="H249">
            <v>125.12</v>
          </cell>
          <cell r="I249">
            <v>325.64</v>
          </cell>
          <cell r="J249">
            <v>11.12</v>
          </cell>
          <cell r="K249">
            <v>10.66</v>
          </cell>
          <cell r="L249">
            <v>3.75</v>
          </cell>
          <cell r="M249">
            <v>0.47</v>
          </cell>
          <cell r="N249">
            <v>30.21</v>
          </cell>
          <cell r="O249">
            <v>0.38</v>
          </cell>
          <cell r="P249">
            <v>1.01</v>
          </cell>
          <cell r="Q249">
            <v>14.2</v>
          </cell>
        </row>
        <row r="250">
          <cell r="D250">
            <v>14.9</v>
          </cell>
          <cell r="E250">
            <v>65.650000000000006</v>
          </cell>
          <cell r="F250">
            <v>22.12</v>
          </cell>
          <cell r="G250">
            <v>42.55</v>
          </cell>
          <cell r="H250">
            <v>126.73</v>
          </cell>
          <cell r="I250">
            <v>330.22</v>
          </cell>
          <cell r="J250">
            <v>11.2</v>
          </cell>
          <cell r="K250">
            <v>10.74</v>
          </cell>
          <cell r="L250">
            <v>3.75</v>
          </cell>
          <cell r="M250">
            <v>0.47</v>
          </cell>
          <cell r="N250">
            <v>30.45</v>
          </cell>
          <cell r="O250">
            <v>0.38</v>
          </cell>
          <cell r="P250">
            <v>1.01</v>
          </cell>
          <cell r="Q250">
            <v>143</v>
          </cell>
        </row>
        <row r="251">
          <cell r="D251">
            <v>15</v>
          </cell>
          <cell r="E251">
            <v>66.099999999999994</v>
          </cell>
          <cell r="F251">
            <v>22.25</v>
          </cell>
          <cell r="G251">
            <v>43.03</v>
          </cell>
          <cell r="H251">
            <v>128.34</v>
          </cell>
          <cell r="I251">
            <v>334.86</v>
          </cell>
          <cell r="J251">
            <v>11.28</v>
          </cell>
          <cell r="K251">
            <v>10.82</v>
          </cell>
          <cell r="L251">
            <v>3.75</v>
          </cell>
          <cell r="M251">
            <v>0.47</v>
          </cell>
          <cell r="N251">
            <v>30.68</v>
          </cell>
          <cell r="O251">
            <v>0.38</v>
          </cell>
          <cell r="P251">
            <v>1.01</v>
          </cell>
          <cell r="Q251">
            <v>14.4</v>
          </cell>
        </row>
        <row r="252">
          <cell r="D252">
            <v>15.1</v>
          </cell>
          <cell r="E252">
            <v>66.55</v>
          </cell>
          <cell r="F252">
            <v>22.39</v>
          </cell>
          <cell r="G252">
            <v>43.52</v>
          </cell>
          <cell r="H252">
            <v>129.97</v>
          </cell>
          <cell r="I252">
            <v>339.52</v>
          </cell>
          <cell r="J252">
            <v>11.36</v>
          </cell>
          <cell r="K252">
            <v>10.9</v>
          </cell>
          <cell r="L252">
            <v>3.75</v>
          </cell>
          <cell r="M252">
            <v>0.47</v>
          </cell>
          <cell r="N252">
            <v>30.92</v>
          </cell>
          <cell r="O252">
            <v>0.38</v>
          </cell>
          <cell r="P252">
            <v>1.01</v>
          </cell>
          <cell r="Q252">
            <v>14.5</v>
          </cell>
        </row>
        <row r="253">
          <cell r="D253">
            <v>15.2</v>
          </cell>
          <cell r="E253">
            <v>67</v>
          </cell>
          <cell r="F253">
            <v>22.52</v>
          </cell>
          <cell r="G253">
            <v>44.01</v>
          </cell>
          <cell r="H253">
            <v>131.6</v>
          </cell>
          <cell r="I253">
            <v>344.22</v>
          </cell>
          <cell r="J253">
            <v>11.44</v>
          </cell>
          <cell r="K253">
            <v>10.98</v>
          </cell>
          <cell r="L253">
            <v>3.75</v>
          </cell>
          <cell r="M253">
            <v>0.47</v>
          </cell>
          <cell r="N253">
            <v>31.15</v>
          </cell>
          <cell r="O253">
            <v>0.38</v>
          </cell>
          <cell r="P253">
            <v>1.01</v>
          </cell>
          <cell r="Q253">
            <v>14.6</v>
          </cell>
        </row>
        <row r="254">
          <cell r="D254">
            <v>15.3</v>
          </cell>
          <cell r="E254">
            <v>67.45</v>
          </cell>
          <cell r="F254">
            <v>22.66</v>
          </cell>
          <cell r="G254">
            <v>44.51</v>
          </cell>
          <cell r="H254">
            <v>133.25</v>
          </cell>
          <cell r="I254">
            <v>348.95</v>
          </cell>
          <cell r="J254">
            <v>11.52</v>
          </cell>
          <cell r="K254">
            <v>11.06</v>
          </cell>
          <cell r="L254">
            <v>3.75</v>
          </cell>
          <cell r="M254">
            <v>0.47</v>
          </cell>
          <cell r="N254">
            <v>31.39</v>
          </cell>
          <cell r="O254">
            <v>0.38</v>
          </cell>
          <cell r="P254">
            <v>1.01</v>
          </cell>
          <cell r="Q254">
            <v>14.7</v>
          </cell>
        </row>
        <row r="255">
          <cell r="D255">
            <v>15.4</v>
          </cell>
          <cell r="E255">
            <v>67.900000000000006</v>
          </cell>
          <cell r="F255">
            <v>22.79</v>
          </cell>
          <cell r="G255">
            <v>45</v>
          </cell>
          <cell r="H255">
            <v>134.9</v>
          </cell>
          <cell r="I255">
            <v>353.72</v>
          </cell>
          <cell r="J255">
            <v>11.6</v>
          </cell>
          <cell r="K255">
            <v>11.14</v>
          </cell>
          <cell r="L255">
            <v>3.75</v>
          </cell>
          <cell r="M255">
            <v>0.47</v>
          </cell>
          <cell r="N255">
            <v>31.62</v>
          </cell>
          <cell r="O255">
            <v>0.38</v>
          </cell>
          <cell r="P255">
            <v>1.01</v>
          </cell>
          <cell r="Q255">
            <v>14.8</v>
          </cell>
        </row>
        <row r="256">
          <cell r="D256">
            <v>15.5</v>
          </cell>
          <cell r="E256">
            <v>68.349999999999994</v>
          </cell>
          <cell r="F256">
            <v>22.93</v>
          </cell>
          <cell r="G256">
            <v>45.5</v>
          </cell>
          <cell r="H256">
            <v>136.57</v>
          </cell>
          <cell r="I256">
            <v>358.52</v>
          </cell>
          <cell r="J256">
            <v>11.68</v>
          </cell>
          <cell r="K256">
            <v>11.22</v>
          </cell>
          <cell r="L256">
            <v>3.75</v>
          </cell>
          <cell r="M256">
            <v>0.47</v>
          </cell>
          <cell r="N256">
            <v>31.86</v>
          </cell>
          <cell r="O256">
            <v>0.38</v>
          </cell>
          <cell r="P256">
            <v>1.01</v>
          </cell>
          <cell r="Q256">
            <v>14.9</v>
          </cell>
        </row>
        <row r="257">
          <cell r="D257">
            <v>15.55</v>
          </cell>
        </row>
        <row r="258">
          <cell r="D258">
            <v>15.6</v>
          </cell>
          <cell r="E258">
            <v>68.8</v>
          </cell>
          <cell r="F258">
            <v>23.06</v>
          </cell>
          <cell r="G258">
            <v>46</v>
          </cell>
          <cell r="H258">
            <v>138.34</v>
          </cell>
          <cell r="I258">
            <v>363.26</v>
          </cell>
          <cell r="J258">
            <v>11.76</v>
          </cell>
          <cell r="K258">
            <v>11.3</v>
          </cell>
          <cell r="L258">
            <v>3.75</v>
          </cell>
          <cell r="M258">
            <v>0.47</v>
          </cell>
          <cell r="N258">
            <v>32.090000000000003</v>
          </cell>
          <cell r="O258">
            <v>0.38</v>
          </cell>
          <cell r="P258">
            <v>1.01</v>
          </cell>
          <cell r="Q258">
            <v>15</v>
          </cell>
        </row>
        <row r="259">
          <cell r="D259">
            <v>15.7</v>
          </cell>
          <cell r="E259">
            <v>69.25</v>
          </cell>
          <cell r="F259">
            <v>23.2</v>
          </cell>
          <cell r="G259">
            <v>46.51</v>
          </cell>
          <cell r="H259">
            <v>139.93</v>
          </cell>
          <cell r="I259">
            <v>368.23</v>
          </cell>
          <cell r="J259">
            <v>11.84</v>
          </cell>
          <cell r="K259">
            <v>11.38</v>
          </cell>
          <cell r="L259">
            <v>3.75</v>
          </cell>
          <cell r="M259">
            <v>0.47</v>
          </cell>
          <cell r="N259">
            <v>32.33</v>
          </cell>
          <cell r="O259">
            <v>0.38</v>
          </cell>
          <cell r="P259">
            <v>1.01</v>
          </cell>
          <cell r="Q259">
            <v>15.1</v>
          </cell>
        </row>
        <row r="260">
          <cell r="D260">
            <v>15.8</v>
          </cell>
          <cell r="E260">
            <v>69.7</v>
          </cell>
          <cell r="F260">
            <v>23.33</v>
          </cell>
          <cell r="G260">
            <v>47.01</v>
          </cell>
          <cell r="H260">
            <v>141.62</v>
          </cell>
          <cell r="I260">
            <v>373.14</v>
          </cell>
          <cell r="J260">
            <v>11.92</v>
          </cell>
          <cell r="K260">
            <v>11.46</v>
          </cell>
          <cell r="L260">
            <v>3.75</v>
          </cell>
          <cell r="M260">
            <v>0.47</v>
          </cell>
          <cell r="N260">
            <v>32.56</v>
          </cell>
          <cell r="O260">
            <v>0.38</v>
          </cell>
          <cell r="P260">
            <v>1.01</v>
          </cell>
          <cell r="Q260">
            <v>15.2</v>
          </cell>
        </row>
        <row r="261">
          <cell r="D261">
            <v>15.9</v>
          </cell>
          <cell r="E261">
            <v>70.150000000000006</v>
          </cell>
          <cell r="F261">
            <v>23.47</v>
          </cell>
          <cell r="G261">
            <v>47.52</v>
          </cell>
          <cell r="H261">
            <v>143.33000000000001</v>
          </cell>
          <cell r="I261">
            <v>378.05</v>
          </cell>
          <cell r="J261">
            <v>12.01</v>
          </cell>
          <cell r="K261">
            <v>11.55</v>
          </cell>
          <cell r="L261">
            <v>3.75</v>
          </cell>
          <cell r="M261">
            <v>0.47</v>
          </cell>
          <cell r="N261">
            <v>32.799999999999997</v>
          </cell>
          <cell r="O261">
            <v>0.38</v>
          </cell>
          <cell r="P261">
            <v>1.01</v>
          </cell>
          <cell r="Q261">
            <v>15.3</v>
          </cell>
        </row>
        <row r="262">
          <cell r="D262">
            <v>16</v>
          </cell>
          <cell r="E262">
            <v>70.599999999999994</v>
          </cell>
          <cell r="F262">
            <v>23.6</v>
          </cell>
          <cell r="G262">
            <v>48.03</v>
          </cell>
          <cell r="H262">
            <v>145.04</v>
          </cell>
          <cell r="I262">
            <v>383.03</v>
          </cell>
          <cell r="J262">
            <v>12.09</v>
          </cell>
          <cell r="K262">
            <v>11.63</v>
          </cell>
          <cell r="L262">
            <v>3.75</v>
          </cell>
          <cell r="M262">
            <v>0.47</v>
          </cell>
          <cell r="N262">
            <v>33.03</v>
          </cell>
          <cell r="O262">
            <v>0.38</v>
          </cell>
          <cell r="P262">
            <v>1.01</v>
          </cell>
          <cell r="Q262">
            <v>15.4</v>
          </cell>
        </row>
        <row r="323">
          <cell r="W323">
            <v>0.5</v>
          </cell>
          <cell r="X323">
            <v>0.5</v>
          </cell>
          <cell r="Y323">
            <v>52.07</v>
          </cell>
          <cell r="Z323">
            <v>18.72</v>
          </cell>
          <cell r="AA323">
            <v>8.65</v>
          </cell>
          <cell r="AB323">
            <v>17.41</v>
          </cell>
          <cell r="AC323">
            <v>1.86</v>
          </cell>
          <cell r="AD323">
            <v>1.78</v>
          </cell>
          <cell r="AE323">
            <v>0.04</v>
          </cell>
          <cell r="AF323">
            <v>13.75</v>
          </cell>
          <cell r="AG323">
            <v>5.4</v>
          </cell>
          <cell r="AH323">
            <v>0.68</v>
          </cell>
        </row>
        <row r="324">
          <cell r="W324">
            <v>2.8</v>
          </cell>
          <cell r="X324">
            <v>2.8</v>
          </cell>
          <cell r="Y324">
            <v>52.07</v>
          </cell>
          <cell r="Z324">
            <v>18.72</v>
          </cell>
          <cell r="AA324">
            <v>8.65</v>
          </cell>
          <cell r="AB324">
            <v>17.41</v>
          </cell>
          <cell r="AC324">
            <v>1.86</v>
          </cell>
          <cell r="AD324">
            <v>1.78</v>
          </cell>
          <cell r="AE324">
            <v>0.04</v>
          </cell>
          <cell r="AF324">
            <v>13.75</v>
          </cell>
          <cell r="AG324">
            <v>5.4</v>
          </cell>
          <cell r="AH324">
            <v>0.68</v>
          </cell>
        </row>
        <row r="325">
          <cell r="W325">
            <v>3</v>
          </cell>
          <cell r="X325">
            <v>3</v>
          </cell>
          <cell r="Y325">
            <v>54.63</v>
          </cell>
          <cell r="Z325">
            <v>19.47</v>
          </cell>
          <cell r="AA325">
            <v>8.86</v>
          </cell>
          <cell r="AB325">
            <v>18.399999999999999</v>
          </cell>
          <cell r="AC325">
            <v>2.42</v>
          </cell>
          <cell r="AD325">
            <v>3.28</v>
          </cell>
          <cell r="AE325">
            <v>1.05</v>
          </cell>
          <cell r="AF325">
            <v>15</v>
          </cell>
          <cell r="AG325">
            <v>6</v>
          </cell>
          <cell r="AH325">
            <v>0.68</v>
          </cell>
        </row>
        <row r="326">
          <cell r="W326">
            <v>3.2</v>
          </cell>
          <cell r="X326">
            <v>3.2</v>
          </cell>
          <cell r="Y326">
            <v>58.13</v>
          </cell>
          <cell r="Z326">
            <v>21.27</v>
          </cell>
          <cell r="AA326">
            <v>9.27</v>
          </cell>
          <cell r="AB326">
            <v>20.05</v>
          </cell>
          <cell r="AC326">
            <v>3.76</v>
          </cell>
          <cell r="AD326">
            <v>4.03</v>
          </cell>
          <cell r="AE326">
            <v>1.46</v>
          </cell>
          <cell r="AF326">
            <v>16.25</v>
          </cell>
          <cell r="AG326">
            <v>6.61</v>
          </cell>
          <cell r="AH326">
            <v>0.68</v>
          </cell>
        </row>
        <row r="327">
          <cell r="W327">
            <v>3.4</v>
          </cell>
          <cell r="X327">
            <v>3.4</v>
          </cell>
          <cell r="Y327">
            <v>59.33</v>
          </cell>
          <cell r="Z327">
            <v>21.65</v>
          </cell>
          <cell r="AA327">
            <v>9.69</v>
          </cell>
          <cell r="AB327">
            <v>21.84</v>
          </cell>
          <cell r="AC327">
            <v>5.32</v>
          </cell>
          <cell r="AD327">
            <v>4.84</v>
          </cell>
          <cell r="AE327">
            <v>1.94</v>
          </cell>
          <cell r="AF327">
            <v>16.25</v>
          </cell>
          <cell r="AG327">
            <v>6.61</v>
          </cell>
          <cell r="AH327">
            <v>0.68</v>
          </cell>
        </row>
        <row r="328">
          <cell r="W328">
            <v>3.6</v>
          </cell>
          <cell r="X328">
            <v>3.6</v>
          </cell>
          <cell r="Y328">
            <v>63.17</v>
          </cell>
          <cell r="Z328">
            <v>22.57</v>
          </cell>
          <cell r="AA328">
            <v>10.11</v>
          </cell>
          <cell r="AB328">
            <v>23.08</v>
          </cell>
          <cell r="AC328">
            <v>7.31</v>
          </cell>
          <cell r="AD328">
            <v>5.73</v>
          </cell>
          <cell r="AE328">
            <v>2.4900000000000002</v>
          </cell>
          <cell r="AF328">
            <v>17.5</v>
          </cell>
          <cell r="AG328">
            <v>7.22</v>
          </cell>
          <cell r="AH328">
            <v>0.68</v>
          </cell>
        </row>
        <row r="329">
          <cell r="W329">
            <v>3.8</v>
          </cell>
          <cell r="X329">
            <v>3.8</v>
          </cell>
          <cell r="Y329">
            <v>67.42</v>
          </cell>
          <cell r="Z329">
            <v>24.49</v>
          </cell>
          <cell r="AA329">
            <v>10.62</v>
          </cell>
          <cell r="AB329">
            <v>26.11</v>
          </cell>
          <cell r="AC329">
            <v>9.7100000000000009</v>
          </cell>
          <cell r="AD329">
            <v>6.77</v>
          </cell>
          <cell r="AE329">
            <v>3.18</v>
          </cell>
          <cell r="AF329">
            <v>18.75</v>
          </cell>
          <cell r="AG329">
            <v>7.39</v>
          </cell>
          <cell r="AH329">
            <v>0.68</v>
          </cell>
        </row>
        <row r="330">
          <cell r="W330">
            <v>4</v>
          </cell>
          <cell r="X330">
            <v>4</v>
          </cell>
          <cell r="Y330">
            <v>67.540000000000006</v>
          </cell>
          <cell r="Z330">
            <v>24.98</v>
          </cell>
          <cell r="AA330">
            <v>11.16</v>
          </cell>
          <cell r="AB330">
            <v>29.62</v>
          </cell>
          <cell r="AC330">
            <v>12.08</v>
          </cell>
          <cell r="AD330">
            <v>7.69</v>
          </cell>
          <cell r="AE330">
            <v>3.79</v>
          </cell>
          <cell r="AF330">
            <v>18.75</v>
          </cell>
          <cell r="AG330">
            <v>7.39</v>
          </cell>
          <cell r="AH330">
            <v>0.68</v>
          </cell>
        </row>
        <row r="331">
          <cell r="W331">
            <v>4.2</v>
          </cell>
          <cell r="X331">
            <v>4.2</v>
          </cell>
          <cell r="Y331">
            <v>75.36</v>
          </cell>
          <cell r="Z331">
            <v>25.91</v>
          </cell>
          <cell r="AA331">
            <v>11.72</v>
          </cell>
          <cell r="AB331">
            <v>29.93</v>
          </cell>
          <cell r="AC331">
            <v>15.66</v>
          </cell>
          <cell r="AD331">
            <v>8.7799999999999994</v>
          </cell>
          <cell r="AE331">
            <v>4.54</v>
          </cell>
          <cell r="AF331">
            <v>20</v>
          </cell>
          <cell r="AG331">
            <v>8</v>
          </cell>
          <cell r="AH331">
            <v>0.68</v>
          </cell>
        </row>
        <row r="332">
          <cell r="W332">
            <v>4.4000000000000004</v>
          </cell>
          <cell r="X332">
            <v>4.4000000000000004</v>
          </cell>
          <cell r="Y332">
            <v>75.42</v>
          </cell>
          <cell r="Z332">
            <v>28</v>
          </cell>
          <cell r="AA332">
            <v>12.3</v>
          </cell>
          <cell r="AB332">
            <v>34.35</v>
          </cell>
          <cell r="AC332">
            <v>19.46</v>
          </cell>
          <cell r="AD332">
            <v>9.98</v>
          </cell>
          <cell r="AE332">
            <v>5.36</v>
          </cell>
          <cell r="AF332">
            <v>21.25</v>
          </cell>
          <cell r="AG332">
            <v>8.61</v>
          </cell>
          <cell r="AH332">
            <v>0.68</v>
          </cell>
        </row>
        <row r="333">
          <cell r="W333">
            <v>4.5999999999999996</v>
          </cell>
          <cell r="X333">
            <v>4.5999999999999996</v>
          </cell>
          <cell r="Y333">
            <v>77.209999999999994</v>
          </cell>
          <cell r="Z333">
            <v>28.57</v>
          </cell>
          <cell r="AA333">
            <v>12.91</v>
          </cell>
          <cell r="AB333">
            <v>37.57</v>
          </cell>
          <cell r="AC333">
            <v>24.38</v>
          </cell>
          <cell r="AD333">
            <v>11.15</v>
          </cell>
          <cell r="AE333">
            <v>6.24</v>
          </cell>
          <cell r="AF333">
            <v>21.25</v>
          </cell>
          <cell r="AG333">
            <v>8.61</v>
          </cell>
          <cell r="AH333">
            <v>0.68</v>
          </cell>
        </row>
        <row r="334">
          <cell r="W334">
            <v>4.8</v>
          </cell>
          <cell r="X334">
            <v>4.8</v>
          </cell>
          <cell r="Y334">
            <v>80.95</v>
          </cell>
          <cell r="Z334">
            <v>29.69</v>
          </cell>
          <cell r="AA334">
            <v>13.53</v>
          </cell>
          <cell r="AB334">
            <v>41</v>
          </cell>
          <cell r="AC334">
            <v>28.63</v>
          </cell>
          <cell r="AD334">
            <v>12.44</v>
          </cell>
          <cell r="AE334">
            <v>7.95</v>
          </cell>
          <cell r="AF334">
            <v>22.5</v>
          </cell>
          <cell r="AG334">
            <v>8.7799999999999994</v>
          </cell>
          <cell r="AH334">
            <v>0.68</v>
          </cell>
        </row>
        <row r="335">
          <cell r="W335">
            <v>5</v>
          </cell>
          <cell r="X335">
            <v>5</v>
          </cell>
          <cell r="Y335">
            <v>84.78</v>
          </cell>
          <cell r="Z335">
            <v>30.3</v>
          </cell>
          <cell r="AA335">
            <v>14.18</v>
          </cell>
          <cell r="AB335">
            <v>45.52</v>
          </cell>
          <cell r="AC335">
            <v>35.11</v>
          </cell>
          <cell r="AD335">
            <v>14.8</v>
          </cell>
          <cell r="AE335">
            <v>8.2200000000000006</v>
          </cell>
          <cell r="AF335">
            <v>23.75</v>
          </cell>
          <cell r="AG335">
            <v>8.7799999999999994</v>
          </cell>
          <cell r="AH335">
            <v>0.68</v>
          </cell>
        </row>
        <row r="336">
          <cell r="W336">
            <v>5.2</v>
          </cell>
          <cell r="X336">
            <v>5.2</v>
          </cell>
          <cell r="Y336">
            <v>86.78</v>
          </cell>
          <cell r="Z336">
            <v>31.47</v>
          </cell>
          <cell r="AA336">
            <v>14.86</v>
          </cell>
          <cell r="AB336">
            <v>48.63</v>
          </cell>
          <cell r="AC336">
            <v>42.22</v>
          </cell>
          <cell r="AD336">
            <v>15.22</v>
          </cell>
          <cell r="AE336">
            <v>9.31</v>
          </cell>
          <cell r="AF336">
            <v>23.75</v>
          </cell>
          <cell r="AG336">
            <v>9.39</v>
          </cell>
          <cell r="AH336">
            <v>0.68</v>
          </cell>
        </row>
        <row r="337">
          <cell r="W337">
            <v>5.4</v>
          </cell>
          <cell r="X337">
            <v>5.4</v>
          </cell>
          <cell r="Y337">
            <v>91.2</v>
          </cell>
          <cell r="Z337">
            <v>33.57</v>
          </cell>
          <cell r="AA337">
            <v>15.55</v>
          </cell>
          <cell r="AB337">
            <v>52.62</v>
          </cell>
          <cell r="AC337">
            <v>48.66</v>
          </cell>
          <cell r="AD337">
            <v>16.71</v>
          </cell>
          <cell r="AE337">
            <v>10.46</v>
          </cell>
          <cell r="AF337">
            <v>25</v>
          </cell>
          <cell r="AG337">
            <v>10</v>
          </cell>
          <cell r="AH337">
            <v>0.68</v>
          </cell>
        </row>
        <row r="338">
          <cell r="W338">
            <v>5.6</v>
          </cell>
          <cell r="X338">
            <v>5.6</v>
          </cell>
          <cell r="Y338">
            <v>93.34</v>
          </cell>
          <cell r="Z338">
            <v>34.25</v>
          </cell>
          <cell r="AA338">
            <v>16.28</v>
          </cell>
          <cell r="AB338">
            <v>57.32</v>
          </cell>
          <cell r="AC338">
            <v>56.44</v>
          </cell>
          <cell r="AD338">
            <v>18.260000000000002</v>
          </cell>
          <cell r="AE338">
            <v>11.7</v>
          </cell>
          <cell r="AF338">
            <v>25</v>
          </cell>
          <cell r="AG338">
            <v>10</v>
          </cell>
          <cell r="AH338">
            <v>0.68</v>
          </cell>
        </row>
        <row r="339">
          <cell r="W339">
            <v>5.8</v>
          </cell>
          <cell r="X339">
            <v>5.8</v>
          </cell>
          <cell r="Y339">
            <v>97.47</v>
          </cell>
          <cell r="Z339">
            <v>35.5</v>
          </cell>
          <cell r="AA339">
            <v>17.02</v>
          </cell>
          <cell r="AB339">
            <v>61.81</v>
          </cell>
          <cell r="AC339">
            <v>64.900000000000006</v>
          </cell>
          <cell r="AD339">
            <v>19.89</v>
          </cell>
          <cell r="AE339">
            <v>12.99</v>
          </cell>
          <cell r="AF339">
            <v>26.25</v>
          </cell>
          <cell r="AG339">
            <v>10.18</v>
          </cell>
          <cell r="AH339">
            <v>0.68</v>
          </cell>
        </row>
        <row r="340">
          <cell r="W340">
            <v>6</v>
          </cell>
          <cell r="X340">
            <v>6</v>
          </cell>
          <cell r="Y340">
            <v>98.93</v>
          </cell>
          <cell r="Z340">
            <v>37.659999999999997</v>
          </cell>
          <cell r="AA340">
            <v>17.79</v>
          </cell>
          <cell r="AB340">
            <v>67.11</v>
          </cell>
          <cell r="AC340">
            <v>74.680000000000007</v>
          </cell>
          <cell r="AD340">
            <v>21.59</v>
          </cell>
          <cell r="AE340">
            <v>14.35</v>
          </cell>
          <cell r="AF340">
            <v>27.5</v>
          </cell>
          <cell r="AG340">
            <v>10.79</v>
          </cell>
          <cell r="AH340">
            <v>0.68</v>
          </cell>
        </row>
        <row r="341">
          <cell r="W341">
            <v>6.2</v>
          </cell>
          <cell r="X341">
            <v>6.2</v>
          </cell>
          <cell r="Y341">
            <v>104.5</v>
          </cell>
          <cell r="Z341">
            <v>38.4</v>
          </cell>
          <cell r="AA341">
            <v>18.579999999999998</v>
          </cell>
          <cell r="AB341">
            <v>72.22</v>
          </cell>
          <cell r="AC341">
            <v>85.08</v>
          </cell>
          <cell r="AD341">
            <v>23.35</v>
          </cell>
          <cell r="AE341">
            <v>15.78</v>
          </cell>
          <cell r="AF341">
            <v>27.5</v>
          </cell>
          <cell r="AG341">
            <v>10.79</v>
          </cell>
          <cell r="AH341">
            <v>0.68</v>
          </cell>
        </row>
        <row r="342">
          <cell r="W342">
            <v>6.4</v>
          </cell>
          <cell r="X342">
            <v>6.4</v>
          </cell>
          <cell r="Y342">
            <v>108.83</v>
          </cell>
          <cell r="Z342">
            <v>39.71</v>
          </cell>
          <cell r="AA342">
            <v>19.39</v>
          </cell>
          <cell r="AB342">
            <v>78.069999999999993</v>
          </cell>
          <cell r="AC342">
            <v>96.36</v>
          </cell>
          <cell r="AD342">
            <v>25.2</v>
          </cell>
          <cell r="AE342">
            <v>17.28</v>
          </cell>
          <cell r="AF342">
            <v>28.75</v>
          </cell>
          <cell r="AG342">
            <v>11.4</v>
          </cell>
          <cell r="AH342">
            <v>0.68</v>
          </cell>
        </row>
        <row r="343">
          <cell r="W343">
            <v>6.6</v>
          </cell>
          <cell r="X343">
            <v>6.6</v>
          </cell>
          <cell r="Y343">
            <v>113.7</v>
          </cell>
          <cell r="Z343">
            <v>41.4</v>
          </cell>
          <cell r="AA343">
            <v>20.22</v>
          </cell>
          <cell r="AB343">
            <v>83.99</v>
          </cell>
          <cell r="AC343">
            <v>108.68</v>
          </cell>
          <cell r="AD343">
            <v>27.08</v>
          </cell>
          <cell r="AE343">
            <v>18.850000000000001</v>
          </cell>
          <cell r="AF343">
            <v>30</v>
          </cell>
          <cell r="AG343">
            <v>11.57</v>
          </cell>
          <cell r="AH343">
            <v>0.68</v>
          </cell>
        </row>
        <row r="344">
          <cell r="W344">
            <v>6.8</v>
          </cell>
          <cell r="X344">
            <v>6.8</v>
          </cell>
          <cell r="Y344">
            <v>115.93</v>
          </cell>
          <cell r="Z344">
            <v>42.78</v>
          </cell>
          <cell r="AA344">
            <v>21.09</v>
          </cell>
          <cell r="AB344">
            <v>90.25</v>
          </cell>
          <cell r="AC344">
            <v>121.94</v>
          </cell>
          <cell r="AD344">
            <v>29.04</v>
          </cell>
          <cell r="AE344">
            <v>20.48</v>
          </cell>
          <cell r="AF344">
            <v>30</v>
          </cell>
          <cell r="AG344">
            <v>11.57</v>
          </cell>
          <cell r="AH344">
            <v>0.68</v>
          </cell>
        </row>
        <row r="345">
          <cell r="W345">
            <v>7</v>
          </cell>
          <cell r="X345">
            <v>7</v>
          </cell>
          <cell r="Y345">
            <v>120.86</v>
          </cell>
          <cell r="Z345">
            <v>44.15</v>
          </cell>
          <cell r="AA345">
            <v>21.96</v>
          </cell>
          <cell r="AB345">
            <v>95.82</v>
          </cell>
          <cell r="AC345">
            <v>135.72</v>
          </cell>
          <cell r="AD345">
            <v>31.3</v>
          </cell>
          <cell r="AE345">
            <v>22.18</v>
          </cell>
          <cell r="AF345">
            <v>31.25</v>
          </cell>
          <cell r="AG345">
            <v>12.18</v>
          </cell>
          <cell r="AH345">
            <v>0.68</v>
          </cell>
        </row>
        <row r="346">
          <cell r="W346">
            <v>7.2</v>
          </cell>
          <cell r="X346">
            <v>7.2</v>
          </cell>
          <cell r="Y346">
            <v>125.48</v>
          </cell>
          <cell r="Z346">
            <v>45.55</v>
          </cell>
          <cell r="AA346">
            <v>22.87</v>
          </cell>
          <cell r="AB346">
            <v>103.38</v>
          </cell>
          <cell r="AC346">
            <v>151.63</v>
          </cell>
          <cell r="AD346">
            <v>33.19</v>
          </cell>
          <cell r="AE346">
            <v>23.95</v>
          </cell>
          <cell r="AF346">
            <v>32.5</v>
          </cell>
          <cell r="AG346">
            <v>12.79</v>
          </cell>
          <cell r="AH346">
            <v>0.68</v>
          </cell>
        </row>
        <row r="347">
          <cell r="W347">
            <v>7.4</v>
          </cell>
          <cell r="X347">
            <v>7.4</v>
          </cell>
          <cell r="Y347">
            <v>128.30000000000001</v>
          </cell>
          <cell r="Z347">
            <v>46.44</v>
          </cell>
          <cell r="AA347">
            <v>23.8</v>
          </cell>
          <cell r="AB347">
            <v>110.21</v>
          </cell>
          <cell r="AC347">
            <v>168.09</v>
          </cell>
          <cell r="AD347">
            <v>35.36</v>
          </cell>
          <cell r="AE347">
            <v>25.79</v>
          </cell>
          <cell r="AF347">
            <v>32.5</v>
          </cell>
          <cell r="AG347">
            <v>12.79</v>
          </cell>
          <cell r="AH347">
            <v>0.68</v>
          </cell>
        </row>
        <row r="348">
          <cell r="W348">
            <v>7.6</v>
          </cell>
          <cell r="X348">
            <v>7.6</v>
          </cell>
          <cell r="Y348">
            <v>132.21</v>
          </cell>
          <cell r="Z348">
            <v>48.77</v>
          </cell>
          <cell r="AA348">
            <v>24.74</v>
          </cell>
          <cell r="AB348">
            <v>118.55</v>
          </cell>
          <cell r="AC348">
            <v>185.71</v>
          </cell>
          <cell r="AD348">
            <v>37.6</v>
          </cell>
          <cell r="AE348">
            <v>27.69</v>
          </cell>
          <cell r="AF348">
            <v>33.75</v>
          </cell>
          <cell r="AG348">
            <v>12.96</v>
          </cell>
          <cell r="AH348">
            <v>0.68</v>
          </cell>
        </row>
        <row r="349">
          <cell r="W349">
            <v>7.8</v>
          </cell>
          <cell r="X349">
            <v>7.8</v>
          </cell>
          <cell r="Y349">
            <v>138.4</v>
          </cell>
          <cell r="Z349">
            <v>50.26</v>
          </cell>
          <cell r="AA349">
            <v>25.72</v>
          </cell>
          <cell r="AB349">
            <v>126.19</v>
          </cell>
          <cell r="AC349">
            <v>204.53</v>
          </cell>
          <cell r="AD349">
            <v>39.909999999999997</v>
          </cell>
          <cell r="AE349">
            <v>29.67</v>
          </cell>
          <cell r="AF349">
            <v>35</v>
          </cell>
          <cell r="AG349">
            <v>13.57</v>
          </cell>
          <cell r="AH349">
            <v>0.68</v>
          </cell>
        </row>
        <row r="350">
          <cell r="W350">
            <v>8</v>
          </cell>
          <cell r="X350">
            <v>8</v>
          </cell>
          <cell r="Y350">
            <v>141.44</v>
          </cell>
          <cell r="Z350">
            <v>51.2</v>
          </cell>
          <cell r="AA350">
            <v>26.71</v>
          </cell>
          <cell r="AB350">
            <v>131.99</v>
          </cell>
          <cell r="AC350">
            <v>224.54</v>
          </cell>
          <cell r="AD350">
            <v>42.23</v>
          </cell>
          <cell r="AE350">
            <v>31.71</v>
          </cell>
          <cell r="AF350">
            <v>35</v>
          </cell>
          <cell r="AG350">
            <v>13.57</v>
          </cell>
          <cell r="AH350">
            <v>0.68</v>
          </cell>
        </row>
        <row r="351">
          <cell r="W351">
            <v>8.1999999999999993</v>
          </cell>
          <cell r="X351">
            <v>8.1999999999999993</v>
          </cell>
          <cell r="Y351">
            <v>146.9</v>
          </cell>
          <cell r="Z351">
            <v>53.61</v>
          </cell>
          <cell r="AA351">
            <v>27.73</v>
          </cell>
          <cell r="AB351">
            <v>13.44</v>
          </cell>
          <cell r="AC351">
            <v>245.99</v>
          </cell>
          <cell r="AD351">
            <v>44.73</v>
          </cell>
          <cell r="AE351">
            <v>33.82</v>
          </cell>
          <cell r="AF351">
            <v>36.25</v>
          </cell>
          <cell r="AG351">
            <v>14.18</v>
          </cell>
          <cell r="AH351">
            <v>0.68</v>
          </cell>
        </row>
        <row r="352">
          <cell r="W352">
            <v>8.4</v>
          </cell>
          <cell r="X352">
            <v>8.4</v>
          </cell>
          <cell r="Y352">
            <v>150.08000000000001</v>
          </cell>
          <cell r="Z352">
            <v>54.62</v>
          </cell>
          <cell r="AA352">
            <v>28.78</v>
          </cell>
          <cell r="AB352">
            <v>152.47999999999999</v>
          </cell>
          <cell r="AC352">
            <v>268.39999999999998</v>
          </cell>
          <cell r="AD352">
            <v>47.24</v>
          </cell>
          <cell r="AE352">
            <v>35.99</v>
          </cell>
          <cell r="AF352">
            <v>36.25</v>
          </cell>
          <cell r="AG352">
            <v>14.18</v>
          </cell>
          <cell r="AH352">
            <v>0.68</v>
          </cell>
        </row>
        <row r="353">
          <cell r="W353">
            <v>8.6</v>
          </cell>
          <cell r="X353">
            <v>8.6</v>
          </cell>
          <cell r="Y353">
            <v>155.16999999999999</v>
          </cell>
          <cell r="Z353">
            <v>56.17</v>
          </cell>
          <cell r="AA353">
            <v>29.84</v>
          </cell>
          <cell r="AB353">
            <v>161.9</v>
          </cell>
          <cell r="AC353">
            <v>292.31</v>
          </cell>
          <cell r="AD353">
            <v>49.82</v>
          </cell>
          <cell r="AE353">
            <v>38.42</v>
          </cell>
          <cell r="AF353">
            <v>37.5</v>
          </cell>
          <cell r="AG353">
            <v>14.35</v>
          </cell>
          <cell r="AH353">
            <v>0.68</v>
          </cell>
        </row>
        <row r="354">
          <cell r="W354">
            <v>8.8000000000000007</v>
          </cell>
          <cell r="X354">
            <v>8.8000000000000007</v>
          </cell>
          <cell r="Y354">
            <v>159.52000000000001</v>
          </cell>
          <cell r="Z354">
            <v>58.67</v>
          </cell>
          <cell r="AA354">
            <v>30.93</v>
          </cell>
          <cell r="AB354">
            <v>171.52</v>
          </cell>
          <cell r="AC354">
            <v>317.64</v>
          </cell>
          <cell r="AD354">
            <v>52.46</v>
          </cell>
          <cell r="AE354">
            <v>40.5</v>
          </cell>
          <cell r="AF354">
            <v>38.75</v>
          </cell>
          <cell r="AG354">
            <v>14.96</v>
          </cell>
          <cell r="AH354">
            <v>0.68</v>
          </cell>
        </row>
        <row r="355">
          <cell r="W355">
            <v>9</v>
          </cell>
          <cell r="X355">
            <v>9</v>
          </cell>
          <cell r="Y355">
            <v>172.19</v>
          </cell>
          <cell r="Z355">
            <v>61.25</v>
          </cell>
          <cell r="AA355">
            <v>33.590000000000003</v>
          </cell>
          <cell r="AB355">
            <v>184.57</v>
          </cell>
          <cell r="AC355">
            <v>342.08499999999998</v>
          </cell>
          <cell r="AD355">
            <v>55.18</v>
          </cell>
          <cell r="AE355">
            <v>42.93</v>
          </cell>
          <cell r="AF355">
            <v>38.75</v>
          </cell>
          <cell r="AG355">
            <v>14.96</v>
          </cell>
          <cell r="AH355">
            <v>0.68</v>
          </cell>
        </row>
        <row r="356">
          <cell r="W356">
            <v>9.1999999999999993</v>
          </cell>
          <cell r="X356">
            <v>9.1999999999999993</v>
          </cell>
          <cell r="Y356">
            <v>180.04</v>
          </cell>
          <cell r="Z356">
            <v>62.35</v>
          </cell>
          <cell r="AA356">
            <v>34.28</v>
          </cell>
          <cell r="AB356">
            <v>200.81</v>
          </cell>
          <cell r="AC356">
            <v>365.26499999999999</v>
          </cell>
          <cell r="AD356">
            <v>57.96</v>
          </cell>
          <cell r="AE356">
            <v>45.38</v>
          </cell>
          <cell r="AF356">
            <v>40</v>
          </cell>
          <cell r="AG356">
            <v>15.57</v>
          </cell>
          <cell r="AH356">
            <v>0.68</v>
          </cell>
        </row>
        <row r="357">
          <cell r="W357">
            <v>9.4</v>
          </cell>
          <cell r="X357">
            <v>9.4</v>
          </cell>
          <cell r="Y357">
            <v>188.51</v>
          </cell>
          <cell r="Z357">
            <v>65.59</v>
          </cell>
          <cell r="AA357">
            <v>36.21</v>
          </cell>
          <cell r="AB357">
            <v>217.83</v>
          </cell>
          <cell r="AC357">
            <v>389.661</v>
          </cell>
          <cell r="AD357">
            <v>60.81</v>
          </cell>
          <cell r="AE357">
            <v>47.89</v>
          </cell>
          <cell r="AF357">
            <v>41.25</v>
          </cell>
          <cell r="AG357">
            <v>15.74</v>
          </cell>
          <cell r="AH357">
            <v>0.68</v>
          </cell>
        </row>
        <row r="358">
          <cell r="W358">
            <v>9.6</v>
          </cell>
          <cell r="X358">
            <v>9.6</v>
          </cell>
          <cell r="Y358">
            <v>193.67</v>
          </cell>
          <cell r="Z358">
            <v>67.099999999999994</v>
          </cell>
          <cell r="AA358">
            <v>37.799999999999997</v>
          </cell>
          <cell r="AB358">
            <v>232.56</v>
          </cell>
          <cell r="AC358">
            <v>417.77100000000002</v>
          </cell>
          <cell r="AD358">
            <v>63.73</v>
          </cell>
          <cell r="AE358">
            <v>50.48</v>
          </cell>
          <cell r="AF358">
            <v>41.25</v>
          </cell>
          <cell r="AG358">
            <v>15.74</v>
          </cell>
          <cell r="AH358">
            <v>0.68</v>
          </cell>
        </row>
        <row r="359">
          <cell r="W359">
            <v>9.8000000000000007</v>
          </cell>
          <cell r="X359">
            <v>9.8000000000000007</v>
          </cell>
          <cell r="Y359">
            <v>199.71</v>
          </cell>
          <cell r="Z359">
            <v>68.7</v>
          </cell>
          <cell r="AA359">
            <v>38.9</v>
          </cell>
          <cell r="AB359">
            <v>242.38</v>
          </cell>
          <cell r="AC359">
            <v>451.14299999999997</v>
          </cell>
          <cell r="AD359">
            <v>66.709999999999994</v>
          </cell>
          <cell r="AE359">
            <v>51.79</v>
          </cell>
          <cell r="AF359">
            <v>42.5</v>
          </cell>
          <cell r="AG359">
            <v>16.350000000000001</v>
          </cell>
          <cell r="AH359">
            <v>0.68</v>
          </cell>
        </row>
        <row r="360">
          <cell r="W360">
            <v>10</v>
          </cell>
          <cell r="X360">
            <v>10</v>
          </cell>
          <cell r="Y360">
            <v>207.3</v>
          </cell>
          <cell r="Z360">
            <v>71.73</v>
          </cell>
          <cell r="AA360">
            <v>40.549999999999997</v>
          </cell>
          <cell r="AB360">
            <v>259.64999999999998</v>
          </cell>
          <cell r="AC360">
            <v>483.40499999999997</v>
          </cell>
          <cell r="AD360">
            <v>69.77</v>
          </cell>
          <cell r="AE360">
            <v>55.85</v>
          </cell>
          <cell r="AF360">
            <v>43.75</v>
          </cell>
          <cell r="AG360">
            <v>16.52</v>
          </cell>
          <cell r="AH360">
            <v>0.68</v>
          </cell>
        </row>
      </sheetData>
      <sheetData sheetId="30"/>
      <sheetData sheetId="31" refreshError="1"/>
      <sheetData sheetId="32" refreshError="1"/>
      <sheetData sheetId="33"/>
      <sheetData sheetId="34"/>
      <sheetData sheetId="3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onveyance"/>
      <sheetName val="Labour"/>
      <sheetName val="Common "/>
      <sheetName val="building"/>
      <sheetName val="RMR "/>
      <sheetName val="Data"/>
      <sheetName val="DE"/>
      <sheetName val="AE"/>
      <sheetName val="GA"/>
      <sheetName val="Usage"/>
    </sheetNames>
    <sheetDataSet>
      <sheetData sheetId="0" refreshError="1">
        <row r="3">
          <cell r="K3">
            <v>11020</v>
          </cell>
        </row>
        <row r="4">
          <cell r="K4">
            <v>13003</v>
          </cell>
        </row>
      </sheetData>
      <sheetData sheetId="1" refreshError="1"/>
      <sheetData sheetId="2" refreshError="1"/>
      <sheetData sheetId="3" refreshError="1">
        <row r="182">
          <cell r="D182">
            <v>27</v>
          </cell>
        </row>
        <row r="280">
          <cell r="D280">
            <v>13</v>
          </cell>
        </row>
        <row r="287">
          <cell r="D287">
            <v>120</v>
          </cell>
        </row>
        <row r="294">
          <cell r="D294">
            <v>41</v>
          </cell>
        </row>
        <row r="308">
          <cell r="D308">
            <v>158</v>
          </cell>
        </row>
      </sheetData>
      <sheetData sheetId="4" refreshError="1"/>
      <sheetData sheetId="5" refreshError="1"/>
      <sheetData sheetId="6" refreshError="1"/>
      <sheetData sheetId="7" refreshError="1"/>
      <sheetData sheetId="8" refreshError="1"/>
      <sheetData sheetId="9" refreshError="1"/>
      <sheetData sheetId="10" refreshError="1">
        <row r="5">
          <cell r="C5">
            <v>6169</v>
          </cell>
        </row>
        <row r="6">
          <cell r="C6">
            <v>6328</v>
          </cell>
        </row>
        <row r="8">
          <cell r="C8">
            <v>1268</v>
          </cell>
        </row>
        <row r="11">
          <cell r="C11">
            <v>659</v>
          </cell>
        </row>
        <row r="24">
          <cell r="C24">
            <v>120</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Lead"/>
      <sheetName val="Material"/>
      <sheetName val="Works"/>
      <sheetName val="RMR"/>
      <sheetName val="Data"/>
      <sheetName val="DAE"/>
      <sheetName val="Sdata"/>
      <sheetName val="CS"/>
    </sheetNames>
    <sheetDataSet>
      <sheetData sheetId="0"/>
      <sheetData sheetId="1"/>
      <sheetData sheetId="2"/>
      <sheetData sheetId="3"/>
      <sheetData sheetId="4"/>
      <sheetData sheetId="5"/>
      <sheetData sheetId="6"/>
      <sheetData sheetId="7"/>
      <sheetData sheetId="8"/>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TS Memo"/>
      <sheetName val="Sp Report"/>
      <sheetName val="note"/>
      <sheetName val="BTR"/>
      <sheetName val="mlead"/>
      <sheetName val="lead"/>
      <sheetName val="RMR"/>
      <sheetName val="CD Data (Morth)"/>
      <sheetName val="Rd Det Est"/>
      <sheetName val="Rd abs Est"/>
      <sheetName val="HP Det est"/>
      <sheetName val="HP Abs Est"/>
      <sheetName val="CBR"/>
      <sheetName val="Gen 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TS Memo"/>
      <sheetName val="Sp Report"/>
      <sheetName val="note"/>
      <sheetName val="BTR"/>
      <sheetName val="mlead"/>
      <sheetName val="lead"/>
      <sheetName val="RMR"/>
      <sheetName val="CD Data (Morth)"/>
      <sheetName val="Rd Det Est"/>
      <sheetName val="Rd abs Est"/>
      <sheetName val="HP Det est"/>
      <sheetName val="HP Abs Est"/>
      <sheetName val="CBR"/>
      <sheetName val="Gen Abs"/>
    </sheetNames>
    <sheetDataSet>
      <sheetData sheetId="0"/>
      <sheetData sheetId="1"/>
      <sheetData sheetId="2">
        <row r="27">
          <cell r="E27" t="str">
            <v>VIJAYAWADA</v>
          </cell>
        </row>
        <row r="28">
          <cell r="E28" t="str">
            <v>VIJAYAWADA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Ret wall"/>
      <sheetName val="Road data"/>
      <sheetName val="BTR"/>
      <sheetName val="RMR"/>
      <sheetName val="certificates"/>
      <sheetName val="m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Ret wall"/>
      <sheetName val="Road data"/>
      <sheetName val="BTR"/>
      <sheetName val="RMR"/>
      <sheetName val="certificates"/>
      <sheetName val="m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8">
          <cell r="C8">
            <v>75</v>
          </cell>
        </row>
        <row r="18">
          <cell r="C18">
            <v>113.5</v>
          </cell>
        </row>
        <row r="23">
          <cell r="D23">
            <v>146.6</v>
          </cell>
        </row>
        <row r="44">
          <cell r="D44">
            <v>226.9</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BTR"/>
      <sheetName val="RMR"/>
      <sheetName val="Road data"/>
      <sheetName val="road est"/>
      <sheetName val="abs road"/>
      <sheetName val="4V800"/>
      <sheetName val="3V800"/>
      <sheetName val="1vof Obul800"/>
      <sheetName val="1V800"/>
      <sheetName val="1V600"/>
      <sheetName val="2V600"/>
      <sheetName val="2V1000"/>
      <sheetName val="HP abs"/>
      <sheetName val="Det. CC"/>
      <sheetName val="Drt Slab"/>
      <sheetName val="Abs_CD_2"/>
      <sheetName val="certificate"/>
      <sheetName val="CBR"/>
      <sheetName val="Gen abs"/>
      <sheetName val="mlead"/>
      <sheetName val="ECV"/>
      <sheetName val="1rX1000"/>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refreshError="1"/>
      <sheetData sheetId="25" refreshError="1"/>
      <sheetData sheetId="2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BTR"/>
      <sheetName val="RMR"/>
      <sheetName val="Road data"/>
      <sheetName val="road est"/>
      <sheetName val="abs road"/>
      <sheetName val="4V800"/>
      <sheetName val="3V800"/>
      <sheetName val="1vof Obul800"/>
      <sheetName val="1V800"/>
      <sheetName val="1V600"/>
      <sheetName val="2V600"/>
      <sheetName val="2V1000"/>
      <sheetName val="HP abs"/>
      <sheetName val="Det. CC"/>
      <sheetName val="Drt Slab"/>
      <sheetName val="Abs_CD_2"/>
      <sheetName val="certificate"/>
      <sheetName val="CBR"/>
      <sheetName val="Gen abs"/>
      <sheetName val="mlead"/>
      <sheetName val="ECV"/>
      <sheetName val="1rX1000"/>
    </sheetNames>
    <sheetDataSet>
      <sheetData sheetId="0"/>
      <sheetData sheetId="1"/>
      <sheetData sheetId="2"/>
      <sheetData sheetId="3"/>
      <sheetData sheetId="4"/>
      <sheetData sheetId="5"/>
      <sheetData sheetId="6">
        <row r="5">
          <cell r="L5">
            <v>485.70400000000006</v>
          </cell>
        </row>
        <row r="7">
          <cell r="L7">
            <v>596.67000000000007</v>
          </cell>
        </row>
        <row r="10">
          <cell r="L10">
            <v>1112.57</v>
          </cell>
        </row>
        <row r="12">
          <cell r="L12">
            <v>850.65</v>
          </cell>
        </row>
        <row r="13">
          <cell r="L13">
            <v>723.28000000000009</v>
          </cell>
        </row>
        <row r="14">
          <cell r="L14">
            <v>337.74</v>
          </cell>
        </row>
        <row r="18">
          <cell r="L18">
            <v>183.32000000000002</v>
          </cell>
        </row>
        <row r="20">
          <cell r="L20">
            <v>775.57799999999997</v>
          </cell>
        </row>
        <row r="26">
          <cell r="L26">
            <v>193.46900000000005</v>
          </cell>
        </row>
      </sheetData>
      <sheetData sheetId="7">
        <row r="3">
          <cell r="C3" t="str">
            <v>Earthwork excavation by mechanical means and depositing on bank with initial  lead and lift in all soils upto SDR and laying earth in layers including breaking clods, sectioning and rolling with Power Road Roller 8 to 10 Tonnes capacity  @ FMC including a</v>
          </cell>
        </row>
        <row r="18">
          <cell r="K18">
            <v>43.7</v>
          </cell>
        </row>
        <row r="37">
          <cell r="K37">
            <v>87</v>
          </cell>
        </row>
        <row r="81">
          <cell r="C81" t="str">
            <v>Providing, Laying, Spreading for a compacted thickness of 75 mm, using  stone aggregates of Grade - II - H.B.G. ( IRC ) Metal  as per Table 400-7&amp;9 of MoRT&amp;H Specification 404 of 4th revision for Water Bound Macadam specification including cost, conveyanc</v>
          </cell>
        </row>
        <row r="108">
          <cell r="C108" t="str">
            <v>Providing, Laying, Spreading for a compacted thickness of 75 mm, using  stone aggregates of Grade - III - H.B.G. ( IRC ) Metal  as per Table 400-7&amp; 9 of MORTH Specification 404 of 4th revision for Water Bound Macadam specification including cost, conveyan</v>
          </cell>
        </row>
        <row r="330">
          <cell r="K330">
            <v>241</v>
          </cell>
        </row>
        <row r="353">
          <cell r="K353">
            <v>62</v>
          </cell>
        </row>
        <row r="364">
          <cell r="K364">
            <v>241</v>
          </cell>
        </row>
      </sheetData>
      <sheetData sheetId="8">
        <row r="7">
          <cell r="H7">
            <v>11200</v>
          </cell>
          <cell r="J7">
            <v>18600</v>
          </cell>
        </row>
        <row r="11">
          <cell r="H11">
            <v>7400</v>
          </cell>
        </row>
        <row r="15">
          <cell r="H15">
            <v>4253</v>
          </cell>
          <cell r="J15">
            <v>9587</v>
          </cell>
        </row>
        <row r="20">
          <cell r="H20">
            <v>5334</v>
          </cell>
        </row>
        <row r="24">
          <cell r="H24">
            <v>2667</v>
          </cell>
        </row>
        <row r="28">
          <cell r="H28">
            <v>33750</v>
          </cell>
        </row>
        <row r="32">
          <cell r="H32">
            <v>33750</v>
          </cell>
        </row>
        <row r="36">
          <cell r="H36">
            <v>844</v>
          </cell>
        </row>
      </sheetData>
      <sheetData sheetId="9">
        <row r="6">
          <cell r="J6">
            <v>1133240</v>
          </cell>
        </row>
        <row r="13">
          <cell r="H13">
            <v>4478409</v>
          </cell>
        </row>
        <row r="17">
          <cell r="J17">
            <v>8166354</v>
          </cell>
        </row>
        <row r="25">
          <cell r="H25">
            <v>610875</v>
          </cell>
        </row>
        <row r="29">
          <cell r="H29">
            <v>124875</v>
          </cell>
        </row>
        <row r="33">
          <cell r="H33">
            <v>2861160</v>
          </cell>
        </row>
        <row r="39">
          <cell r="K39">
            <v>17374913</v>
          </cell>
        </row>
      </sheetData>
      <sheetData sheetId="10"/>
      <sheetData sheetId="11"/>
      <sheetData sheetId="12"/>
      <sheetData sheetId="13"/>
      <sheetData sheetId="14"/>
      <sheetData sheetId="15"/>
      <sheetData sheetId="16"/>
      <sheetData sheetId="17"/>
      <sheetData sheetId="18"/>
      <sheetData sheetId="19"/>
      <sheetData sheetId="20">
        <row r="7">
          <cell r="C7">
            <v>1</v>
          </cell>
        </row>
        <row r="8">
          <cell r="C8">
            <v>1</v>
          </cell>
        </row>
        <row r="51">
          <cell r="K51" t="e">
            <v>#REF!</v>
          </cell>
        </row>
      </sheetData>
      <sheetData sheetId="21"/>
      <sheetData sheetId="22"/>
      <sheetData sheetId="23"/>
      <sheetData sheetId="24">
        <row r="10">
          <cell r="C10">
            <v>82.9</v>
          </cell>
        </row>
        <row r="11">
          <cell r="C11">
            <v>86.4</v>
          </cell>
        </row>
        <row r="21">
          <cell r="D21">
            <v>138.5</v>
          </cell>
        </row>
        <row r="28">
          <cell r="C28">
            <v>150.29999999999998</v>
          </cell>
        </row>
        <row r="29">
          <cell r="D29">
            <v>170.1</v>
          </cell>
        </row>
        <row r="33">
          <cell r="D33">
            <v>186.1</v>
          </cell>
        </row>
        <row r="38">
          <cell r="C38">
            <v>181.1</v>
          </cell>
          <cell r="D38">
            <v>205.29999999999998</v>
          </cell>
        </row>
        <row r="46">
          <cell r="D46">
            <v>234.1</v>
          </cell>
        </row>
      </sheetData>
      <sheetData sheetId="25">
        <row r="10">
          <cell r="B10" t="e">
            <v>#REF!</v>
          </cell>
        </row>
      </sheetData>
      <sheetData sheetId="26"/>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Cover (2)"/>
      <sheetName val="DATA_ENTRY"/>
      <sheetName val="Letter"/>
      <sheetName val="Report"/>
      <sheetName val="Cover"/>
      <sheetName val="GenAbs"/>
      <sheetName val="DetAbsAbs"/>
      <sheetName val="DWE"/>
      <sheetName val="Compar"/>
      <sheetName val="Seignarages"/>
      <sheetName val="DetEst"/>
      <sheetName val="Lead"/>
      <sheetName val="WorkSlip"/>
      <sheetName val="BTLeads"/>
      <sheetName val="RMR"/>
      <sheetName val="MRoad data"/>
      <sheetName val="Certificates"/>
      <sheetName val="MRATE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2)"/>
      <sheetName val="DATA_ENTRY"/>
      <sheetName val="Letter"/>
      <sheetName val="Report"/>
      <sheetName val="Cover"/>
      <sheetName val="GenAbs"/>
      <sheetName val="DetAbsAbs"/>
      <sheetName val="DWE"/>
      <sheetName val="Compar"/>
      <sheetName val="Seignarages"/>
      <sheetName val="DetEst"/>
      <sheetName val="Lead"/>
      <sheetName val="WorkSlip"/>
      <sheetName val="BTLeads"/>
      <sheetName val="RMR"/>
      <sheetName val="MRoad data"/>
      <sheetName val="Certificates"/>
      <sheetName val="MRATE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6">
          <cell r="J6">
            <v>532</v>
          </cell>
        </row>
        <row r="7">
          <cell r="J7">
            <v>692</v>
          </cell>
          <cell r="M7">
            <v>504</v>
          </cell>
        </row>
        <row r="8">
          <cell r="J8">
            <v>822</v>
          </cell>
          <cell r="M8">
            <v>656</v>
          </cell>
        </row>
        <row r="9">
          <cell r="J9">
            <v>1036</v>
          </cell>
          <cell r="M9">
            <v>780</v>
          </cell>
        </row>
        <row r="10">
          <cell r="J10">
            <v>994</v>
          </cell>
          <cell r="M10">
            <v>984</v>
          </cell>
        </row>
        <row r="11">
          <cell r="J11">
            <v>620</v>
          </cell>
          <cell r="M11">
            <v>944</v>
          </cell>
        </row>
        <row r="12">
          <cell r="M12">
            <v>588</v>
          </cell>
        </row>
        <row r="13">
          <cell r="G13">
            <v>95</v>
          </cell>
          <cell r="M13">
            <v>456</v>
          </cell>
        </row>
        <row r="14">
          <cell r="G14">
            <v>144</v>
          </cell>
          <cell r="M14">
            <v>419</v>
          </cell>
        </row>
        <row r="15">
          <cell r="G15">
            <v>164</v>
          </cell>
        </row>
        <row r="16">
          <cell r="G16">
            <v>42</v>
          </cell>
        </row>
        <row r="17">
          <cell r="G17">
            <v>48</v>
          </cell>
        </row>
        <row r="35">
          <cell r="C35">
            <v>20</v>
          </cell>
        </row>
        <row r="50">
          <cell r="P50">
            <v>43000</v>
          </cell>
        </row>
      </sheetData>
      <sheetData sheetId="2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BTR"/>
      <sheetName val="specification"/>
      <sheetName val="RMR"/>
      <sheetName val="Road data"/>
      <sheetName val="GenAbst"/>
      <sheetName val="Quarry"/>
      <sheetName val="Detailed"/>
      <sheetName val="Rates"/>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BTR"/>
      <sheetName val="specification"/>
      <sheetName val="RMR"/>
      <sheetName val="Road data"/>
      <sheetName val="GenAbst"/>
      <sheetName val="Quarry"/>
      <sheetName val="Detailed"/>
      <sheetName val="Rates"/>
      <sheetName val="Sheet1"/>
      <sheetName val="Sheet2"/>
    </sheetNames>
    <sheetDataSet>
      <sheetData sheetId="0"/>
      <sheetData sheetId="1"/>
      <sheetData sheetId="2">
        <row r="4">
          <cell r="D4" t="str">
            <v>Improvements to road from km  31/0 to 33/0 &amp; 37/2 to 39/2 of Kondapuram - Dantapalli palli road in Anantapur District.</v>
          </cell>
        </row>
      </sheetData>
      <sheetData sheetId="3"/>
      <sheetData sheetId="4">
        <row r="33">
          <cell r="D33">
            <v>58</v>
          </cell>
        </row>
      </sheetData>
      <sheetData sheetId="5">
        <row r="7">
          <cell r="C7" t="str">
            <v>Forming embankment with Side earth by mechanical means upto SDR including pre-watering of soil , removal of top soil, excavation of soils , depositing the soils on the embankment, spreading soil, breaking clods, sectioning , grading and consolidation with</v>
          </cell>
        </row>
        <row r="33">
          <cell r="K33">
            <v>104</v>
          </cell>
        </row>
        <row r="35">
          <cell r="C35" t="str">
            <v>Forming embankment with borrowed useful earth from outside road boundary by mechanical means upto SDR with all leads and lifts including pre-watering of soil at borrow area, removal of top soil, excavation of soils at borrowed area, conveyance of soil, de</v>
          </cell>
        </row>
        <row r="65">
          <cell r="K65">
            <v>142</v>
          </cell>
        </row>
        <row r="67">
          <cell r="C67" t="str">
            <v>Construction of Granular sub-base by providing   HBG material confirming to Grading - III of MoRT&amp;H Table 400-2 including cost,  seigniorage charges and conveyance of all materials to work site and spreading in uniform layers with motor grader or by appro</v>
          </cell>
        </row>
        <row r="93">
          <cell r="K93">
            <v>1282</v>
          </cell>
        </row>
        <row r="95">
          <cell r="C95" t="str">
            <v xml:space="preserve">Scarifying the existing granular  surface   to a depth of 50 mm by  Manual means including all labour charges etc., complete as per MoRT&amp;H (4th Revision) Specn. No.305.4.3  for finished item of work.  </v>
          </cell>
        </row>
        <row r="111">
          <cell r="K111">
            <v>8</v>
          </cell>
        </row>
        <row r="113">
          <cell r="C113" t="str">
            <v xml:space="preserve">Scarifying the existing B.T surface  to a depth of 50 mm by Mechanical means and disposal of scarified material with all leads and lifts upto 1000 Mtrs as per MoRT&amp;H (4th Revision) Specn. No.305.4.3    </v>
          </cell>
        </row>
        <row r="132">
          <cell r="K132">
            <v>5.4</v>
          </cell>
        </row>
        <row r="134">
          <cell r="C134" t="str">
            <v>Providing, Laying, Spreading and compacting graded HBG crushed stone aggregate to Wet Mix macadem specification including cost,seignorage of all materials and including premixing the material with water at OMC in Mechanical mix plant carriage of mixed mat</v>
          </cell>
        </row>
        <row r="164">
          <cell r="K164">
            <v>1662</v>
          </cell>
        </row>
        <row r="166">
          <cell r="C166" t="str">
            <v>Providing and laying surface dressing  in single coat using 6 mm nominal size IRC HBG machine crushed stone aggregates @ 0.004 cum / sqm on a layer of bitumen binder of   80/100 grade @ 0.75 kg / sqm including cost, seigniorage and conveyance of all mater</v>
          </cell>
        </row>
        <row r="194">
          <cell r="K194">
            <v>48</v>
          </cell>
        </row>
        <row r="196">
          <cell r="C196" t="str">
            <v xml:space="preserve">Providing and applying tack coat with bitumen Emulsion (Medium settting) (Bulk) using Emulsion pressure distributor at the rate of 0.20 kgs per sqm on the prepared bituminous/granular surface cleaned with mechanical broom for finished item of work as per </v>
          </cell>
        </row>
        <row r="218">
          <cell r="K218">
            <v>10.6</v>
          </cell>
        </row>
        <row r="220">
          <cell r="C220" t="str">
            <v>Providing , laying of close graded premix surfacing material ( Mixed seal surfacing) of 20 mm thickness by  hot mix plant  using hard blasted granite crushed aggregates of  13.2mm to 0.09mm (Type 'B')  as per table 500-26 of specification 512 of MoRT&amp;H (4</v>
          </cell>
        </row>
        <row r="247">
          <cell r="K247">
            <v>191</v>
          </cell>
        </row>
        <row r="283">
          <cell r="K283">
            <v>8634</v>
          </cell>
        </row>
        <row r="306">
          <cell r="K306">
            <v>44</v>
          </cell>
        </row>
        <row r="332">
          <cell r="K332">
            <v>3557</v>
          </cell>
        </row>
        <row r="360">
          <cell r="K360">
            <v>3913</v>
          </cell>
        </row>
        <row r="399">
          <cell r="K399">
            <v>6880</v>
          </cell>
        </row>
        <row r="401">
          <cell r="C401" t="str">
            <v>Providing B.T. Patchwork for pot holes using 9.5mm to 11.2mm HBG metal with required quantity of 80/100 grade Bitumen including removal of the loose material in the pot holes, trimming the edges to provide firm vertical faces, cleaning, applying tack coat</v>
          </cell>
        </row>
        <row r="416">
          <cell r="K416">
            <v>5090</v>
          </cell>
        </row>
        <row r="418">
          <cell r="C418" t="str">
            <v>Providing B.T. Patchwork for pot holes using 40mm HBG metal with required quantity of 9.5-11.2mm size HBG key chips and 80/100 grade Bitumen including removal of the loose material in the pot holes, trimming the edges to provide firm vertical faces, clean</v>
          </cell>
        </row>
        <row r="434">
          <cell r="K434">
            <v>3675</v>
          </cell>
        </row>
      </sheetData>
      <sheetData sheetId="6"/>
      <sheetData sheetId="7"/>
      <sheetData sheetId="8"/>
      <sheetData sheetId="9"/>
      <sheetData sheetId="10"/>
      <sheetData sheetId="1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Index (2)"/>
      <sheetName val="Annex-B"/>
      <sheetName val="Cover"/>
      <sheetName val="SPE-REP"/>
      <sheetName val="Ann_IIA_m"/>
      <sheetName val="EXE-SUMRY"/>
      <sheetName val="RMR"/>
      <sheetName val="BTR"/>
      <sheetName val="Rd.Data"/>
      <sheetName val="com_sta"/>
      <sheetName val="lab_mac"/>
      <sheetName val="C.D.Data (Morth)"/>
      <sheetName val="Rd.Det.Est"/>
      <sheetName val="Gen.Abs."/>
      <sheetName val="Rd.abs.Est"/>
      <sheetName val="FA_CD_LINE"/>
      <sheetName val="A_R_lINE"/>
      <sheetName val="Det. 1Rx800"/>
      <sheetName val="Leads"/>
      <sheetName val="AN_B_SUP"/>
      <sheetName val="Pr_1"/>
      <sheetName val="A1"/>
      <sheetName val="A2"/>
      <sheetName val="A4"/>
      <sheetName val="A5"/>
      <sheetName val="A6"/>
      <sheetName val="A7"/>
      <sheetName val="CBR (2)"/>
      <sheetName val="TSmemo"/>
      <sheetName val="CBR"/>
      <sheetName val="Exe 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Index (2)"/>
      <sheetName val="Annex-B"/>
      <sheetName val="Cover"/>
      <sheetName val="SPE-REP"/>
      <sheetName val="Ann_IIA_m"/>
      <sheetName val="EXE-SUMRY"/>
      <sheetName val="RMR"/>
      <sheetName val="BTR"/>
      <sheetName val="Rd.Data"/>
      <sheetName val="com_sta"/>
      <sheetName val="lab_mac"/>
      <sheetName val="C.D.Data (Morth)"/>
      <sheetName val="Rd.Det.Est"/>
      <sheetName val="Gen.Abs."/>
      <sheetName val="Rd.abs.Est"/>
      <sheetName val="FA_CD_LINE"/>
      <sheetName val="A_R_lINE"/>
      <sheetName val="Det. 1Rx800"/>
      <sheetName val="Leads"/>
      <sheetName val="AN_B_SUP"/>
      <sheetName val="Pr_1"/>
      <sheetName val="A1"/>
      <sheetName val="A2"/>
      <sheetName val="A4"/>
      <sheetName val="A5"/>
      <sheetName val="A6"/>
      <sheetName val="A7"/>
      <sheetName val="CBR (2)"/>
      <sheetName val="TSmemo"/>
      <sheetName val="CBR"/>
      <sheetName val="Exe sum"/>
    </sheetNames>
    <sheetDataSet>
      <sheetData sheetId="0"/>
      <sheetData sheetId="1"/>
      <sheetData sheetId="2"/>
      <sheetData sheetId="3"/>
      <sheetData sheetId="4"/>
      <sheetData sheetId="5"/>
      <sheetData sheetId="6"/>
      <sheetData sheetId="7"/>
      <sheetData sheetId="8">
        <row r="33">
          <cell r="E33">
            <v>19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Line_Est"/>
      <sheetName val="certificates"/>
      <sheetName val="coverpage"/>
      <sheetName val="TS memo"/>
      <sheetName val="Spn report"/>
      <sheetName val="BTR"/>
      <sheetName val="RMR"/>
      <sheetName val="Road data"/>
      <sheetName val="R_Det"/>
      <sheetName val="abs road"/>
      <sheetName val="Abs CD"/>
      <sheetName val="2R 800"/>
      <sheetName val="Gen abs"/>
      <sheetName val="m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Line_Est"/>
      <sheetName val="certificates"/>
      <sheetName val="coverpage"/>
      <sheetName val="TS memo"/>
      <sheetName val="Spn report"/>
      <sheetName val="BTR"/>
      <sheetName val="RMR"/>
      <sheetName val="Road data"/>
      <sheetName val="R_Det"/>
      <sheetName val="abs road"/>
      <sheetName val="Abs CD"/>
      <sheetName val="2R 800"/>
      <sheetName val="Gen abs"/>
      <sheetName val="m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3">
          <cell r="D73">
            <v>326.20000000000005</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ertificates"/>
      <sheetName val="Cover"/>
      <sheetName val="Sp. Report"/>
      <sheetName val="TSmemo"/>
      <sheetName val="BTR"/>
      <sheetName val="RMR"/>
      <sheetName val="Rd.Data"/>
      <sheetName val="C.D.Data (Morth)"/>
      <sheetName val="Rd.Det.Est"/>
      <sheetName val="Gen.Abs."/>
      <sheetName val="Rd.abs.Est"/>
      <sheetName val="Abs_p_04"/>
      <sheetName val="Abs.p_01"/>
      <sheetName val="Abs.cc"/>
      <sheetName val="Abs_ret"/>
      <sheetName val="Abs_vent&amp;pipe"/>
      <sheetName val="Abs_slab"/>
      <sheetName val="Abs_box"/>
      <sheetName val="Det. 1Rx800"/>
      <sheetName val="Det. 2Rx800"/>
      <sheetName val="Det. CC"/>
      <sheetName val="CD_DET_PIPE_1R"/>
      <sheetName val="Slab det est"/>
      <sheetName val="CD_DET_1CELL_BOX"/>
      <sheetName val="CD_DET_4CELL_BOX"/>
      <sheetName val="CBR"/>
      <sheetName val="mlead"/>
      <sheetName val="Leads"/>
      <sheetName val="DetEst"/>
      <sheetName val="rdamdata"/>
      <sheetName val="DATA"/>
      <sheetName val="coverpage"/>
      <sheetName val="Road data"/>
      <sheetName val="MRATES"/>
      <sheetName val="RMR "/>
      <sheetName val="Road data "/>
      <sheetName val="Abutment"/>
      <sheetName val="Drains Est"/>
      <sheetName val="Rd.Est"/>
      <sheetName val="abs road"/>
      <sheetName val="r"/>
      <sheetName val="Sketch"/>
      <sheetName val="labour"/>
      <sheetName val="Lead statement"/>
      <sheetName val="Sheet2"/>
      <sheetName val="MRoad data"/>
      <sheetName val="EDWise"/>
      <sheetName val="Material"/>
      <sheetName val="Plant &amp;  Machinery"/>
      <sheetName val="maya"/>
      <sheetName val="Basicrates"/>
      <sheetName val="Input"/>
      <sheetName val="Lead"/>
      <sheetName val="Masonry"/>
      <sheetName val="Road Detail Est."/>
      <sheetName val="Sheet1"/>
      <sheetName val="GEN_abstrct"/>
      <sheetName val="Data (2)"/>
      <sheetName val="R_Det"/>
      <sheetName val="Abs_CD_2"/>
      <sheetName val="road est"/>
      <sheetName val="ECV"/>
      <sheetName val="Abs"/>
      <sheetName val="C-data"/>
      <sheetName val="SSR 2014-15 Rates"/>
      <sheetName val="HDPE"/>
    </sheetNames>
    <sheetDataSet>
      <sheetData sheetId="0"/>
      <sheetData sheetId="1"/>
      <sheetData sheetId="2"/>
      <sheetData sheetId="3" refreshError="1">
        <row r="8">
          <cell r="C8" t="str">
            <v xml:space="preserve">Improvements to  Madhavaram-Kamsalipalem Road from Km 0/0 to 4/8 in West Godavari District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BTR"/>
      <sheetName val="RMR"/>
      <sheetName val="Road data"/>
      <sheetName val="road est"/>
      <sheetName val="abs road"/>
      <sheetName val="4V800"/>
      <sheetName val="3V800"/>
      <sheetName val="1vof Obul800"/>
      <sheetName val="1V800"/>
      <sheetName val="1V600"/>
      <sheetName val="2V600"/>
      <sheetName val="2V1000"/>
      <sheetName val="HP abs"/>
      <sheetName val="Det. CC"/>
      <sheetName val="Drt Slab"/>
      <sheetName val="Abs_CD_2"/>
      <sheetName val="certificate"/>
      <sheetName val="CBR"/>
      <sheetName val="Gen abs"/>
      <sheetName val="mlead"/>
      <sheetName val="ECV"/>
      <sheetName val="1rX1000"/>
    </sheetNames>
    <sheetDataSet>
      <sheetData sheetId="0"/>
      <sheetData sheetId="1"/>
      <sheetData sheetId="2">
        <row r="27">
          <cell r="E27" t="str">
            <v>Karimnagar</v>
          </cell>
        </row>
        <row r="28">
          <cell r="E28" t="str">
            <v>Jagtial</v>
          </cell>
        </row>
      </sheetData>
      <sheetData sheetId="3"/>
      <sheetData sheetId="4"/>
      <sheetData sheetId="5"/>
      <sheetData sheetId="6">
        <row r="15">
          <cell r="L15">
            <v>323.50900000000001</v>
          </cell>
        </row>
      </sheetData>
      <sheetData sheetId="7">
        <row r="68">
          <cell r="K68">
            <v>1053</v>
          </cell>
        </row>
        <row r="106">
          <cell r="K106">
            <v>983</v>
          </cell>
        </row>
        <row r="132">
          <cell r="K132">
            <v>1096</v>
          </cell>
        </row>
        <row r="273">
          <cell r="K273">
            <v>243</v>
          </cell>
        </row>
        <row r="281">
          <cell r="K281">
            <v>34.299999999999997</v>
          </cell>
        </row>
        <row r="306">
          <cell r="K306">
            <v>1966</v>
          </cell>
        </row>
        <row r="317">
          <cell r="K317">
            <v>2527</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2"/>
      <sheetName val="Cover"/>
      <sheetName val="FDR HNM shankernaik"/>
      <sheetName val="HNM 69to71"/>
      <sheetName val="HNM 66 4to68 4 berms partchwor"/>
      <sheetName val="FDR NI &amp; Mdg Grnbv"/>
      <sheetName val="EW fdr Mdg Grnbv NI"/>
      <sheetName val="HNM 64 to 65 8berms partchwork"/>
      <sheetName val="FDR BK new"/>
      <sheetName val="FDR BK"/>
      <sheetName val="MRoad data"/>
      <sheetName val="DataHNM"/>
      <sheetName val="wmm data FDR BK"/>
      <sheetName val="EW data FDR BK"/>
      <sheetName val="data fdr BK"/>
      <sheetName val="Datas"/>
      <sheetName val="RMR fdr BK"/>
      <sheetName val="RMRHNM"/>
      <sheetName val="NP"/>
      <sheetName val="DATANP"/>
      <sheetName val="RMRNP"/>
      <sheetName val="NM wmm"/>
      <sheetName val="NM ER 5 30 workdone"/>
      <sheetName val="NM ER 6 lks final se"/>
      <sheetName val="NM R 6lks final"/>
      <sheetName val="NM ER 6 Lks"/>
      <sheetName val="NM"/>
      <sheetName val="DATANM"/>
      <sheetName val="RMRNM"/>
      <sheetName val="MG-G&amp;NN"/>
      <sheetName val="MG-G"/>
      <sheetName val="DATAMG-G"/>
      <sheetName val="RMRMG-G"/>
      <sheetName val="NN"/>
      <sheetName val="DATANN"/>
      <sheetName val="RMRNN"/>
      <sheetName val="Sheet2"/>
      <sheetName val="Sheet3"/>
      <sheetName val="Sheet4"/>
      <sheetName val="Sheet5"/>
      <sheetName val="Sheet6"/>
      <sheetName val="Sheet7"/>
      <sheetName val="Sheet8"/>
      <sheetName val="Sheet9"/>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F"/>
      <sheetName val="General_Abstract"/>
      <sheetName val="Name"/>
      <sheetName val="21-Col"/>
      <sheetName val="BCR"/>
      <sheetName val="GAB&amp; BCR"/>
      <sheetName val="RGM"/>
      <sheetName val="Canal -R.F"/>
      <sheetName val="Report"/>
      <sheetName val="YDBS"/>
      <sheetName val="Sheet2"/>
      <sheetName val="Weir Est (2)"/>
      <sheetName val="Abst-sl"/>
      <sheetName val="Rain fall"/>
      <sheetName val="EAB SC"/>
      <sheetName val="EWE-SC "/>
      <sheetName val="D-TAB"/>
      <sheetName val="P I R"/>
      <sheetName val="P.S"/>
      <sheetName val="Drawings"/>
      <sheetName val="Abst (2)"/>
      <sheetName val="S.C"/>
      <sheetName val="Weir Est-sl"/>
      <sheetName val="D-Slu"/>
      <sheetName val="Est-Slu"/>
      <sheetName val="Sheet1"/>
      <sheetName val="RGM (2)"/>
      <sheetName val="Tech Dts"/>
      <sheetName val="Certi"/>
      <sheetName val="CONST"/>
      <sheetName val="DT Bund "/>
      <sheetName val="C"/>
      <sheetName val="COM &amp; L.C"/>
      <sheetName val="USER1"/>
      <sheetName val="Data"/>
      <sheetName val="SSR 04-05"/>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ow r="60">
          <cell r="K60">
            <v>0.31</v>
          </cell>
          <cell r="U60">
            <v>0.85499999999999998</v>
          </cell>
        </row>
        <row r="61">
          <cell r="K61">
            <v>1.85</v>
          </cell>
          <cell r="U61">
            <v>2.52</v>
          </cell>
        </row>
        <row r="69">
          <cell r="J69">
            <v>0.23400000000000021</v>
          </cell>
          <cell r="U69">
            <v>0.70900000000000007</v>
          </cell>
        </row>
        <row r="75">
          <cell r="D75">
            <v>0.1</v>
          </cell>
          <cell r="E75">
            <v>4.5999999999999996</v>
          </cell>
          <cell r="F75">
            <v>1.38</v>
          </cell>
          <cell r="I75">
            <v>1.02</v>
          </cell>
          <cell r="M75">
            <v>0.5</v>
          </cell>
          <cell r="Q75">
            <v>0.1</v>
          </cell>
        </row>
        <row r="76">
          <cell r="D76">
            <v>0.2</v>
          </cell>
          <cell r="E76">
            <v>5</v>
          </cell>
          <cell r="F76">
            <v>1.5</v>
          </cell>
          <cell r="I76">
            <v>1.5</v>
          </cell>
          <cell r="M76">
            <v>0.5</v>
          </cell>
          <cell r="Q76">
            <v>0.2</v>
          </cell>
        </row>
        <row r="77">
          <cell r="D77">
            <v>0.3</v>
          </cell>
          <cell r="E77">
            <v>5.4</v>
          </cell>
          <cell r="F77">
            <v>1.62</v>
          </cell>
          <cell r="I77">
            <v>2.02</v>
          </cell>
          <cell r="M77">
            <v>0.5</v>
          </cell>
          <cell r="Q77">
            <v>0.3</v>
          </cell>
        </row>
        <row r="78">
          <cell r="D78">
            <v>0.4</v>
          </cell>
          <cell r="E78">
            <v>5.8</v>
          </cell>
          <cell r="F78">
            <v>1.74</v>
          </cell>
          <cell r="I78">
            <v>2.58</v>
          </cell>
          <cell r="M78">
            <v>0.5</v>
          </cell>
          <cell r="Q78">
            <v>0.4</v>
          </cell>
        </row>
        <row r="79">
          <cell r="D79">
            <v>0.5</v>
          </cell>
          <cell r="E79">
            <v>6.2</v>
          </cell>
          <cell r="F79">
            <v>1.86</v>
          </cell>
          <cell r="I79">
            <v>3.18</v>
          </cell>
          <cell r="M79">
            <v>0.5</v>
          </cell>
          <cell r="Q79">
            <v>0.5</v>
          </cell>
        </row>
        <row r="80">
          <cell r="D80">
            <v>0.55000000000000004</v>
          </cell>
        </row>
        <row r="81">
          <cell r="D81">
            <v>0.6</v>
          </cell>
          <cell r="E81">
            <v>6.6</v>
          </cell>
          <cell r="F81">
            <v>1.98</v>
          </cell>
          <cell r="I81">
            <v>3.82</v>
          </cell>
          <cell r="M81">
            <v>0.5</v>
          </cell>
          <cell r="Q81">
            <v>0.6</v>
          </cell>
        </row>
        <row r="82">
          <cell r="D82">
            <v>0.7</v>
          </cell>
          <cell r="E82">
            <v>7</v>
          </cell>
          <cell r="F82">
            <v>2.1</v>
          </cell>
          <cell r="I82">
            <v>4.5</v>
          </cell>
          <cell r="M82">
            <v>0.5</v>
          </cell>
          <cell r="Q82">
            <v>0.7</v>
          </cell>
        </row>
        <row r="83">
          <cell r="D83">
            <v>0.8</v>
          </cell>
          <cell r="E83">
            <v>7.4</v>
          </cell>
          <cell r="F83">
            <v>2.2200000000000002</v>
          </cell>
          <cell r="I83">
            <v>5.22</v>
          </cell>
          <cell r="M83">
            <v>0.5</v>
          </cell>
          <cell r="Q83">
            <v>0.8</v>
          </cell>
        </row>
        <row r="84">
          <cell r="D84">
            <v>0.9</v>
          </cell>
          <cell r="E84">
            <v>7.8</v>
          </cell>
          <cell r="F84">
            <v>2.34</v>
          </cell>
          <cell r="I84">
            <v>5.98</v>
          </cell>
          <cell r="M84">
            <v>0.5</v>
          </cell>
          <cell r="Q84">
            <v>0.9</v>
          </cell>
        </row>
        <row r="85">
          <cell r="D85">
            <v>1</v>
          </cell>
          <cell r="E85">
            <v>8.1999999999999993</v>
          </cell>
          <cell r="F85">
            <v>2.46</v>
          </cell>
          <cell r="I85">
            <v>6.78</v>
          </cell>
          <cell r="M85">
            <v>0.5</v>
          </cell>
          <cell r="Q85">
            <v>1</v>
          </cell>
        </row>
        <row r="86">
          <cell r="D86">
            <v>1.05</v>
          </cell>
        </row>
        <row r="87">
          <cell r="D87">
            <v>1.1000000000000001</v>
          </cell>
          <cell r="E87">
            <v>8.6</v>
          </cell>
          <cell r="F87">
            <v>2.58</v>
          </cell>
          <cell r="I87">
            <v>7.62</v>
          </cell>
          <cell r="M87">
            <v>0.5</v>
          </cell>
          <cell r="Q87">
            <v>1.1000000000000001</v>
          </cell>
        </row>
        <row r="88">
          <cell r="D88">
            <v>1.2</v>
          </cell>
          <cell r="E88">
            <v>9</v>
          </cell>
          <cell r="F88">
            <v>2.7</v>
          </cell>
          <cell r="I88">
            <v>8.5</v>
          </cell>
          <cell r="M88">
            <v>0.5</v>
          </cell>
          <cell r="Q88">
            <v>1.2</v>
          </cell>
        </row>
        <row r="89">
          <cell r="D89">
            <v>1.3</v>
          </cell>
          <cell r="E89">
            <v>9.4</v>
          </cell>
          <cell r="F89">
            <v>2.82</v>
          </cell>
          <cell r="I89">
            <v>9.42</v>
          </cell>
          <cell r="M89">
            <v>0.5</v>
          </cell>
          <cell r="Q89">
            <v>1.3</v>
          </cell>
        </row>
        <row r="90">
          <cell r="D90">
            <v>1.4</v>
          </cell>
          <cell r="E90">
            <v>9.8000000000000007</v>
          </cell>
          <cell r="F90">
            <v>2.94</v>
          </cell>
          <cell r="G90">
            <v>1.98</v>
          </cell>
          <cell r="I90">
            <v>10.38</v>
          </cell>
          <cell r="M90">
            <v>0.5</v>
          </cell>
          <cell r="Q90">
            <v>1.4</v>
          </cell>
        </row>
        <row r="91">
          <cell r="D91">
            <v>1.5</v>
          </cell>
          <cell r="E91">
            <v>10.199999999999999</v>
          </cell>
          <cell r="F91">
            <v>3.48</v>
          </cell>
          <cell r="G91">
            <v>1.98</v>
          </cell>
          <cell r="I91">
            <v>9.09</v>
          </cell>
          <cell r="J91">
            <v>1.57</v>
          </cell>
          <cell r="K91">
            <v>1.1100000000000001</v>
          </cell>
          <cell r="M91">
            <v>0.47</v>
          </cell>
          <cell r="Q91">
            <v>1.5</v>
          </cell>
        </row>
        <row r="92">
          <cell r="D92">
            <v>1.55</v>
          </cell>
        </row>
        <row r="93">
          <cell r="D93">
            <v>1.6</v>
          </cell>
          <cell r="E93">
            <v>10.6</v>
          </cell>
          <cell r="F93">
            <v>3.6</v>
          </cell>
          <cell r="G93">
            <v>1.98</v>
          </cell>
          <cell r="I93">
            <v>10</v>
          </cell>
          <cell r="J93">
            <v>1.64</v>
          </cell>
          <cell r="K93">
            <v>1.17</v>
          </cell>
          <cell r="M93">
            <v>0.47</v>
          </cell>
          <cell r="Q93">
            <v>1.6</v>
          </cell>
        </row>
        <row r="94">
          <cell r="D94">
            <v>1.7</v>
          </cell>
          <cell r="E94">
            <v>11</v>
          </cell>
          <cell r="F94">
            <v>3.72</v>
          </cell>
          <cell r="G94">
            <v>1.98</v>
          </cell>
          <cell r="I94">
            <v>10.95</v>
          </cell>
          <cell r="J94">
            <v>1.7</v>
          </cell>
          <cell r="K94">
            <v>1.24</v>
          </cell>
          <cell r="M94">
            <v>0.47</v>
          </cell>
          <cell r="Q94">
            <v>1.7</v>
          </cell>
        </row>
        <row r="95">
          <cell r="D95">
            <v>1.8</v>
          </cell>
          <cell r="E95">
            <v>11.4</v>
          </cell>
          <cell r="F95">
            <v>3.84</v>
          </cell>
          <cell r="G95">
            <v>1.98</v>
          </cell>
          <cell r="I95">
            <v>11.93</v>
          </cell>
          <cell r="J95">
            <v>1.77</v>
          </cell>
          <cell r="K95">
            <v>1.31</v>
          </cell>
          <cell r="M95">
            <v>0.47</v>
          </cell>
          <cell r="Q95">
            <v>1.8</v>
          </cell>
        </row>
        <row r="96">
          <cell r="D96">
            <v>1.9</v>
          </cell>
          <cell r="E96">
            <v>11.8</v>
          </cell>
          <cell r="F96">
            <v>3.96</v>
          </cell>
          <cell r="G96">
            <v>1.98</v>
          </cell>
          <cell r="I96">
            <v>12.95</v>
          </cell>
          <cell r="J96">
            <v>1.84</v>
          </cell>
          <cell r="K96">
            <v>1.38</v>
          </cell>
          <cell r="M96">
            <v>0.47</v>
          </cell>
          <cell r="Q96">
            <v>1.9</v>
          </cell>
        </row>
        <row r="97">
          <cell r="D97">
            <v>2</v>
          </cell>
          <cell r="E97">
            <v>12.2</v>
          </cell>
          <cell r="F97">
            <v>4.08</v>
          </cell>
          <cell r="G97">
            <v>1.98</v>
          </cell>
          <cell r="I97">
            <v>14.03</v>
          </cell>
          <cell r="J97">
            <v>1.9</v>
          </cell>
          <cell r="K97">
            <v>1.44</v>
          </cell>
          <cell r="M97">
            <v>0.47</v>
          </cell>
          <cell r="Q97">
            <v>2</v>
          </cell>
        </row>
        <row r="98">
          <cell r="D98">
            <v>2.1</v>
          </cell>
          <cell r="E98">
            <v>12.6</v>
          </cell>
          <cell r="F98">
            <v>4.2</v>
          </cell>
          <cell r="G98">
            <v>1.98</v>
          </cell>
          <cell r="I98">
            <v>15.13</v>
          </cell>
          <cell r="J98">
            <v>1.97</v>
          </cell>
          <cell r="K98">
            <v>1.51</v>
          </cell>
          <cell r="M98">
            <v>0.47</v>
          </cell>
          <cell r="Q98">
            <v>2.1</v>
          </cell>
        </row>
        <row r="99">
          <cell r="D99">
            <v>2.2000000000000002</v>
          </cell>
          <cell r="E99">
            <v>13</v>
          </cell>
          <cell r="F99">
            <v>4.32</v>
          </cell>
          <cell r="G99">
            <v>1.98</v>
          </cell>
          <cell r="I99">
            <v>16.27</v>
          </cell>
          <cell r="J99">
            <v>2.04</v>
          </cell>
          <cell r="K99">
            <v>1.58</v>
          </cell>
          <cell r="M99">
            <v>0.47</v>
          </cell>
          <cell r="Q99">
            <v>2.2000000000000002</v>
          </cell>
        </row>
        <row r="100">
          <cell r="D100">
            <v>2.2999999999999998</v>
          </cell>
          <cell r="E100">
            <v>13.4</v>
          </cell>
          <cell r="F100">
            <v>4.4400000000000004</v>
          </cell>
          <cell r="G100">
            <v>1.98</v>
          </cell>
          <cell r="I100">
            <v>17.47</v>
          </cell>
          <cell r="J100">
            <v>2.1</v>
          </cell>
          <cell r="K100">
            <v>1.64</v>
          </cell>
          <cell r="M100">
            <v>0.47</v>
          </cell>
          <cell r="Q100">
            <v>2.2999999999999998</v>
          </cell>
        </row>
        <row r="101">
          <cell r="D101">
            <v>2.4</v>
          </cell>
          <cell r="E101">
            <v>13.8</v>
          </cell>
          <cell r="F101">
            <v>4.5599999999999996</v>
          </cell>
          <cell r="G101">
            <v>1.98</v>
          </cell>
          <cell r="I101">
            <v>18.690000000000001</v>
          </cell>
          <cell r="J101">
            <v>2.17</v>
          </cell>
          <cell r="K101">
            <v>1.71</v>
          </cell>
          <cell r="M101">
            <v>0.47</v>
          </cell>
          <cell r="Q101">
            <v>2.4</v>
          </cell>
        </row>
        <row r="102">
          <cell r="D102">
            <v>2.5</v>
          </cell>
          <cell r="E102">
            <v>14.2</v>
          </cell>
          <cell r="F102">
            <v>4.68</v>
          </cell>
          <cell r="G102">
            <v>1.98</v>
          </cell>
          <cell r="I102">
            <v>19.95</v>
          </cell>
          <cell r="J102">
            <v>2.2400000000000002</v>
          </cell>
          <cell r="K102">
            <v>1.78</v>
          </cell>
          <cell r="M102">
            <v>0.47</v>
          </cell>
          <cell r="Q102">
            <v>2.5</v>
          </cell>
        </row>
        <row r="103">
          <cell r="D103">
            <v>2.5499999999999998</v>
          </cell>
        </row>
        <row r="104">
          <cell r="D104">
            <v>2.6</v>
          </cell>
          <cell r="E104">
            <v>14.6</v>
          </cell>
          <cell r="F104">
            <v>4.8</v>
          </cell>
          <cell r="G104">
            <v>1.98</v>
          </cell>
          <cell r="I104">
            <v>21.25</v>
          </cell>
          <cell r="J104">
            <v>2.31</v>
          </cell>
          <cell r="K104">
            <v>1.85</v>
          </cell>
          <cell r="M104">
            <v>0.47</v>
          </cell>
          <cell r="Q104">
            <v>2.6</v>
          </cell>
        </row>
        <row r="105">
          <cell r="D105">
            <v>2.7</v>
          </cell>
          <cell r="E105">
            <v>15</v>
          </cell>
          <cell r="F105">
            <v>4.92</v>
          </cell>
          <cell r="G105">
            <v>1.98</v>
          </cell>
          <cell r="I105">
            <v>22.61</v>
          </cell>
          <cell r="J105">
            <v>2.37</v>
          </cell>
          <cell r="K105">
            <v>1.91</v>
          </cell>
          <cell r="M105">
            <v>0.47</v>
          </cell>
          <cell r="Q105">
            <v>2.7</v>
          </cell>
        </row>
        <row r="106">
          <cell r="D106">
            <v>2.8</v>
          </cell>
          <cell r="E106">
            <v>15.4</v>
          </cell>
          <cell r="F106">
            <v>5.04</v>
          </cell>
          <cell r="G106">
            <v>2.16</v>
          </cell>
          <cell r="I106">
            <v>24.1</v>
          </cell>
          <cell r="J106">
            <v>2.44</v>
          </cell>
          <cell r="K106">
            <v>1.98</v>
          </cell>
          <cell r="M106">
            <v>0.47</v>
          </cell>
          <cell r="Q106">
            <v>2.8</v>
          </cell>
        </row>
        <row r="107">
          <cell r="D107">
            <v>2.9</v>
          </cell>
          <cell r="E107">
            <v>15.8</v>
          </cell>
          <cell r="F107">
            <v>5.16</v>
          </cell>
          <cell r="G107">
            <v>2.35</v>
          </cell>
          <cell r="I107">
            <v>25.41</v>
          </cell>
          <cell r="J107">
            <v>2.5099999999999998</v>
          </cell>
          <cell r="K107">
            <v>2.0499999999999998</v>
          </cell>
          <cell r="M107">
            <v>0.47</v>
          </cell>
          <cell r="Q107">
            <v>2.9</v>
          </cell>
        </row>
        <row r="108">
          <cell r="D108">
            <v>3</v>
          </cell>
          <cell r="E108">
            <v>16.2</v>
          </cell>
          <cell r="F108">
            <v>5.28</v>
          </cell>
          <cell r="G108">
            <v>2.5299999999999998</v>
          </cell>
          <cell r="I108">
            <v>26.89</v>
          </cell>
          <cell r="J108">
            <v>2.57</v>
          </cell>
          <cell r="K108">
            <v>2.11</v>
          </cell>
          <cell r="M108">
            <v>0.47</v>
          </cell>
          <cell r="Q108">
            <v>3</v>
          </cell>
        </row>
        <row r="109">
          <cell r="D109">
            <v>3.05</v>
          </cell>
        </row>
        <row r="110">
          <cell r="D110">
            <v>3.1</v>
          </cell>
          <cell r="E110">
            <v>16.600000000000001</v>
          </cell>
          <cell r="F110">
            <v>5.4</v>
          </cell>
          <cell r="G110">
            <v>2.72</v>
          </cell>
          <cell r="I110">
            <v>28.39</v>
          </cell>
          <cell r="J110">
            <v>2.64</v>
          </cell>
          <cell r="K110">
            <v>2.1800000000000002</v>
          </cell>
          <cell r="M110">
            <v>0.47</v>
          </cell>
          <cell r="Q110">
            <v>3.1</v>
          </cell>
        </row>
        <row r="111">
          <cell r="D111">
            <v>3.2</v>
          </cell>
          <cell r="E111">
            <v>17</v>
          </cell>
          <cell r="F111">
            <v>5.52</v>
          </cell>
          <cell r="G111">
            <v>2.91</v>
          </cell>
          <cell r="I111">
            <v>29.93</v>
          </cell>
          <cell r="J111">
            <v>2.71</v>
          </cell>
          <cell r="K111">
            <v>2.25</v>
          </cell>
          <cell r="M111">
            <v>0.47</v>
          </cell>
          <cell r="Q111">
            <v>3.2</v>
          </cell>
        </row>
        <row r="112">
          <cell r="D112">
            <v>3.3</v>
          </cell>
          <cell r="E112">
            <v>17.399999999999999</v>
          </cell>
          <cell r="F112">
            <v>5.64</v>
          </cell>
          <cell r="G112">
            <v>3.11</v>
          </cell>
          <cell r="I112">
            <v>31.53</v>
          </cell>
          <cell r="J112">
            <v>2.77</v>
          </cell>
          <cell r="K112">
            <v>2.31</v>
          </cell>
          <cell r="M112">
            <v>0.47</v>
          </cell>
          <cell r="Q112">
            <v>3.3</v>
          </cell>
        </row>
        <row r="113">
          <cell r="D113">
            <v>3.4</v>
          </cell>
          <cell r="E113">
            <v>17.8</v>
          </cell>
          <cell r="F113">
            <v>5.76</v>
          </cell>
          <cell r="G113">
            <v>3.3</v>
          </cell>
          <cell r="I113">
            <v>33.15</v>
          </cell>
          <cell r="J113">
            <v>2.84</v>
          </cell>
          <cell r="K113">
            <v>2.38</v>
          </cell>
          <cell r="M113">
            <v>0.47</v>
          </cell>
          <cell r="Q113">
            <v>3.4</v>
          </cell>
        </row>
        <row r="114">
          <cell r="D114">
            <v>3.5</v>
          </cell>
          <cell r="E114">
            <v>18</v>
          </cell>
          <cell r="F114">
            <v>7.82</v>
          </cell>
          <cell r="G114">
            <v>3.5</v>
          </cell>
          <cell r="I114">
            <v>29.63</v>
          </cell>
          <cell r="J114">
            <v>2.91</v>
          </cell>
          <cell r="K114">
            <v>2.4500000000000002</v>
          </cell>
          <cell r="L114">
            <v>2.64</v>
          </cell>
          <cell r="M114">
            <v>0.47</v>
          </cell>
          <cell r="N114">
            <v>2.64</v>
          </cell>
          <cell r="O114">
            <v>0.38</v>
          </cell>
          <cell r="P114">
            <v>1.01</v>
          </cell>
          <cell r="Q114">
            <v>3.05</v>
          </cell>
        </row>
        <row r="115">
          <cell r="D115">
            <v>3.55</v>
          </cell>
        </row>
        <row r="116">
          <cell r="D116">
            <v>3.6</v>
          </cell>
          <cell r="E116">
            <v>18.399999999999999</v>
          </cell>
          <cell r="F116">
            <v>7.94</v>
          </cell>
          <cell r="G116">
            <v>3.7</v>
          </cell>
          <cell r="I116">
            <v>31.17</v>
          </cell>
          <cell r="J116">
            <v>2.98</v>
          </cell>
          <cell r="K116">
            <v>2.52</v>
          </cell>
          <cell r="L116">
            <v>2.64</v>
          </cell>
          <cell r="M116">
            <v>0.47</v>
          </cell>
          <cell r="N116">
            <v>2.8</v>
          </cell>
          <cell r="O116">
            <v>0.38</v>
          </cell>
          <cell r="P116">
            <v>1.01</v>
          </cell>
          <cell r="Q116">
            <v>3.15</v>
          </cell>
        </row>
        <row r="117">
          <cell r="D117">
            <v>3.7</v>
          </cell>
          <cell r="E117">
            <v>18.8</v>
          </cell>
          <cell r="F117">
            <v>8.06</v>
          </cell>
          <cell r="G117">
            <v>3.91</v>
          </cell>
          <cell r="I117">
            <v>32.78</v>
          </cell>
          <cell r="J117">
            <v>3.04</v>
          </cell>
          <cell r="K117">
            <v>2.58</v>
          </cell>
          <cell r="L117">
            <v>2.64</v>
          </cell>
          <cell r="M117">
            <v>0.47</v>
          </cell>
          <cell r="N117">
            <v>2.95</v>
          </cell>
          <cell r="O117">
            <v>0.38</v>
          </cell>
          <cell r="P117">
            <v>1.01</v>
          </cell>
          <cell r="Q117">
            <v>3.25</v>
          </cell>
        </row>
        <row r="118">
          <cell r="D118">
            <v>3.8</v>
          </cell>
          <cell r="E118">
            <v>19.2</v>
          </cell>
          <cell r="F118">
            <v>8.18</v>
          </cell>
          <cell r="G118">
            <v>4.1100000000000003</v>
          </cell>
          <cell r="I118">
            <v>34.4</v>
          </cell>
          <cell r="J118">
            <v>3.11</v>
          </cell>
          <cell r="K118">
            <v>2.65</v>
          </cell>
          <cell r="L118">
            <v>2.64</v>
          </cell>
          <cell r="M118">
            <v>0.47</v>
          </cell>
          <cell r="N118">
            <v>3.11</v>
          </cell>
          <cell r="O118">
            <v>0.38</v>
          </cell>
          <cell r="P118">
            <v>1.01</v>
          </cell>
          <cell r="Q118">
            <v>3.35</v>
          </cell>
        </row>
        <row r="119">
          <cell r="D119">
            <v>3.9</v>
          </cell>
          <cell r="E119">
            <v>19.600000000000001</v>
          </cell>
          <cell r="F119">
            <v>8.3000000000000007</v>
          </cell>
          <cell r="G119">
            <v>4.32</v>
          </cell>
          <cell r="I119">
            <v>36.06</v>
          </cell>
          <cell r="J119">
            <v>3.18</v>
          </cell>
          <cell r="K119">
            <v>2.72</v>
          </cell>
          <cell r="L119">
            <v>2.64</v>
          </cell>
          <cell r="M119">
            <v>0.47</v>
          </cell>
          <cell r="N119">
            <v>3.27</v>
          </cell>
          <cell r="O119">
            <v>0.38</v>
          </cell>
          <cell r="P119">
            <v>1.01</v>
          </cell>
          <cell r="Q119">
            <v>3.45</v>
          </cell>
        </row>
        <row r="120">
          <cell r="D120">
            <v>4</v>
          </cell>
          <cell r="E120">
            <v>20</v>
          </cell>
          <cell r="F120">
            <v>8.42</v>
          </cell>
          <cell r="G120">
            <v>4.53</v>
          </cell>
          <cell r="I120">
            <v>37.79</v>
          </cell>
          <cell r="J120">
            <v>3.24</v>
          </cell>
          <cell r="K120">
            <v>2.78</v>
          </cell>
          <cell r="L120">
            <v>2.64</v>
          </cell>
          <cell r="M120">
            <v>0.47</v>
          </cell>
          <cell r="N120">
            <v>3.42</v>
          </cell>
          <cell r="O120">
            <v>0.38</v>
          </cell>
          <cell r="P120">
            <v>1.01</v>
          </cell>
          <cell r="Q120">
            <v>3.55</v>
          </cell>
        </row>
        <row r="121">
          <cell r="D121">
            <v>4.05</v>
          </cell>
        </row>
        <row r="122">
          <cell r="D122">
            <v>4.0999999999999996</v>
          </cell>
          <cell r="E122">
            <v>20.399999999999999</v>
          </cell>
          <cell r="F122">
            <v>8.5399999999999991</v>
          </cell>
          <cell r="G122">
            <v>4.75</v>
          </cell>
          <cell r="I122">
            <v>39.53</v>
          </cell>
          <cell r="J122">
            <v>3.31</v>
          </cell>
          <cell r="K122">
            <v>2.85</v>
          </cell>
          <cell r="L122">
            <v>2.64</v>
          </cell>
          <cell r="M122">
            <v>0.47</v>
          </cell>
          <cell r="N122">
            <v>3.58</v>
          </cell>
          <cell r="O122">
            <v>0.38</v>
          </cell>
          <cell r="P122">
            <v>1.01</v>
          </cell>
          <cell r="Q122">
            <v>3.65</v>
          </cell>
        </row>
        <row r="123">
          <cell r="D123">
            <v>4.2</v>
          </cell>
          <cell r="E123">
            <v>20.8</v>
          </cell>
          <cell r="F123">
            <v>8.66</v>
          </cell>
          <cell r="G123">
            <v>4.96</v>
          </cell>
          <cell r="I123">
            <v>41.31</v>
          </cell>
          <cell r="J123">
            <v>3.38</v>
          </cell>
          <cell r="K123">
            <v>2.92</v>
          </cell>
          <cell r="L123">
            <v>2.64</v>
          </cell>
          <cell r="M123">
            <v>0.47</v>
          </cell>
          <cell r="N123">
            <v>3.74</v>
          </cell>
          <cell r="O123">
            <v>0.38</v>
          </cell>
          <cell r="P123">
            <v>1.01</v>
          </cell>
          <cell r="Q123">
            <v>3.75</v>
          </cell>
        </row>
        <row r="124">
          <cell r="D124">
            <v>4.3</v>
          </cell>
          <cell r="E124">
            <v>21.2</v>
          </cell>
          <cell r="F124">
            <v>8.7799999999999994</v>
          </cell>
          <cell r="G124">
            <v>5.18</v>
          </cell>
          <cell r="I124">
            <v>43.13</v>
          </cell>
          <cell r="J124">
            <v>3.45</v>
          </cell>
          <cell r="K124">
            <v>2.99</v>
          </cell>
          <cell r="L124">
            <v>2.64</v>
          </cell>
          <cell r="M124">
            <v>0.47</v>
          </cell>
          <cell r="N124">
            <v>3.9</v>
          </cell>
          <cell r="O124">
            <v>0.38</v>
          </cell>
          <cell r="P124">
            <v>1.01</v>
          </cell>
          <cell r="Q124">
            <v>3.85</v>
          </cell>
        </row>
        <row r="125">
          <cell r="D125">
            <v>4.4000000000000004</v>
          </cell>
          <cell r="E125">
            <v>21.6</v>
          </cell>
          <cell r="F125">
            <v>8.9</v>
          </cell>
          <cell r="G125">
            <v>5.4</v>
          </cell>
          <cell r="I125">
            <v>45.02</v>
          </cell>
          <cell r="J125">
            <v>3.51</v>
          </cell>
          <cell r="K125">
            <v>3.05</v>
          </cell>
          <cell r="L125">
            <v>2.64</v>
          </cell>
          <cell r="M125">
            <v>0.47</v>
          </cell>
          <cell r="N125">
            <v>4.05</v>
          </cell>
          <cell r="O125">
            <v>0.38</v>
          </cell>
          <cell r="P125">
            <v>1.01</v>
          </cell>
          <cell r="Q125">
            <v>3.95</v>
          </cell>
        </row>
        <row r="126">
          <cell r="D126">
            <v>4.5</v>
          </cell>
          <cell r="E126">
            <v>22</v>
          </cell>
          <cell r="F126">
            <v>9.02</v>
          </cell>
          <cell r="G126">
            <v>5.63</v>
          </cell>
          <cell r="I126">
            <v>46.92</v>
          </cell>
          <cell r="J126">
            <v>3.58</v>
          </cell>
          <cell r="K126">
            <v>3.12</v>
          </cell>
          <cell r="L126">
            <v>2.64</v>
          </cell>
          <cell r="M126">
            <v>0.47</v>
          </cell>
          <cell r="N126">
            <v>4.21</v>
          </cell>
          <cell r="O126">
            <v>0.38</v>
          </cell>
          <cell r="P126">
            <v>1.01</v>
          </cell>
          <cell r="Q126">
            <v>4.05</v>
          </cell>
        </row>
        <row r="127">
          <cell r="D127">
            <v>4.55</v>
          </cell>
        </row>
        <row r="128">
          <cell r="D128">
            <v>4.5999999999999996</v>
          </cell>
          <cell r="E128">
            <v>22.4</v>
          </cell>
          <cell r="F128">
            <v>9.14</v>
          </cell>
          <cell r="G128">
            <v>5.85</v>
          </cell>
          <cell r="I128">
            <v>48.86</v>
          </cell>
          <cell r="J128">
            <v>3.65</v>
          </cell>
          <cell r="K128">
            <v>3.19</v>
          </cell>
          <cell r="L128">
            <v>2.64</v>
          </cell>
          <cell r="M128">
            <v>0.47</v>
          </cell>
          <cell r="N128">
            <v>4.37</v>
          </cell>
          <cell r="O128">
            <v>0.38</v>
          </cell>
          <cell r="P128">
            <v>1.01</v>
          </cell>
          <cell r="Q128">
            <v>4.1500000000000004</v>
          </cell>
        </row>
        <row r="129">
          <cell r="D129">
            <v>4.7</v>
          </cell>
          <cell r="E129">
            <v>22.8</v>
          </cell>
          <cell r="F129">
            <v>9.26</v>
          </cell>
          <cell r="G129">
            <v>6.08</v>
          </cell>
          <cell r="I129">
            <v>50.86</v>
          </cell>
          <cell r="J129">
            <v>3.71</v>
          </cell>
          <cell r="K129">
            <v>3.25</v>
          </cell>
          <cell r="L129">
            <v>2.64</v>
          </cell>
          <cell r="M129">
            <v>0.47</v>
          </cell>
          <cell r="N129">
            <v>4.53</v>
          </cell>
          <cell r="O129">
            <v>0.38</v>
          </cell>
          <cell r="P129">
            <v>1.01</v>
          </cell>
          <cell r="Q129">
            <v>4.25</v>
          </cell>
        </row>
        <row r="130">
          <cell r="D130">
            <v>4.8</v>
          </cell>
          <cell r="E130">
            <v>23.2</v>
          </cell>
          <cell r="F130">
            <v>9.3800000000000008</v>
          </cell>
          <cell r="G130">
            <v>6.31</v>
          </cell>
          <cell r="I130">
            <v>52.89</v>
          </cell>
          <cell r="J130">
            <v>3.78</v>
          </cell>
          <cell r="K130">
            <v>3.32</v>
          </cell>
          <cell r="L130">
            <v>2.64</v>
          </cell>
          <cell r="M130">
            <v>0.47</v>
          </cell>
          <cell r="N130">
            <v>4.68</v>
          </cell>
          <cell r="O130">
            <v>0.38</v>
          </cell>
          <cell r="P130">
            <v>1.01</v>
          </cell>
          <cell r="Q130">
            <v>4.3499999999999996</v>
          </cell>
        </row>
        <row r="131">
          <cell r="D131">
            <v>4.9000000000000004</v>
          </cell>
          <cell r="E131">
            <v>23.6</v>
          </cell>
          <cell r="F131">
            <v>9.5</v>
          </cell>
          <cell r="G131">
            <v>6.55</v>
          </cell>
          <cell r="I131">
            <v>54.95</v>
          </cell>
          <cell r="J131">
            <v>3.85</v>
          </cell>
          <cell r="K131">
            <v>3.39</v>
          </cell>
          <cell r="L131">
            <v>2.64</v>
          </cell>
          <cell r="M131">
            <v>0.47</v>
          </cell>
          <cell r="N131">
            <v>4.84</v>
          </cell>
          <cell r="O131">
            <v>0.38</v>
          </cell>
          <cell r="P131">
            <v>1.01</v>
          </cell>
          <cell r="Q131">
            <v>4.45</v>
          </cell>
        </row>
        <row r="132">
          <cell r="D132">
            <v>5</v>
          </cell>
          <cell r="E132">
            <v>24</v>
          </cell>
          <cell r="F132">
            <v>9.6199999999999992</v>
          </cell>
          <cell r="G132">
            <v>6.78</v>
          </cell>
          <cell r="I132">
            <v>57.05</v>
          </cell>
          <cell r="J132">
            <v>3.92</v>
          </cell>
          <cell r="K132">
            <v>3.46</v>
          </cell>
          <cell r="L132">
            <v>2.64</v>
          </cell>
          <cell r="M132">
            <v>0.47</v>
          </cell>
          <cell r="N132">
            <v>5</v>
          </cell>
          <cell r="O132">
            <v>0.38</v>
          </cell>
          <cell r="P132">
            <v>1.01</v>
          </cell>
          <cell r="Q132">
            <v>4.55</v>
          </cell>
        </row>
        <row r="133">
          <cell r="D133">
            <v>5.55</v>
          </cell>
        </row>
        <row r="134">
          <cell r="D134">
            <v>5.0999999999999996</v>
          </cell>
          <cell r="E134">
            <v>24.4</v>
          </cell>
          <cell r="F134">
            <v>9.74</v>
          </cell>
          <cell r="G134">
            <v>7.02</v>
          </cell>
          <cell r="I134">
            <v>59.21</v>
          </cell>
          <cell r="J134">
            <v>3.98</v>
          </cell>
          <cell r="K134">
            <v>3.52</v>
          </cell>
          <cell r="L134">
            <v>2.64</v>
          </cell>
          <cell r="M134">
            <v>0.47</v>
          </cell>
          <cell r="N134">
            <v>5.16</v>
          </cell>
          <cell r="O134">
            <v>0.38</v>
          </cell>
          <cell r="P134">
            <v>1.01</v>
          </cell>
          <cell r="Q134">
            <v>4.6500000000000004</v>
          </cell>
        </row>
        <row r="135">
          <cell r="D135">
            <v>5.2</v>
          </cell>
          <cell r="E135">
            <v>24.8</v>
          </cell>
          <cell r="F135">
            <v>9.86</v>
          </cell>
          <cell r="G135">
            <v>7.26</v>
          </cell>
          <cell r="I135">
            <v>61.4</v>
          </cell>
          <cell r="J135">
            <v>4.05</v>
          </cell>
          <cell r="K135">
            <v>3.59</v>
          </cell>
          <cell r="L135">
            <v>2.64</v>
          </cell>
          <cell r="M135">
            <v>0.47</v>
          </cell>
          <cell r="N135">
            <v>5.31</v>
          </cell>
          <cell r="O135">
            <v>0.38</v>
          </cell>
          <cell r="P135">
            <v>1.01</v>
          </cell>
          <cell r="Q135">
            <v>4.75</v>
          </cell>
        </row>
        <row r="136">
          <cell r="D136">
            <v>5.3</v>
          </cell>
          <cell r="E136">
            <v>25.2</v>
          </cell>
          <cell r="F136">
            <v>9.98</v>
          </cell>
          <cell r="G136">
            <v>7.51</v>
          </cell>
          <cell r="I136">
            <v>63.62</v>
          </cell>
          <cell r="J136">
            <v>4.12</v>
          </cell>
          <cell r="K136">
            <v>3.66</v>
          </cell>
          <cell r="L136">
            <v>2.64</v>
          </cell>
          <cell r="M136">
            <v>0.47</v>
          </cell>
          <cell r="N136">
            <v>5.47</v>
          </cell>
          <cell r="O136">
            <v>0.38</v>
          </cell>
          <cell r="P136">
            <v>1.01</v>
          </cell>
          <cell r="Q136">
            <v>4.8499999999999996</v>
          </cell>
        </row>
        <row r="137">
          <cell r="D137">
            <v>5.4</v>
          </cell>
          <cell r="E137">
            <v>25.6</v>
          </cell>
          <cell r="F137">
            <v>10.1</v>
          </cell>
          <cell r="G137">
            <v>7.75</v>
          </cell>
          <cell r="I137">
            <v>65.89</v>
          </cell>
          <cell r="J137">
            <v>4.1900000000000004</v>
          </cell>
          <cell r="K137">
            <v>3.72</v>
          </cell>
          <cell r="L137">
            <v>2.64</v>
          </cell>
          <cell r="M137">
            <v>0.47</v>
          </cell>
          <cell r="N137">
            <v>5.63</v>
          </cell>
          <cell r="O137">
            <v>0.38</v>
          </cell>
          <cell r="P137">
            <v>1.01</v>
          </cell>
          <cell r="Q137">
            <v>4.95</v>
          </cell>
        </row>
        <row r="138">
          <cell r="D138">
            <v>5.5</v>
          </cell>
          <cell r="E138">
            <v>26</v>
          </cell>
          <cell r="F138">
            <v>10.220000000000001</v>
          </cell>
          <cell r="G138">
            <v>8</v>
          </cell>
          <cell r="I138">
            <v>68.2</v>
          </cell>
          <cell r="J138">
            <v>4.25</v>
          </cell>
          <cell r="K138">
            <v>3.79</v>
          </cell>
          <cell r="L138">
            <v>2.64</v>
          </cell>
          <cell r="M138">
            <v>0.47</v>
          </cell>
          <cell r="N138">
            <v>5.79</v>
          </cell>
          <cell r="O138">
            <v>0.38</v>
          </cell>
          <cell r="P138">
            <v>1.01</v>
          </cell>
          <cell r="Q138">
            <v>5.05</v>
          </cell>
        </row>
        <row r="139">
          <cell r="D139">
            <v>5.55</v>
          </cell>
        </row>
        <row r="140">
          <cell r="D140">
            <v>5.6</v>
          </cell>
          <cell r="E140">
            <v>26.4</v>
          </cell>
          <cell r="F140">
            <v>10.34</v>
          </cell>
          <cell r="G140">
            <v>8.25</v>
          </cell>
          <cell r="I140">
            <v>70.55</v>
          </cell>
          <cell r="J140">
            <v>4.32</v>
          </cell>
          <cell r="K140">
            <v>3.86</v>
          </cell>
          <cell r="L140">
            <v>2.64</v>
          </cell>
          <cell r="M140">
            <v>0.47</v>
          </cell>
          <cell r="N140">
            <v>5.94</v>
          </cell>
          <cell r="O140">
            <v>0.38</v>
          </cell>
          <cell r="P140">
            <v>1.01</v>
          </cell>
          <cell r="Q140">
            <v>5.15</v>
          </cell>
        </row>
        <row r="141">
          <cell r="D141">
            <v>5.7</v>
          </cell>
          <cell r="E141">
            <v>26.8</v>
          </cell>
          <cell r="F141">
            <v>10.46</v>
          </cell>
          <cell r="G141">
            <v>8.51</v>
          </cell>
          <cell r="I141">
            <v>72.95</v>
          </cell>
          <cell r="J141">
            <v>4.38</v>
          </cell>
          <cell r="K141">
            <v>3.92</v>
          </cell>
          <cell r="L141">
            <v>2.64</v>
          </cell>
          <cell r="M141">
            <v>0.47</v>
          </cell>
          <cell r="N141">
            <v>6.1</v>
          </cell>
          <cell r="O141">
            <v>0.38</v>
          </cell>
          <cell r="P141">
            <v>1.01</v>
          </cell>
          <cell r="Q141">
            <v>5.25</v>
          </cell>
        </row>
        <row r="142">
          <cell r="D142">
            <v>5.8</v>
          </cell>
          <cell r="E142">
            <v>27.2</v>
          </cell>
          <cell r="F142">
            <v>10.58</v>
          </cell>
          <cell r="G142">
            <v>8.76</v>
          </cell>
          <cell r="I142">
            <v>75.37</v>
          </cell>
          <cell r="J142">
            <v>4.45</v>
          </cell>
          <cell r="K142">
            <v>3.99</v>
          </cell>
          <cell r="L142">
            <v>2.64</v>
          </cell>
          <cell r="M142">
            <v>0.47</v>
          </cell>
          <cell r="N142">
            <v>6.26</v>
          </cell>
          <cell r="O142">
            <v>0.38</v>
          </cell>
          <cell r="P142">
            <v>1.01</v>
          </cell>
          <cell r="Q142">
            <v>5.35</v>
          </cell>
        </row>
        <row r="143">
          <cell r="D143">
            <v>5.9</v>
          </cell>
          <cell r="E143">
            <v>27.6</v>
          </cell>
          <cell r="F143">
            <v>10.7</v>
          </cell>
          <cell r="G143">
            <v>9.02</v>
          </cell>
          <cell r="I143">
            <v>77.83</v>
          </cell>
          <cell r="J143">
            <v>4.5199999999999996</v>
          </cell>
          <cell r="K143">
            <v>4.0599999999999996</v>
          </cell>
          <cell r="L143">
            <v>2.64</v>
          </cell>
          <cell r="M143">
            <v>0.47</v>
          </cell>
          <cell r="N143">
            <v>6.42</v>
          </cell>
          <cell r="O143">
            <v>0.38</v>
          </cell>
          <cell r="P143">
            <v>1.01</v>
          </cell>
          <cell r="Q143">
            <v>5.45</v>
          </cell>
        </row>
        <row r="144">
          <cell r="D144">
            <v>6</v>
          </cell>
          <cell r="E144">
            <v>28</v>
          </cell>
          <cell r="F144">
            <v>10.82</v>
          </cell>
          <cell r="G144">
            <v>9.2799999999999994</v>
          </cell>
          <cell r="I144">
            <v>80.34</v>
          </cell>
          <cell r="J144">
            <v>4.59</v>
          </cell>
          <cell r="K144">
            <v>4.13</v>
          </cell>
          <cell r="L144">
            <v>2.64</v>
          </cell>
          <cell r="M144">
            <v>0.47</v>
          </cell>
          <cell r="N144">
            <v>6.57</v>
          </cell>
          <cell r="O144">
            <v>0.38</v>
          </cell>
          <cell r="P144">
            <v>1.01</v>
          </cell>
          <cell r="Q144">
            <v>5.55</v>
          </cell>
        </row>
        <row r="145">
          <cell r="D145">
            <v>6.05</v>
          </cell>
        </row>
        <row r="146">
          <cell r="D146">
            <v>6.1</v>
          </cell>
          <cell r="E146">
            <v>28.4</v>
          </cell>
          <cell r="F146">
            <v>10.94</v>
          </cell>
          <cell r="G146">
            <v>9.5500000000000007</v>
          </cell>
          <cell r="I146">
            <v>82.9</v>
          </cell>
          <cell r="J146">
            <v>4.6500000000000004</v>
          </cell>
          <cell r="K146">
            <v>4.1900000000000004</v>
          </cell>
          <cell r="L146">
            <v>2.64</v>
          </cell>
          <cell r="M146">
            <v>0.47</v>
          </cell>
          <cell r="N146">
            <v>6.73</v>
          </cell>
          <cell r="O146">
            <v>0.38</v>
          </cell>
          <cell r="P146">
            <v>1.01</v>
          </cell>
          <cell r="Q146">
            <v>5.65</v>
          </cell>
        </row>
        <row r="147">
          <cell r="D147">
            <v>6.2</v>
          </cell>
          <cell r="E147">
            <v>28.8</v>
          </cell>
          <cell r="F147">
            <v>11.06</v>
          </cell>
          <cell r="G147">
            <v>9.81</v>
          </cell>
          <cell r="I147">
            <v>85.48</v>
          </cell>
          <cell r="J147">
            <v>4.72</v>
          </cell>
          <cell r="K147">
            <v>4.26</v>
          </cell>
          <cell r="L147">
            <v>2.64</v>
          </cell>
          <cell r="M147">
            <v>0.47</v>
          </cell>
          <cell r="N147">
            <v>6.89</v>
          </cell>
          <cell r="O147">
            <v>0.38</v>
          </cell>
          <cell r="P147">
            <v>1.01</v>
          </cell>
          <cell r="Q147">
            <v>5.75</v>
          </cell>
        </row>
        <row r="148">
          <cell r="D148">
            <v>6.3</v>
          </cell>
          <cell r="E148">
            <v>29.2</v>
          </cell>
          <cell r="F148">
            <v>11.18</v>
          </cell>
          <cell r="G148">
            <v>10.08</v>
          </cell>
          <cell r="I148">
            <v>88.1</v>
          </cell>
          <cell r="J148">
            <v>4.79</v>
          </cell>
          <cell r="K148">
            <v>4.33</v>
          </cell>
          <cell r="L148">
            <v>2.64</v>
          </cell>
          <cell r="M148">
            <v>0.47</v>
          </cell>
          <cell r="N148">
            <v>7.05</v>
          </cell>
          <cell r="O148">
            <v>0.38</v>
          </cell>
          <cell r="P148">
            <v>1.01</v>
          </cell>
          <cell r="Q148">
            <v>5.85</v>
          </cell>
        </row>
        <row r="149">
          <cell r="D149">
            <v>6.4</v>
          </cell>
          <cell r="E149">
            <v>29.6</v>
          </cell>
          <cell r="F149">
            <v>11.3</v>
          </cell>
          <cell r="G149">
            <v>10.35</v>
          </cell>
          <cell r="I149">
            <v>90.79</v>
          </cell>
          <cell r="J149">
            <v>4.8499999999999996</v>
          </cell>
          <cell r="K149">
            <v>4.3899999999999997</v>
          </cell>
          <cell r="L149">
            <v>2.64</v>
          </cell>
          <cell r="M149">
            <v>0.47</v>
          </cell>
          <cell r="N149">
            <v>7.2</v>
          </cell>
          <cell r="O149">
            <v>0.38</v>
          </cell>
          <cell r="P149">
            <v>1.01</v>
          </cell>
          <cell r="Q149">
            <v>5.95</v>
          </cell>
        </row>
        <row r="150">
          <cell r="D150">
            <v>6.5</v>
          </cell>
          <cell r="E150">
            <v>30</v>
          </cell>
          <cell r="F150">
            <v>11.42</v>
          </cell>
          <cell r="G150">
            <v>1.63</v>
          </cell>
          <cell r="I150">
            <v>93.5</v>
          </cell>
          <cell r="J150">
            <v>4.92</v>
          </cell>
          <cell r="K150">
            <v>4.46</v>
          </cell>
          <cell r="L150">
            <v>2.64</v>
          </cell>
          <cell r="M150">
            <v>0.47</v>
          </cell>
          <cell r="N150">
            <v>7.36</v>
          </cell>
          <cell r="O150">
            <v>0.38</v>
          </cell>
          <cell r="P150">
            <v>1.01</v>
          </cell>
          <cell r="Q150">
            <v>6.05</v>
          </cell>
        </row>
        <row r="151">
          <cell r="D151">
            <v>6.55</v>
          </cell>
        </row>
        <row r="152">
          <cell r="D152">
            <v>6.6</v>
          </cell>
          <cell r="E152">
            <v>30.4</v>
          </cell>
          <cell r="F152">
            <v>11.54</v>
          </cell>
          <cell r="G152">
            <v>10.9</v>
          </cell>
          <cell r="I152">
            <v>96.23</v>
          </cell>
          <cell r="J152">
            <v>4.99</v>
          </cell>
          <cell r="K152">
            <v>4.53</v>
          </cell>
          <cell r="L152">
            <v>2.64</v>
          </cell>
          <cell r="M152">
            <v>0.47</v>
          </cell>
          <cell r="N152">
            <v>7.52</v>
          </cell>
          <cell r="O152">
            <v>0.38</v>
          </cell>
          <cell r="P152">
            <v>1.01</v>
          </cell>
          <cell r="Q152">
            <v>6.15</v>
          </cell>
        </row>
        <row r="153">
          <cell r="D153">
            <v>6.7</v>
          </cell>
          <cell r="E153">
            <v>30.8</v>
          </cell>
          <cell r="F153">
            <v>11.66</v>
          </cell>
          <cell r="G153">
            <v>11.18</v>
          </cell>
          <cell r="I153">
            <v>99.01</v>
          </cell>
          <cell r="J153">
            <v>5.0599999999999996</v>
          </cell>
          <cell r="K153">
            <v>4.5999999999999996</v>
          </cell>
          <cell r="L153">
            <v>2.64</v>
          </cell>
          <cell r="M153">
            <v>0.47</v>
          </cell>
          <cell r="N153">
            <v>7.68</v>
          </cell>
          <cell r="O153">
            <v>0.38</v>
          </cell>
          <cell r="P153">
            <v>1.01</v>
          </cell>
          <cell r="Q153">
            <v>6.25</v>
          </cell>
        </row>
        <row r="154">
          <cell r="D154">
            <v>6.8</v>
          </cell>
          <cell r="E154">
            <v>31.2</v>
          </cell>
          <cell r="F154">
            <v>11.78</v>
          </cell>
          <cell r="G154">
            <v>11.46</v>
          </cell>
          <cell r="I154">
            <v>101.86</v>
          </cell>
          <cell r="J154">
            <v>5.12</v>
          </cell>
          <cell r="K154">
            <v>4.66</v>
          </cell>
          <cell r="L154">
            <v>2.64</v>
          </cell>
          <cell r="M154">
            <v>0.47</v>
          </cell>
          <cell r="N154">
            <v>7.83</v>
          </cell>
          <cell r="O154">
            <v>0.38</v>
          </cell>
          <cell r="P154">
            <v>1.01</v>
          </cell>
          <cell r="Q154">
            <v>6.35</v>
          </cell>
        </row>
        <row r="155">
          <cell r="D155">
            <v>6.9</v>
          </cell>
          <cell r="E155">
            <v>31.6</v>
          </cell>
          <cell r="F155">
            <v>11.9</v>
          </cell>
          <cell r="G155">
            <v>11.75</v>
          </cell>
          <cell r="I155">
            <v>104.72</v>
          </cell>
          <cell r="J155">
            <v>5.19</v>
          </cell>
          <cell r="K155">
            <v>4.7300000000000004</v>
          </cell>
          <cell r="L155">
            <v>2.64</v>
          </cell>
          <cell r="M155">
            <v>0.47</v>
          </cell>
          <cell r="N155">
            <v>7.99</v>
          </cell>
          <cell r="O155">
            <v>0.38</v>
          </cell>
          <cell r="P155">
            <v>1.01</v>
          </cell>
          <cell r="Q155">
            <v>6.45</v>
          </cell>
        </row>
        <row r="156">
          <cell r="D156">
            <v>7</v>
          </cell>
          <cell r="E156">
            <v>32</v>
          </cell>
          <cell r="F156">
            <v>12.02</v>
          </cell>
          <cell r="G156">
            <v>12.03</v>
          </cell>
          <cell r="I156">
            <v>107.62</v>
          </cell>
          <cell r="J156">
            <v>5.26</v>
          </cell>
          <cell r="K156">
            <v>4.8</v>
          </cell>
          <cell r="L156">
            <v>2.64</v>
          </cell>
          <cell r="M156">
            <v>0.47</v>
          </cell>
          <cell r="N156">
            <v>8.15</v>
          </cell>
          <cell r="O156">
            <v>0.38</v>
          </cell>
          <cell r="P156">
            <v>1.01</v>
          </cell>
          <cell r="Q156">
            <v>6.55</v>
          </cell>
        </row>
        <row r="157">
          <cell r="D157">
            <v>7.05</v>
          </cell>
        </row>
        <row r="158">
          <cell r="D158">
            <v>7.1</v>
          </cell>
          <cell r="E158">
            <v>32.4</v>
          </cell>
          <cell r="F158">
            <v>12.14</v>
          </cell>
          <cell r="G158">
            <v>12.32</v>
          </cell>
          <cell r="I158">
            <v>110.58</v>
          </cell>
          <cell r="J158">
            <v>5.32</v>
          </cell>
          <cell r="K158">
            <v>4.8600000000000003</v>
          </cell>
          <cell r="L158">
            <v>2.64</v>
          </cell>
          <cell r="M158">
            <v>0.47</v>
          </cell>
          <cell r="N158">
            <v>8.31</v>
          </cell>
          <cell r="O158">
            <v>0.38</v>
          </cell>
          <cell r="P158">
            <v>1.01</v>
          </cell>
          <cell r="Q158">
            <v>6.65</v>
          </cell>
        </row>
        <row r="159">
          <cell r="D159">
            <v>7.2</v>
          </cell>
          <cell r="E159">
            <v>32.799999999999997</v>
          </cell>
          <cell r="F159">
            <v>12.26</v>
          </cell>
          <cell r="G159">
            <v>12.61</v>
          </cell>
          <cell r="I159">
            <v>113.57</v>
          </cell>
          <cell r="J159">
            <v>5.39</v>
          </cell>
          <cell r="K159">
            <v>4.93</v>
          </cell>
          <cell r="L159">
            <v>2.64</v>
          </cell>
          <cell r="M159">
            <v>0.47</v>
          </cell>
          <cell r="N159">
            <v>8.4600000000000009</v>
          </cell>
          <cell r="O159">
            <v>0.38</v>
          </cell>
          <cell r="P159">
            <v>1.01</v>
          </cell>
          <cell r="Q159">
            <v>6.75</v>
          </cell>
        </row>
        <row r="160">
          <cell r="D160">
            <v>7.3</v>
          </cell>
          <cell r="E160">
            <v>33.200000000000003</v>
          </cell>
          <cell r="F160">
            <v>12.38</v>
          </cell>
          <cell r="G160">
            <v>12.91</v>
          </cell>
          <cell r="I160">
            <v>116.59</v>
          </cell>
          <cell r="J160">
            <v>5.46</v>
          </cell>
          <cell r="K160">
            <v>5</v>
          </cell>
          <cell r="L160">
            <v>2.64</v>
          </cell>
          <cell r="M160">
            <v>0.47</v>
          </cell>
          <cell r="N160">
            <v>8.6199999999999992</v>
          </cell>
          <cell r="O160">
            <v>0.38</v>
          </cell>
          <cell r="P160">
            <v>1.01</v>
          </cell>
          <cell r="Q160">
            <v>6.85</v>
          </cell>
        </row>
        <row r="161">
          <cell r="D161">
            <v>7.4</v>
          </cell>
          <cell r="E161">
            <v>33.6</v>
          </cell>
          <cell r="F161">
            <v>12.5</v>
          </cell>
          <cell r="G161">
            <v>13.2</v>
          </cell>
          <cell r="I161">
            <v>119.65</v>
          </cell>
          <cell r="J161">
            <v>5.53</v>
          </cell>
          <cell r="K161">
            <v>5.07</v>
          </cell>
          <cell r="L161">
            <v>2.64</v>
          </cell>
          <cell r="M161">
            <v>0.47</v>
          </cell>
          <cell r="N161">
            <v>8.7799999999999994</v>
          </cell>
          <cell r="O161">
            <v>0.38</v>
          </cell>
          <cell r="P161">
            <v>1.01</v>
          </cell>
          <cell r="Q161">
            <v>6.95</v>
          </cell>
        </row>
        <row r="162">
          <cell r="D162">
            <v>7.5</v>
          </cell>
          <cell r="E162">
            <v>34</v>
          </cell>
          <cell r="F162">
            <v>12.62</v>
          </cell>
          <cell r="G162">
            <v>13.5</v>
          </cell>
          <cell r="H162">
            <v>34.97</v>
          </cell>
          <cell r="I162">
            <v>82.87</v>
          </cell>
          <cell r="J162">
            <v>5.59</v>
          </cell>
          <cell r="K162">
            <v>5.13</v>
          </cell>
          <cell r="L162">
            <v>2.64</v>
          </cell>
          <cell r="M162">
            <v>0.47</v>
          </cell>
          <cell r="N162">
            <v>13.82</v>
          </cell>
          <cell r="O162">
            <v>0.38</v>
          </cell>
          <cell r="P162">
            <v>1.01</v>
          </cell>
          <cell r="Q162">
            <v>7.05</v>
          </cell>
        </row>
        <row r="163">
          <cell r="D163">
            <v>7.55</v>
          </cell>
        </row>
        <row r="164">
          <cell r="D164">
            <v>7.6</v>
          </cell>
          <cell r="E164">
            <v>34.4</v>
          </cell>
          <cell r="F164">
            <v>12.74</v>
          </cell>
          <cell r="G164">
            <v>13.8</v>
          </cell>
          <cell r="H164">
            <v>35.840000000000003</v>
          </cell>
          <cell r="I164">
            <v>85.07</v>
          </cell>
          <cell r="J164">
            <v>5.66</v>
          </cell>
          <cell r="K164">
            <v>5.2</v>
          </cell>
          <cell r="L164">
            <v>2.64</v>
          </cell>
          <cell r="M164">
            <v>0.47</v>
          </cell>
          <cell r="N164">
            <v>14.1</v>
          </cell>
          <cell r="O164">
            <v>0.38</v>
          </cell>
          <cell r="P164">
            <v>1.01</v>
          </cell>
          <cell r="Q164">
            <v>7.15</v>
          </cell>
        </row>
        <row r="165">
          <cell r="D165">
            <v>7.7</v>
          </cell>
          <cell r="E165">
            <v>34.799999999999997</v>
          </cell>
          <cell r="F165">
            <v>12.86</v>
          </cell>
          <cell r="G165">
            <v>14.11</v>
          </cell>
          <cell r="H165">
            <v>36.729999999999997</v>
          </cell>
          <cell r="I165">
            <v>87.28</v>
          </cell>
          <cell r="J165">
            <v>5.73</v>
          </cell>
          <cell r="K165">
            <v>5.27</v>
          </cell>
          <cell r="L165">
            <v>2.64</v>
          </cell>
          <cell r="M165">
            <v>0.47</v>
          </cell>
          <cell r="N165">
            <v>14.34</v>
          </cell>
          <cell r="O165">
            <v>0.38</v>
          </cell>
          <cell r="P165">
            <v>1.01</v>
          </cell>
          <cell r="Q165">
            <v>7.25</v>
          </cell>
        </row>
        <row r="166">
          <cell r="D166">
            <v>7.8</v>
          </cell>
          <cell r="E166">
            <v>35.200000000000003</v>
          </cell>
          <cell r="F166">
            <v>12.98</v>
          </cell>
          <cell r="G166">
            <v>14.41</v>
          </cell>
          <cell r="H166">
            <v>37.619999999999997</v>
          </cell>
          <cell r="I166">
            <v>89.56</v>
          </cell>
          <cell r="J166">
            <v>5.79</v>
          </cell>
          <cell r="K166">
            <v>5.33</v>
          </cell>
          <cell r="L166">
            <v>2.64</v>
          </cell>
          <cell r="M166">
            <v>0.47</v>
          </cell>
          <cell r="N166">
            <v>14.57</v>
          </cell>
          <cell r="O166">
            <v>0.38</v>
          </cell>
          <cell r="P166">
            <v>1.01</v>
          </cell>
          <cell r="Q166">
            <v>7.35</v>
          </cell>
        </row>
        <row r="167">
          <cell r="D167">
            <v>7.9</v>
          </cell>
          <cell r="E167">
            <v>35.6</v>
          </cell>
          <cell r="F167">
            <v>13.1</v>
          </cell>
          <cell r="G167">
            <v>14.72</v>
          </cell>
          <cell r="H167">
            <v>38.53</v>
          </cell>
          <cell r="I167">
            <v>91.83</v>
          </cell>
          <cell r="J167">
            <v>5.86</v>
          </cell>
          <cell r="K167">
            <v>5.4</v>
          </cell>
          <cell r="L167">
            <v>2.64</v>
          </cell>
          <cell r="M167">
            <v>0.47</v>
          </cell>
          <cell r="N167">
            <v>14.81</v>
          </cell>
          <cell r="O167">
            <v>0.38</v>
          </cell>
          <cell r="P167">
            <v>1.01</v>
          </cell>
          <cell r="Q167">
            <v>7.45</v>
          </cell>
        </row>
        <row r="168">
          <cell r="D168">
            <v>8</v>
          </cell>
          <cell r="E168">
            <v>36</v>
          </cell>
          <cell r="F168">
            <v>13.22</v>
          </cell>
          <cell r="G168">
            <v>15.03</v>
          </cell>
          <cell r="H168">
            <v>39.44</v>
          </cell>
          <cell r="I168">
            <v>94.15</v>
          </cell>
          <cell r="J168">
            <v>5.93</v>
          </cell>
          <cell r="K168">
            <v>5.47</v>
          </cell>
          <cell r="L168">
            <v>2.64</v>
          </cell>
          <cell r="M168">
            <v>0.47</v>
          </cell>
          <cell r="N168">
            <v>15.04</v>
          </cell>
          <cell r="O168">
            <v>0.38</v>
          </cell>
          <cell r="P168">
            <v>1.01</v>
          </cell>
          <cell r="Q168">
            <v>7.55</v>
          </cell>
        </row>
        <row r="169">
          <cell r="D169">
            <v>8.0500000000000007</v>
          </cell>
        </row>
        <row r="170">
          <cell r="D170">
            <v>8.1</v>
          </cell>
          <cell r="E170">
            <v>36.4</v>
          </cell>
          <cell r="F170">
            <v>13.34</v>
          </cell>
          <cell r="G170">
            <v>15.35</v>
          </cell>
          <cell r="H170">
            <v>40.369999999999997</v>
          </cell>
          <cell r="I170">
            <v>96.48</v>
          </cell>
          <cell r="J170">
            <v>6</v>
          </cell>
          <cell r="K170">
            <v>5.54</v>
          </cell>
          <cell r="L170">
            <v>2.64</v>
          </cell>
          <cell r="M170">
            <v>0.47</v>
          </cell>
          <cell r="N170">
            <v>15.28</v>
          </cell>
          <cell r="O170">
            <v>0.38</v>
          </cell>
          <cell r="P170">
            <v>1.01</v>
          </cell>
          <cell r="Q170">
            <v>7.65</v>
          </cell>
        </row>
        <row r="171">
          <cell r="D171">
            <v>8.1999999999999993</v>
          </cell>
          <cell r="E171">
            <v>36.799999999999997</v>
          </cell>
          <cell r="F171">
            <v>13.46</v>
          </cell>
          <cell r="G171">
            <v>15.66</v>
          </cell>
          <cell r="H171">
            <v>41.3</v>
          </cell>
          <cell r="I171">
            <v>98.88</v>
          </cell>
          <cell r="J171">
            <v>6.06</v>
          </cell>
          <cell r="K171">
            <v>5.6</v>
          </cell>
          <cell r="L171">
            <v>2.64</v>
          </cell>
          <cell r="M171">
            <v>0.47</v>
          </cell>
          <cell r="N171">
            <v>15.51</v>
          </cell>
          <cell r="O171">
            <v>0.38</v>
          </cell>
          <cell r="P171">
            <v>1.01</v>
          </cell>
          <cell r="Q171">
            <v>7.75</v>
          </cell>
        </row>
        <row r="172">
          <cell r="D172">
            <v>8.3000000000000007</v>
          </cell>
          <cell r="E172">
            <v>37.200000000000003</v>
          </cell>
          <cell r="F172">
            <v>13.58</v>
          </cell>
          <cell r="G172">
            <v>15.98</v>
          </cell>
          <cell r="H172">
            <v>42.25</v>
          </cell>
          <cell r="I172">
            <v>101.27</v>
          </cell>
          <cell r="J172">
            <v>6.13</v>
          </cell>
          <cell r="K172">
            <v>5.67</v>
          </cell>
          <cell r="L172">
            <v>2.64</v>
          </cell>
          <cell r="M172">
            <v>0.47</v>
          </cell>
          <cell r="N172">
            <v>15.75</v>
          </cell>
          <cell r="O172">
            <v>0.38</v>
          </cell>
          <cell r="P172">
            <v>1.01</v>
          </cell>
          <cell r="Q172">
            <v>7.85</v>
          </cell>
        </row>
        <row r="173">
          <cell r="D173">
            <v>8.4</v>
          </cell>
          <cell r="E173">
            <v>37.6</v>
          </cell>
          <cell r="F173">
            <v>13.7</v>
          </cell>
          <cell r="G173">
            <v>16.3</v>
          </cell>
          <cell r="H173">
            <v>43.2</v>
          </cell>
          <cell r="I173">
            <v>103.71</v>
          </cell>
          <cell r="J173">
            <v>6.2</v>
          </cell>
          <cell r="K173">
            <v>5.74</v>
          </cell>
          <cell r="L173">
            <v>2.64</v>
          </cell>
          <cell r="M173">
            <v>0.47</v>
          </cell>
          <cell r="N173">
            <v>15.98</v>
          </cell>
          <cell r="O173">
            <v>0.38</v>
          </cell>
          <cell r="P173">
            <v>1.01</v>
          </cell>
          <cell r="Q173">
            <v>7.95</v>
          </cell>
        </row>
        <row r="174">
          <cell r="D174">
            <v>8.5</v>
          </cell>
          <cell r="E174">
            <v>38</v>
          </cell>
          <cell r="F174">
            <v>13.82</v>
          </cell>
          <cell r="G174">
            <v>16.63</v>
          </cell>
          <cell r="H174">
            <v>44.17</v>
          </cell>
          <cell r="I174">
            <v>106.18</v>
          </cell>
          <cell r="J174">
            <v>6.26</v>
          </cell>
          <cell r="K174">
            <v>5.8</v>
          </cell>
          <cell r="L174">
            <v>2.64</v>
          </cell>
          <cell r="M174">
            <v>0.47</v>
          </cell>
          <cell r="N174">
            <v>16.22</v>
          </cell>
          <cell r="O174">
            <v>0.38</v>
          </cell>
          <cell r="P174">
            <v>1.01</v>
          </cell>
          <cell r="Q174">
            <v>8.0500000000000007</v>
          </cell>
        </row>
        <row r="175">
          <cell r="D175">
            <v>8.6</v>
          </cell>
          <cell r="E175">
            <v>38.4</v>
          </cell>
          <cell r="F175">
            <v>13.94</v>
          </cell>
          <cell r="G175">
            <v>16.95</v>
          </cell>
          <cell r="H175">
            <v>45.15</v>
          </cell>
          <cell r="I175">
            <v>108.67</v>
          </cell>
          <cell r="J175">
            <v>6.33</v>
          </cell>
          <cell r="K175">
            <v>5.87</v>
          </cell>
          <cell r="L175">
            <v>2.64</v>
          </cell>
          <cell r="M175">
            <v>0.47</v>
          </cell>
          <cell r="N175">
            <v>16.45</v>
          </cell>
          <cell r="O175">
            <v>0.38</v>
          </cell>
          <cell r="P175">
            <v>1.01</v>
          </cell>
          <cell r="Q175">
            <v>8.15</v>
          </cell>
        </row>
        <row r="176">
          <cell r="D176">
            <v>8.6999999999999993</v>
          </cell>
          <cell r="E176">
            <v>38.799999999999997</v>
          </cell>
          <cell r="F176">
            <v>14.06</v>
          </cell>
          <cell r="G176">
            <v>17.25</v>
          </cell>
          <cell r="H176">
            <v>46.13</v>
          </cell>
          <cell r="I176">
            <v>111.19</v>
          </cell>
          <cell r="J176">
            <v>6.4</v>
          </cell>
          <cell r="K176">
            <v>5.94</v>
          </cell>
          <cell r="L176">
            <v>2.64</v>
          </cell>
          <cell r="M176">
            <v>0.47</v>
          </cell>
          <cell r="N176">
            <v>16.690000000000001</v>
          </cell>
          <cell r="O176">
            <v>0.38</v>
          </cell>
          <cell r="P176">
            <v>1.01</v>
          </cell>
          <cell r="Q176">
            <v>8.25</v>
          </cell>
        </row>
        <row r="177">
          <cell r="D177">
            <v>8.8000000000000007</v>
          </cell>
          <cell r="E177">
            <v>39.200000000000003</v>
          </cell>
          <cell r="F177">
            <v>14.18</v>
          </cell>
          <cell r="G177">
            <v>17.61</v>
          </cell>
          <cell r="H177">
            <v>47.12</v>
          </cell>
          <cell r="I177">
            <v>113.69</v>
          </cell>
          <cell r="J177">
            <v>6.46</v>
          </cell>
          <cell r="K177">
            <v>6</v>
          </cell>
          <cell r="L177">
            <v>2.64</v>
          </cell>
          <cell r="M177">
            <v>0.47</v>
          </cell>
          <cell r="N177">
            <v>16.920000000000002</v>
          </cell>
          <cell r="O177">
            <v>0.38</v>
          </cell>
          <cell r="P177">
            <v>1.01</v>
          </cell>
          <cell r="Q177">
            <v>8.35</v>
          </cell>
        </row>
        <row r="178">
          <cell r="D178">
            <v>8.9</v>
          </cell>
          <cell r="E178">
            <v>39.6</v>
          </cell>
          <cell r="F178">
            <v>14.3</v>
          </cell>
          <cell r="G178">
            <v>17.95</v>
          </cell>
          <cell r="H178">
            <v>48.13</v>
          </cell>
          <cell r="I178">
            <v>116.34</v>
          </cell>
          <cell r="J178">
            <v>6.53</v>
          </cell>
          <cell r="K178">
            <v>6.07</v>
          </cell>
          <cell r="L178">
            <v>2.64</v>
          </cell>
          <cell r="M178">
            <v>0.47</v>
          </cell>
          <cell r="N178">
            <v>17.16</v>
          </cell>
          <cell r="O178">
            <v>0.38</v>
          </cell>
          <cell r="P178">
            <v>1.01</v>
          </cell>
          <cell r="Q178">
            <v>8.4499999999999993</v>
          </cell>
        </row>
        <row r="179">
          <cell r="D179">
            <v>9</v>
          </cell>
          <cell r="E179">
            <v>40</v>
          </cell>
          <cell r="F179">
            <v>14.42</v>
          </cell>
          <cell r="G179">
            <v>18.28</v>
          </cell>
          <cell r="H179">
            <v>49.14</v>
          </cell>
          <cell r="I179">
            <v>118.96</v>
          </cell>
          <cell r="J179">
            <v>6.6</v>
          </cell>
          <cell r="K179">
            <v>6.14</v>
          </cell>
          <cell r="L179">
            <v>2.64</v>
          </cell>
          <cell r="M179">
            <v>0.47</v>
          </cell>
          <cell r="N179">
            <v>17.39</v>
          </cell>
          <cell r="O179">
            <v>0.38</v>
          </cell>
          <cell r="P179">
            <v>1.01</v>
          </cell>
          <cell r="Q179">
            <v>8.5500000000000007</v>
          </cell>
        </row>
        <row r="180">
          <cell r="D180">
            <v>9.0500000000000007</v>
          </cell>
        </row>
        <row r="181">
          <cell r="D181">
            <v>9.1</v>
          </cell>
          <cell r="E181">
            <v>40.4</v>
          </cell>
          <cell r="F181">
            <v>14.54</v>
          </cell>
          <cell r="G181">
            <v>18.62</v>
          </cell>
          <cell r="H181">
            <v>50.17</v>
          </cell>
          <cell r="I181">
            <v>121.59</v>
          </cell>
          <cell r="J181">
            <v>6.67</v>
          </cell>
          <cell r="K181">
            <v>6.21</v>
          </cell>
          <cell r="L181">
            <v>2.64</v>
          </cell>
          <cell r="M181">
            <v>0.47</v>
          </cell>
          <cell r="N181">
            <v>17.63</v>
          </cell>
          <cell r="O181">
            <v>0.38</v>
          </cell>
          <cell r="P181">
            <v>1.01</v>
          </cell>
          <cell r="Q181">
            <v>8.65</v>
          </cell>
        </row>
        <row r="182">
          <cell r="D182">
            <v>9.1999999999999993</v>
          </cell>
          <cell r="E182">
            <v>40.799999999999997</v>
          </cell>
          <cell r="F182">
            <v>14.66</v>
          </cell>
          <cell r="G182">
            <v>18.96</v>
          </cell>
          <cell r="H182">
            <v>51.2</v>
          </cell>
          <cell r="I182">
            <v>124.29</v>
          </cell>
          <cell r="J182">
            <v>6.73</v>
          </cell>
          <cell r="K182">
            <v>6.27</v>
          </cell>
          <cell r="L182">
            <v>2.64</v>
          </cell>
          <cell r="M182">
            <v>0.47</v>
          </cell>
          <cell r="N182">
            <v>17.86</v>
          </cell>
          <cell r="O182">
            <v>0.38</v>
          </cell>
          <cell r="P182">
            <v>1.01</v>
          </cell>
          <cell r="Q182">
            <v>8.75</v>
          </cell>
        </row>
        <row r="183">
          <cell r="D183">
            <v>9.3000000000000007</v>
          </cell>
          <cell r="E183">
            <v>41.2</v>
          </cell>
          <cell r="F183">
            <v>14.78</v>
          </cell>
          <cell r="G183">
            <v>19.309999999999999</v>
          </cell>
          <cell r="H183">
            <v>52.25</v>
          </cell>
          <cell r="I183">
            <v>126.98</v>
          </cell>
          <cell r="J183">
            <v>6.8</v>
          </cell>
          <cell r="K183">
            <v>6.34</v>
          </cell>
          <cell r="L183">
            <v>2.64</v>
          </cell>
          <cell r="M183">
            <v>0.47</v>
          </cell>
          <cell r="N183">
            <v>18.100000000000001</v>
          </cell>
          <cell r="O183">
            <v>0.38</v>
          </cell>
          <cell r="P183">
            <v>1.01</v>
          </cell>
          <cell r="Q183">
            <v>8.85</v>
          </cell>
        </row>
        <row r="184">
          <cell r="D184">
            <v>9.4</v>
          </cell>
          <cell r="E184">
            <v>41.6</v>
          </cell>
          <cell r="F184">
            <v>14.9</v>
          </cell>
          <cell r="G184">
            <v>19.649999999999999</v>
          </cell>
          <cell r="H184">
            <v>53.3</v>
          </cell>
          <cell r="I184">
            <v>129.72</v>
          </cell>
          <cell r="J184">
            <v>6.87</v>
          </cell>
          <cell r="K184">
            <v>6.41</v>
          </cell>
          <cell r="L184">
            <v>2.64</v>
          </cell>
          <cell r="M184">
            <v>0.47</v>
          </cell>
          <cell r="N184">
            <v>18.329999999999998</v>
          </cell>
          <cell r="O184">
            <v>0.38</v>
          </cell>
          <cell r="P184">
            <v>1.01</v>
          </cell>
          <cell r="Q184">
            <v>8.9499999999999993</v>
          </cell>
        </row>
        <row r="185">
          <cell r="D185">
            <v>9.5</v>
          </cell>
          <cell r="E185">
            <v>42</v>
          </cell>
          <cell r="F185">
            <v>15.02</v>
          </cell>
          <cell r="G185">
            <v>20</v>
          </cell>
          <cell r="H185">
            <v>54.37</v>
          </cell>
          <cell r="I185">
            <v>132.49</v>
          </cell>
          <cell r="J185">
            <v>6.93</v>
          </cell>
          <cell r="K185">
            <v>6.47</v>
          </cell>
          <cell r="L185">
            <v>2.64</v>
          </cell>
          <cell r="M185">
            <v>0.47</v>
          </cell>
          <cell r="N185">
            <v>18.57</v>
          </cell>
          <cell r="O185">
            <v>0.38</v>
          </cell>
          <cell r="P185">
            <v>1.01</v>
          </cell>
          <cell r="Q185">
            <v>9.0500000000000007</v>
          </cell>
        </row>
        <row r="186">
          <cell r="D186">
            <v>9.5500000000000007</v>
          </cell>
        </row>
        <row r="187">
          <cell r="D187">
            <v>9.6</v>
          </cell>
          <cell r="E187">
            <v>42.4</v>
          </cell>
          <cell r="F187">
            <v>15.14</v>
          </cell>
          <cell r="G187">
            <v>20.350000000000001</v>
          </cell>
          <cell r="H187">
            <v>55.44</v>
          </cell>
          <cell r="I187">
            <v>135.29</v>
          </cell>
          <cell r="J187">
            <v>7</v>
          </cell>
          <cell r="K187">
            <v>6.54</v>
          </cell>
          <cell r="L187">
            <v>2.64</v>
          </cell>
          <cell r="M187">
            <v>0.47</v>
          </cell>
          <cell r="N187">
            <v>18.8</v>
          </cell>
          <cell r="O187">
            <v>0.38</v>
          </cell>
          <cell r="P187">
            <v>1.01</v>
          </cell>
          <cell r="Q187">
            <v>9.15</v>
          </cell>
        </row>
        <row r="188">
          <cell r="D188">
            <v>9.6999999999999993</v>
          </cell>
          <cell r="E188">
            <v>42.8</v>
          </cell>
          <cell r="F188">
            <v>15.26</v>
          </cell>
          <cell r="G188">
            <v>20.71</v>
          </cell>
          <cell r="H188">
            <v>56.53</v>
          </cell>
          <cell r="I188">
            <v>138.1</v>
          </cell>
          <cell r="J188">
            <v>7.07</v>
          </cell>
          <cell r="K188">
            <v>6.61</v>
          </cell>
          <cell r="L188">
            <v>2.64</v>
          </cell>
          <cell r="M188">
            <v>0.47</v>
          </cell>
          <cell r="N188">
            <v>19.04</v>
          </cell>
          <cell r="O188">
            <v>0.38</v>
          </cell>
          <cell r="P188">
            <v>1.01</v>
          </cell>
          <cell r="Q188">
            <v>9.25</v>
          </cell>
        </row>
        <row r="189">
          <cell r="D189">
            <v>9.8000000000000007</v>
          </cell>
          <cell r="E189">
            <v>43.2</v>
          </cell>
          <cell r="F189">
            <v>15.38</v>
          </cell>
          <cell r="G189">
            <v>21.06</v>
          </cell>
          <cell r="H189">
            <v>57.62</v>
          </cell>
          <cell r="I189">
            <v>140.96</v>
          </cell>
          <cell r="J189">
            <v>7.14</v>
          </cell>
          <cell r="K189">
            <v>6.68</v>
          </cell>
          <cell r="L189">
            <v>2.64</v>
          </cell>
          <cell r="M189">
            <v>0.47</v>
          </cell>
          <cell r="N189">
            <v>19.27</v>
          </cell>
          <cell r="O189">
            <v>0.38</v>
          </cell>
          <cell r="P189">
            <v>1.01</v>
          </cell>
          <cell r="Q189">
            <v>9.35</v>
          </cell>
        </row>
        <row r="190">
          <cell r="D190">
            <v>9.9</v>
          </cell>
          <cell r="E190">
            <v>43.6</v>
          </cell>
          <cell r="F190">
            <v>15.5</v>
          </cell>
          <cell r="G190">
            <v>21.42</v>
          </cell>
          <cell r="H190">
            <v>58.73</v>
          </cell>
          <cell r="I190">
            <v>143.85</v>
          </cell>
          <cell r="J190">
            <v>7.2</v>
          </cell>
          <cell r="K190">
            <v>6.74</v>
          </cell>
          <cell r="L190">
            <v>2.64</v>
          </cell>
          <cell r="M190">
            <v>0.47</v>
          </cell>
          <cell r="N190">
            <v>19.510000000000002</v>
          </cell>
          <cell r="O190">
            <v>0.38</v>
          </cell>
          <cell r="P190">
            <v>1.01</v>
          </cell>
          <cell r="Q190">
            <v>9.4499999999999993</v>
          </cell>
        </row>
        <row r="191">
          <cell r="D191">
            <v>10</v>
          </cell>
          <cell r="E191">
            <v>44</v>
          </cell>
          <cell r="F191">
            <v>15.62</v>
          </cell>
          <cell r="G191">
            <v>21.78</v>
          </cell>
          <cell r="H191">
            <v>59.84</v>
          </cell>
          <cell r="I191">
            <v>146.77000000000001</v>
          </cell>
          <cell r="J191">
            <v>7.27</v>
          </cell>
          <cell r="K191">
            <v>9.81</v>
          </cell>
          <cell r="L191">
            <v>2.64</v>
          </cell>
          <cell r="M191">
            <v>0.47</v>
          </cell>
          <cell r="N191">
            <v>19.739999999999998</v>
          </cell>
          <cell r="O191">
            <v>0.38</v>
          </cell>
          <cell r="P191">
            <v>1.01</v>
          </cell>
          <cell r="Q191">
            <v>9.5500000000000007</v>
          </cell>
        </row>
        <row r="192">
          <cell r="D192">
            <v>10.050000000000001</v>
          </cell>
        </row>
        <row r="193">
          <cell r="D193">
            <v>10.1</v>
          </cell>
          <cell r="E193">
            <v>44.4</v>
          </cell>
          <cell r="F193">
            <v>15.74</v>
          </cell>
          <cell r="G193">
            <v>22.15</v>
          </cell>
          <cell r="H193">
            <v>60.97</v>
          </cell>
          <cell r="I193">
            <v>149.69999999999999</v>
          </cell>
          <cell r="J193">
            <v>7.34</v>
          </cell>
          <cell r="K193">
            <v>6.88</v>
          </cell>
          <cell r="L193">
            <v>2.64</v>
          </cell>
          <cell r="M193">
            <v>0.47</v>
          </cell>
          <cell r="N193">
            <v>19.98</v>
          </cell>
          <cell r="O193">
            <v>0.38</v>
          </cell>
          <cell r="P193">
            <v>1.01</v>
          </cell>
          <cell r="Q193">
            <v>9.65</v>
          </cell>
        </row>
        <row r="194">
          <cell r="D194">
            <v>10.199999999999999</v>
          </cell>
          <cell r="E194">
            <v>44.8</v>
          </cell>
          <cell r="F194">
            <v>15.86</v>
          </cell>
          <cell r="G194">
            <v>22.51</v>
          </cell>
          <cell r="H194">
            <v>62.1</v>
          </cell>
          <cell r="I194">
            <v>152.69999999999999</v>
          </cell>
          <cell r="J194">
            <v>7.4</v>
          </cell>
          <cell r="K194">
            <v>6.94</v>
          </cell>
          <cell r="L194">
            <v>2.64</v>
          </cell>
          <cell r="M194">
            <v>0.47</v>
          </cell>
          <cell r="N194">
            <v>20.21</v>
          </cell>
          <cell r="O194">
            <v>0.38</v>
          </cell>
          <cell r="P194">
            <v>1.01</v>
          </cell>
          <cell r="Q194">
            <v>9.75</v>
          </cell>
        </row>
        <row r="195">
          <cell r="D195">
            <v>10.3</v>
          </cell>
          <cell r="E195">
            <v>45.2</v>
          </cell>
          <cell r="F195">
            <v>15.98</v>
          </cell>
          <cell r="G195">
            <v>22.88</v>
          </cell>
          <cell r="H195">
            <v>63.25</v>
          </cell>
          <cell r="I195">
            <v>155.69</v>
          </cell>
          <cell r="J195">
            <v>7.47</v>
          </cell>
          <cell r="K195">
            <v>7.01</v>
          </cell>
          <cell r="L195">
            <v>2.64</v>
          </cell>
          <cell r="M195">
            <v>0.47</v>
          </cell>
          <cell r="N195">
            <v>20.45</v>
          </cell>
          <cell r="O195">
            <v>0.38</v>
          </cell>
          <cell r="P195">
            <v>1.01</v>
          </cell>
          <cell r="Q195">
            <v>9.85</v>
          </cell>
        </row>
        <row r="196">
          <cell r="D196">
            <v>10.4</v>
          </cell>
          <cell r="E196">
            <v>45.6</v>
          </cell>
          <cell r="F196">
            <v>16.100000000000001</v>
          </cell>
          <cell r="G196">
            <v>23.25</v>
          </cell>
          <cell r="H196">
            <v>64.400000000000006</v>
          </cell>
          <cell r="I196">
            <v>158.72999999999999</v>
          </cell>
          <cell r="J196">
            <v>7.54</v>
          </cell>
          <cell r="K196">
            <v>7.08</v>
          </cell>
          <cell r="L196">
            <v>2.64</v>
          </cell>
          <cell r="M196">
            <v>0.47</v>
          </cell>
          <cell r="N196">
            <v>20.68</v>
          </cell>
          <cell r="O196">
            <v>0.38</v>
          </cell>
          <cell r="P196">
            <v>1.01</v>
          </cell>
          <cell r="Q196">
            <v>9.9499999999999993</v>
          </cell>
        </row>
        <row r="197">
          <cell r="D197">
            <v>10.5</v>
          </cell>
          <cell r="E197">
            <v>45.7</v>
          </cell>
          <cell r="F197">
            <v>16.13</v>
          </cell>
          <cell r="G197">
            <v>23.63</v>
          </cell>
          <cell r="H197">
            <v>65.67</v>
          </cell>
          <cell r="I197">
            <v>161.29</v>
          </cell>
          <cell r="J197">
            <v>7.6</v>
          </cell>
          <cell r="K197">
            <v>7.15</v>
          </cell>
          <cell r="L197">
            <v>3.75</v>
          </cell>
          <cell r="M197">
            <v>0.47</v>
          </cell>
          <cell r="N197">
            <v>20.11</v>
          </cell>
          <cell r="O197">
            <v>0.38</v>
          </cell>
          <cell r="P197">
            <v>1.01</v>
          </cell>
          <cell r="Q197">
            <v>9.9</v>
          </cell>
        </row>
        <row r="198">
          <cell r="D198">
            <v>10.55</v>
          </cell>
        </row>
        <row r="199">
          <cell r="D199">
            <v>10.6</v>
          </cell>
          <cell r="E199">
            <v>46.3</v>
          </cell>
          <cell r="F199">
            <v>16.309999999999999</v>
          </cell>
          <cell r="G199">
            <v>24</v>
          </cell>
          <cell r="H199">
            <v>66.739999999999995</v>
          </cell>
          <cell r="I199">
            <v>164.55</v>
          </cell>
          <cell r="J199">
            <v>7.72</v>
          </cell>
          <cell r="K199">
            <v>7.26</v>
          </cell>
          <cell r="L199">
            <v>3.75</v>
          </cell>
          <cell r="M199">
            <v>0.47</v>
          </cell>
          <cell r="N199">
            <v>20.34</v>
          </cell>
          <cell r="O199">
            <v>0.38</v>
          </cell>
          <cell r="P199">
            <v>1.01</v>
          </cell>
          <cell r="Q199">
            <v>10</v>
          </cell>
        </row>
        <row r="200">
          <cell r="D200">
            <v>10.7</v>
          </cell>
          <cell r="E200">
            <v>46.75</v>
          </cell>
          <cell r="F200">
            <v>16.45</v>
          </cell>
          <cell r="G200">
            <v>24.38</v>
          </cell>
          <cell r="H200">
            <v>67.930000000000007</v>
          </cell>
          <cell r="I200">
            <v>167.67</v>
          </cell>
          <cell r="J200">
            <v>7.8</v>
          </cell>
          <cell r="K200">
            <v>7.34</v>
          </cell>
          <cell r="L200">
            <v>3.75</v>
          </cell>
          <cell r="M200">
            <v>0.47</v>
          </cell>
          <cell r="N200">
            <v>20.58</v>
          </cell>
          <cell r="O200">
            <v>0.38</v>
          </cell>
          <cell r="P200">
            <v>1.01</v>
          </cell>
          <cell r="Q200">
            <v>10.1</v>
          </cell>
        </row>
        <row r="201">
          <cell r="D201">
            <v>10.8</v>
          </cell>
          <cell r="E201">
            <v>47.2</v>
          </cell>
          <cell r="F201">
            <v>16.579999999999998</v>
          </cell>
          <cell r="G201">
            <v>24.76</v>
          </cell>
          <cell r="H201">
            <v>69.12</v>
          </cell>
          <cell r="I201">
            <v>170.84</v>
          </cell>
          <cell r="J201">
            <v>7.88</v>
          </cell>
          <cell r="K201">
            <v>7.43</v>
          </cell>
          <cell r="L201">
            <v>3.75</v>
          </cell>
          <cell r="M201">
            <v>0.47</v>
          </cell>
          <cell r="N201">
            <v>20.81</v>
          </cell>
          <cell r="O201">
            <v>0.38</v>
          </cell>
          <cell r="P201">
            <v>1.01</v>
          </cell>
          <cell r="Q201">
            <v>10.199999999999999</v>
          </cell>
        </row>
        <row r="202">
          <cell r="D202">
            <v>10.9</v>
          </cell>
          <cell r="E202">
            <v>47.65</v>
          </cell>
          <cell r="F202">
            <v>16.72</v>
          </cell>
          <cell r="G202">
            <v>25.15</v>
          </cell>
          <cell r="H202">
            <v>70.33</v>
          </cell>
          <cell r="I202">
            <v>174.02</v>
          </cell>
          <cell r="J202">
            <v>7.97</v>
          </cell>
          <cell r="K202">
            <v>7.51</v>
          </cell>
          <cell r="L202">
            <v>3.75</v>
          </cell>
          <cell r="M202">
            <v>0.47</v>
          </cell>
          <cell r="N202">
            <v>21.05</v>
          </cell>
          <cell r="O202">
            <v>0.38</v>
          </cell>
          <cell r="P202">
            <v>1.01</v>
          </cell>
          <cell r="Q202">
            <v>10.3</v>
          </cell>
        </row>
        <row r="203">
          <cell r="D203">
            <v>11</v>
          </cell>
          <cell r="E203">
            <v>48.1</v>
          </cell>
          <cell r="F203">
            <v>16.850000000000001</v>
          </cell>
          <cell r="G203">
            <v>25.52</v>
          </cell>
          <cell r="H203">
            <v>71.540000000000006</v>
          </cell>
          <cell r="I203">
            <v>177.26</v>
          </cell>
          <cell r="J203">
            <v>8.0500000000000007</v>
          </cell>
          <cell r="K203">
            <v>7.59</v>
          </cell>
          <cell r="L203">
            <v>3.75</v>
          </cell>
          <cell r="M203">
            <v>0.47</v>
          </cell>
          <cell r="N203">
            <v>21.28</v>
          </cell>
          <cell r="O203">
            <v>0.38</v>
          </cell>
          <cell r="P203">
            <v>1.01</v>
          </cell>
          <cell r="Q203">
            <v>10.4</v>
          </cell>
        </row>
        <row r="204">
          <cell r="D204">
            <v>11.05</v>
          </cell>
        </row>
        <row r="205">
          <cell r="D205">
            <v>11.1</v>
          </cell>
          <cell r="E205">
            <v>48.55</v>
          </cell>
          <cell r="F205">
            <v>16.989999999999998</v>
          </cell>
          <cell r="G205">
            <v>25.92</v>
          </cell>
          <cell r="H205">
            <v>72.77</v>
          </cell>
          <cell r="I205">
            <v>180.5</v>
          </cell>
          <cell r="J205">
            <v>8.1300000000000008</v>
          </cell>
          <cell r="K205">
            <v>7.67</v>
          </cell>
          <cell r="L205">
            <v>3.75</v>
          </cell>
          <cell r="M205">
            <v>0.47</v>
          </cell>
          <cell r="N205">
            <v>21.52</v>
          </cell>
          <cell r="O205">
            <v>0.38</v>
          </cell>
          <cell r="P205">
            <v>1.01</v>
          </cell>
          <cell r="Q205">
            <v>10.5</v>
          </cell>
        </row>
        <row r="206">
          <cell r="D206">
            <v>11.2</v>
          </cell>
          <cell r="E206">
            <v>49</v>
          </cell>
          <cell r="F206">
            <v>17.12</v>
          </cell>
          <cell r="G206">
            <v>26.31</v>
          </cell>
          <cell r="H206">
            <v>74</v>
          </cell>
          <cell r="I206">
            <v>183.8</v>
          </cell>
          <cell r="J206">
            <v>8.2100000000000009</v>
          </cell>
          <cell r="K206">
            <v>7.75</v>
          </cell>
          <cell r="L206">
            <v>3.75</v>
          </cell>
          <cell r="M206">
            <v>0.47</v>
          </cell>
          <cell r="N206">
            <v>21.75</v>
          </cell>
          <cell r="O206">
            <v>0.38</v>
          </cell>
          <cell r="P206">
            <v>1.01</v>
          </cell>
          <cell r="Q206">
            <v>10.6</v>
          </cell>
        </row>
        <row r="207">
          <cell r="D207">
            <v>11.3</v>
          </cell>
          <cell r="E207">
            <v>49.45</v>
          </cell>
          <cell r="F207">
            <v>17.25</v>
          </cell>
          <cell r="G207">
            <v>26.71</v>
          </cell>
          <cell r="H207">
            <v>75.25</v>
          </cell>
          <cell r="I207">
            <v>187.11</v>
          </cell>
          <cell r="J207">
            <v>8.2899999999999991</v>
          </cell>
          <cell r="K207">
            <v>7.83</v>
          </cell>
          <cell r="L207">
            <v>3.75</v>
          </cell>
          <cell r="M207">
            <v>0.47</v>
          </cell>
          <cell r="N207">
            <v>21.79</v>
          </cell>
          <cell r="O207">
            <v>0.38</v>
          </cell>
          <cell r="P207">
            <v>1.01</v>
          </cell>
          <cell r="Q207">
            <v>10.7</v>
          </cell>
        </row>
        <row r="208">
          <cell r="D208">
            <v>11.4</v>
          </cell>
          <cell r="E208">
            <v>49.9</v>
          </cell>
          <cell r="F208">
            <v>17.39</v>
          </cell>
          <cell r="G208">
            <v>27.1</v>
          </cell>
          <cell r="H208">
            <v>76.5</v>
          </cell>
          <cell r="I208">
            <v>190.47</v>
          </cell>
          <cell r="J208">
            <v>8.3699999999999992</v>
          </cell>
          <cell r="K208">
            <v>7.91</v>
          </cell>
          <cell r="L208">
            <v>3.75</v>
          </cell>
          <cell r="M208">
            <v>0.47</v>
          </cell>
          <cell r="N208">
            <v>22.22</v>
          </cell>
          <cell r="O208">
            <v>0.38</v>
          </cell>
          <cell r="P208">
            <v>1.01</v>
          </cell>
          <cell r="Q208">
            <v>10.8</v>
          </cell>
        </row>
        <row r="209">
          <cell r="D209">
            <v>11.5</v>
          </cell>
          <cell r="E209">
            <v>50.35</v>
          </cell>
          <cell r="F209">
            <v>17.53</v>
          </cell>
          <cell r="G209">
            <v>27.5</v>
          </cell>
          <cell r="H209">
            <v>77.77</v>
          </cell>
          <cell r="I209">
            <v>193.83</v>
          </cell>
          <cell r="J209">
            <v>8.4499999999999993</v>
          </cell>
          <cell r="K209">
            <v>7.99</v>
          </cell>
          <cell r="L209">
            <v>3.75</v>
          </cell>
          <cell r="M209">
            <v>0.47</v>
          </cell>
          <cell r="N209">
            <v>22.46</v>
          </cell>
          <cell r="O209">
            <v>0.38</v>
          </cell>
          <cell r="P209">
            <v>1.01</v>
          </cell>
          <cell r="Q209">
            <v>10.9</v>
          </cell>
        </row>
        <row r="210">
          <cell r="D210">
            <v>11.55</v>
          </cell>
        </row>
        <row r="211">
          <cell r="D211">
            <v>11.6</v>
          </cell>
          <cell r="E211">
            <v>50.8</v>
          </cell>
          <cell r="F211">
            <v>17.66</v>
          </cell>
          <cell r="G211">
            <v>27.9</v>
          </cell>
          <cell r="H211">
            <v>79.040000000000006</v>
          </cell>
          <cell r="I211">
            <v>197.25</v>
          </cell>
          <cell r="J211">
            <v>8.5299999999999994</v>
          </cell>
          <cell r="K211">
            <v>8.07</v>
          </cell>
          <cell r="L211">
            <v>3.75</v>
          </cell>
          <cell r="M211">
            <v>0.47</v>
          </cell>
          <cell r="N211">
            <v>22.69</v>
          </cell>
          <cell r="O211">
            <v>0.38</v>
          </cell>
          <cell r="P211">
            <v>1.01</v>
          </cell>
          <cell r="Q211">
            <v>11</v>
          </cell>
        </row>
        <row r="212">
          <cell r="D212">
            <v>11.7</v>
          </cell>
          <cell r="E212">
            <v>51.25</v>
          </cell>
          <cell r="F212">
            <v>17.8</v>
          </cell>
          <cell r="G212">
            <v>28.31</v>
          </cell>
          <cell r="H212">
            <v>80.33</v>
          </cell>
          <cell r="I212">
            <v>200.68</v>
          </cell>
          <cell r="J212">
            <v>8.61</v>
          </cell>
          <cell r="K212">
            <v>8.15</v>
          </cell>
          <cell r="L212">
            <v>3.75</v>
          </cell>
          <cell r="M212">
            <v>0.47</v>
          </cell>
          <cell r="N212">
            <v>22.93</v>
          </cell>
          <cell r="O212">
            <v>0.38</v>
          </cell>
          <cell r="P212">
            <v>1.01</v>
          </cell>
          <cell r="Q212">
            <v>11.1</v>
          </cell>
        </row>
        <row r="213">
          <cell r="D213">
            <v>11.8</v>
          </cell>
          <cell r="E213">
            <v>51.7</v>
          </cell>
          <cell r="F213">
            <v>17.93</v>
          </cell>
          <cell r="G213">
            <v>28.71</v>
          </cell>
          <cell r="H213">
            <v>81.62</v>
          </cell>
          <cell r="I213">
            <v>204.19</v>
          </cell>
          <cell r="J213">
            <v>8.69</v>
          </cell>
          <cell r="K213">
            <v>8.23</v>
          </cell>
          <cell r="L213">
            <v>3.75</v>
          </cell>
          <cell r="M213">
            <v>0.47</v>
          </cell>
          <cell r="N213">
            <v>23.16</v>
          </cell>
          <cell r="O213">
            <v>0.38</v>
          </cell>
          <cell r="P213">
            <v>1.01</v>
          </cell>
          <cell r="Q213">
            <v>11.2</v>
          </cell>
        </row>
        <row r="214">
          <cell r="D214">
            <v>11.9</v>
          </cell>
          <cell r="E214">
            <v>52.15</v>
          </cell>
          <cell r="F214">
            <v>18.07</v>
          </cell>
          <cell r="G214">
            <v>29.12</v>
          </cell>
          <cell r="H214">
            <v>82.93</v>
          </cell>
          <cell r="I214">
            <v>207.73</v>
          </cell>
          <cell r="J214">
            <v>8.77</v>
          </cell>
          <cell r="K214">
            <v>8.31</v>
          </cell>
          <cell r="L214">
            <v>3.75</v>
          </cell>
          <cell r="M214">
            <v>0.47</v>
          </cell>
          <cell r="N214">
            <v>23.4</v>
          </cell>
          <cell r="O214">
            <v>0.38</v>
          </cell>
          <cell r="P214">
            <v>1.01</v>
          </cell>
          <cell r="Q214">
            <v>11.3</v>
          </cell>
        </row>
        <row r="215">
          <cell r="D215">
            <v>12</v>
          </cell>
          <cell r="E215">
            <v>52.6</v>
          </cell>
          <cell r="F215">
            <v>18.2</v>
          </cell>
          <cell r="G215">
            <v>29.53</v>
          </cell>
          <cell r="H215">
            <v>84.24</v>
          </cell>
          <cell r="I215">
            <v>211.22</v>
          </cell>
          <cell r="J215">
            <v>8.85</v>
          </cell>
          <cell r="K215">
            <v>8.39</v>
          </cell>
          <cell r="L215">
            <v>3.75</v>
          </cell>
          <cell r="M215">
            <v>0.47</v>
          </cell>
          <cell r="N215">
            <v>23.63</v>
          </cell>
          <cell r="O215">
            <v>0.38</v>
          </cell>
          <cell r="P215">
            <v>1.01</v>
          </cell>
          <cell r="Q215">
            <v>11.4</v>
          </cell>
        </row>
        <row r="216">
          <cell r="D216">
            <v>12.05</v>
          </cell>
        </row>
        <row r="217">
          <cell r="D217">
            <v>12.1</v>
          </cell>
          <cell r="E217">
            <v>53.05</v>
          </cell>
          <cell r="F217">
            <v>18.34</v>
          </cell>
          <cell r="G217">
            <v>29.95</v>
          </cell>
          <cell r="H217">
            <v>85.57</v>
          </cell>
          <cell r="I217">
            <v>214.9</v>
          </cell>
          <cell r="J217">
            <v>8.94</v>
          </cell>
          <cell r="K217">
            <v>8.48</v>
          </cell>
          <cell r="L217">
            <v>3.75</v>
          </cell>
          <cell r="M217">
            <v>0.47</v>
          </cell>
          <cell r="N217">
            <v>23.87</v>
          </cell>
          <cell r="O217">
            <v>0.38</v>
          </cell>
          <cell r="P217">
            <v>1.01</v>
          </cell>
          <cell r="Q217">
            <v>11.5</v>
          </cell>
        </row>
        <row r="218">
          <cell r="D218">
            <v>12.2</v>
          </cell>
          <cell r="E218">
            <v>53.5</v>
          </cell>
          <cell r="F218">
            <v>18.47</v>
          </cell>
          <cell r="G218">
            <v>30.36</v>
          </cell>
          <cell r="H218">
            <v>86.9</v>
          </cell>
          <cell r="I218">
            <v>218.56</v>
          </cell>
          <cell r="J218">
            <v>9.02</v>
          </cell>
          <cell r="K218">
            <v>8.56</v>
          </cell>
          <cell r="L218">
            <v>3.75</v>
          </cell>
          <cell r="M218">
            <v>0.47</v>
          </cell>
          <cell r="N218">
            <v>24.1</v>
          </cell>
          <cell r="O218">
            <v>0.38</v>
          </cell>
          <cell r="P218">
            <v>1.01</v>
          </cell>
          <cell r="Q218">
            <v>11.6</v>
          </cell>
        </row>
        <row r="219">
          <cell r="D219">
            <v>12.3</v>
          </cell>
          <cell r="E219">
            <v>53.95</v>
          </cell>
          <cell r="F219">
            <v>18.61</v>
          </cell>
          <cell r="G219">
            <v>30.78</v>
          </cell>
          <cell r="H219">
            <v>88.25</v>
          </cell>
          <cell r="I219">
            <v>222.23</v>
          </cell>
          <cell r="J219">
            <v>9.1</v>
          </cell>
          <cell r="K219">
            <v>8.64</v>
          </cell>
          <cell r="L219">
            <v>3.75</v>
          </cell>
          <cell r="M219">
            <v>0.47</v>
          </cell>
          <cell r="N219">
            <v>24.34</v>
          </cell>
          <cell r="O219">
            <v>0.38</v>
          </cell>
          <cell r="P219">
            <v>1.01</v>
          </cell>
          <cell r="Q219">
            <v>11.7</v>
          </cell>
        </row>
        <row r="220">
          <cell r="D220">
            <v>12.4</v>
          </cell>
          <cell r="E220">
            <v>54.4</v>
          </cell>
          <cell r="F220">
            <v>18.739999999999998</v>
          </cell>
          <cell r="G220">
            <v>31.2</v>
          </cell>
          <cell r="H220">
            <v>89.6</v>
          </cell>
          <cell r="I220">
            <v>225.96</v>
          </cell>
          <cell r="J220">
            <v>9.18</v>
          </cell>
          <cell r="K220">
            <v>8.7200000000000006</v>
          </cell>
          <cell r="L220">
            <v>3.75</v>
          </cell>
          <cell r="M220">
            <v>0.47</v>
          </cell>
          <cell r="N220">
            <v>24.57</v>
          </cell>
          <cell r="O220">
            <v>0.38</v>
          </cell>
          <cell r="P220">
            <v>1.01</v>
          </cell>
          <cell r="Q220">
            <v>11.8</v>
          </cell>
        </row>
        <row r="221">
          <cell r="D221">
            <v>12.5</v>
          </cell>
          <cell r="E221">
            <v>54.85</v>
          </cell>
          <cell r="F221">
            <v>18.88</v>
          </cell>
          <cell r="G221">
            <v>31.63</v>
          </cell>
          <cell r="H221">
            <v>90.97</v>
          </cell>
          <cell r="I221">
            <v>229.71</v>
          </cell>
          <cell r="J221">
            <v>9.26</v>
          </cell>
          <cell r="K221">
            <v>8.8000000000000007</v>
          </cell>
          <cell r="L221">
            <v>3.75</v>
          </cell>
          <cell r="M221">
            <v>0.47</v>
          </cell>
          <cell r="N221">
            <v>24.81</v>
          </cell>
          <cell r="O221">
            <v>0.38</v>
          </cell>
          <cell r="P221">
            <v>1.01</v>
          </cell>
          <cell r="Q221">
            <v>11.9</v>
          </cell>
        </row>
        <row r="222">
          <cell r="D222">
            <v>12.55</v>
          </cell>
        </row>
        <row r="223">
          <cell r="D223">
            <v>12.6</v>
          </cell>
          <cell r="E223">
            <v>55.3</v>
          </cell>
          <cell r="F223">
            <v>19.010000000000002</v>
          </cell>
          <cell r="G223">
            <v>32.049999999999997</v>
          </cell>
          <cell r="H223">
            <v>92.34</v>
          </cell>
          <cell r="I223">
            <v>233.5</v>
          </cell>
          <cell r="J223">
            <v>9.34</v>
          </cell>
          <cell r="K223">
            <v>8.8800000000000008</v>
          </cell>
          <cell r="L223">
            <v>3.75</v>
          </cell>
          <cell r="M223">
            <v>0.47</v>
          </cell>
          <cell r="N223">
            <v>25.04</v>
          </cell>
          <cell r="O223">
            <v>0.38</v>
          </cell>
          <cell r="P223">
            <v>1.01</v>
          </cell>
          <cell r="Q223">
            <v>12</v>
          </cell>
        </row>
        <row r="224">
          <cell r="D224">
            <v>12.7</v>
          </cell>
          <cell r="E224">
            <v>55.75</v>
          </cell>
          <cell r="F224">
            <v>19.149999999999999</v>
          </cell>
          <cell r="G224">
            <v>32.479999999999997</v>
          </cell>
          <cell r="H224">
            <v>93.73</v>
          </cell>
          <cell r="I224">
            <v>237.32</v>
          </cell>
          <cell r="J224">
            <v>9.42</v>
          </cell>
          <cell r="K224">
            <v>8.9600000000000009</v>
          </cell>
          <cell r="L224">
            <v>3.75</v>
          </cell>
          <cell r="M224">
            <v>0.47</v>
          </cell>
          <cell r="N224">
            <v>25.28</v>
          </cell>
          <cell r="O224">
            <v>0.38</v>
          </cell>
          <cell r="P224">
            <v>1.01</v>
          </cell>
          <cell r="Q224">
            <v>12.1</v>
          </cell>
        </row>
        <row r="225">
          <cell r="D225">
            <v>12.8</v>
          </cell>
          <cell r="E225">
            <v>56.2</v>
          </cell>
          <cell r="F225">
            <v>19.28</v>
          </cell>
          <cell r="G225">
            <v>32.909999999999997</v>
          </cell>
          <cell r="H225">
            <v>95.12</v>
          </cell>
          <cell r="I225">
            <v>241.18</v>
          </cell>
          <cell r="J225">
            <v>9.5</v>
          </cell>
          <cell r="K225">
            <v>9.0399999999999991</v>
          </cell>
          <cell r="L225">
            <v>3.75</v>
          </cell>
          <cell r="M225">
            <v>0.47</v>
          </cell>
          <cell r="N225">
            <v>25.51</v>
          </cell>
          <cell r="O225">
            <v>0.38</v>
          </cell>
          <cell r="P225">
            <v>1.01</v>
          </cell>
          <cell r="Q225">
            <v>12.2</v>
          </cell>
        </row>
        <row r="226">
          <cell r="D226">
            <v>12.9</v>
          </cell>
          <cell r="E226">
            <v>56.65</v>
          </cell>
          <cell r="F226">
            <v>19.420000000000002</v>
          </cell>
          <cell r="G226">
            <v>33.35</v>
          </cell>
          <cell r="H226">
            <v>96.53</v>
          </cell>
          <cell r="I226">
            <v>245.07</v>
          </cell>
          <cell r="J226">
            <v>9.58</v>
          </cell>
          <cell r="K226">
            <v>9.1199999999999992</v>
          </cell>
          <cell r="L226">
            <v>3.75</v>
          </cell>
          <cell r="M226">
            <v>0.47</v>
          </cell>
          <cell r="N226">
            <v>25.75</v>
          </cell>
          <cell r="O226">
            <v>0.38</v>
          </cell>
          <cell r="P226">
            <v>1.01</v>
          </cell>
          <cell r="Q226">
            <v>12.3</v>
          </cell>
        </row>
        <row r="227">
          <cell r="D227">
            <v>13</v>
          </cell>
          <cell r="E227">
            <v>57.1</v>
          </cell>
          <cell r="F227">
            <v>19.55</v>
          </cell>
          <cell r="G227">
            <v>33.78</v>
          </cell>
          <cell r="H227">
            <v>97.94</v>
          </cell>
          <cell r="I227">
            <v>249</v>
          </cell>
          <cell r="J227">
            <v>9.66</v>
          </cell>
          <cell r="K227">
            <v>9.1999999999999993</v>
          </cell>
          <cell r="L227">
            <v>3.75</v>
          </cell>
          <cell r="M227">
            <v>0.47</v>
          </cell>
          <cell r="N227">
            <v>25.98</v>
          </cell>
          <cell r="O227">
            <v>0.38</v>
          </cell>
          <cell r="P227">
            <v>1.01</v>
          </cell>
          <cell r="Q227">
            <v>12.4</v>
          </cell>
        </row>
        <row r="228">
          <cell r="D228">
            <v>13.05</v>
          </cell>
        </row>
        <row r="229">
          <cell r="D229">
            <v>13.1</v>
          </cell>
          <cell r="E229">
            <v>57.55</v>
          </cell>
          <cell r="F229">
            <v>19.690000000000001</v>
          </cell>
          <cell r="G229">
            <v>34.22</v>
          </cell>
          <cell r="H229">
            <v>99.37</v>
          </cell>
          <cell r="I229">
            <v>252.96</v>
          </cell>
          <cell r="J229">
            <v>9.74</v>
          </cell>
          <cell r="K229">
            <v>9.2799999999999994</v>
          </cell>
          <cell r="L229">
            <v>3.75</v>
          </cell>
          <cell r="M229">
            <v>0.47</v>
          </cell>
          <cell r="N229">
            <v>26.22</v>
          </cell>
          <cell r="O229">
            <v>0.38</v>
          </cell>
          <cell r="P229">
            <v>1.01</v>
          </cell>
          <cell r="Q229">
            <v>12.5</v>
          </cell>
        </row>
        <row r="230">
          <cell r="D230">
            <v>13.2</v>
          </cell>
          <cell r="E230">
            <v>58</v>
          </cell>
          <cell r="F230">
            <v>19.82</v>
          </cell>
          <cell r="G230">
            <v>34.659999999999997</v>
          </cell>
          <cell r="H230">
            <v>100.8</v>
          </cell>
          <cell r="I230">
            <v>256.95999999999998</v>
          </cell>
          <cell r="J230">
            <v>9.82</v>
          </cell>
          <cell r="K230">
            <v>9.36</v>
          </cell>
          <cell r="L230">
            <v>3.75</v>
          </cell>
          <cell r="M230">
            <v>0.47</v>
          </cell>
          <cell r="N230">
            <v>26.45</v>
          </cell>
          <cell r="O230">
            <v>0.38</v>
          </cell>
          <cell r="P230">
            <v>1.01</v>
          </cell>
          <cell r="Q230">
            <v>12.6</v>
          </cell>
        </row>
        <row r="231">
          <cell r="D231">
            <v>13.3</v>
          </cell>
          <cell r="E231">
            <v>58.45</v>
          </cell>
          <cell r="F231">
            <v>19.96</v>
          </cell>
          <cell r="G231">
            <v>35.11</v>
          </cell>
          <cell r="H231">
            <v>102.25</v>
          </cell>
          <cell r="I231">
            <v>260.97000000000003</v>
          </cell>
          <cell r="J231">
            <v>9.91</v>
          </cell>
          <cell r="K231">
            <v>9.4499999999999993</v>
          </cell>
          <cell r="L231">
            <v>3.75</v>
          </cell>
          <cell r="M231">
            <v>0.47</v>
          </cell>
          <cell r="N231">
            <v>26.69</v>
          </cell>
          <cell r="O231">
            <v>0.38</v>
          </cell>
          <cell r="P231">
            <v>1.01</v>
          </cell>
          <cell r="Q231">
            <v>12.7</v>
          </cell>
        </row>
        <row r="232">
          <cell r="D232">
            <v>13.4</v>
          </cell>
          <cell r="E232">
            <v>58.9</v>
          </cell>
          <cell r="F232">
            <v>20.09</v>
          </cell>
          <cell r="G232">
            <v>35.549999999999997</v>
          </cell>
          <cell r="H232">
            <v>103.7</v>
          </cell>
          <cell r="I232">
            <v>265.04000000000002</v>
          </cell>
          <cell r="J232">
            <v>9.99</v>
          </cell>
          <cell r="K232">
            <v>9.5299999999999994</v>
          </cell>
          <cell r="L232">
            <v>3.75</v>
          </cell>
          <cell r="M232">
            <v>0.47</v>
          </cell>
          <cell r="N232">
            <v>26.92</v>
          </cell>
          <cell r="O232">
            <v>0.38</v>
          </cell>
          <cell r="P232">
            <v>1.01</v>
          </cell>
          <cell r="Q232">
            <v>12.8</v>
          </cell>
        </row>
        <row r="233">
          <cell r="D233">
            <v>13.5</v>
          </cell>
          <cell r="E233">
            <v>59.35</v>
          </cell>
          <cell r="F233">
            <v>20.23</v>
          </cell>
          <cell r="G233">
            <v>36</v>
          </cell>
          <cell r="H233">
            <v>105.17</v>
          </cell>
          <cell r="I233">
            <v>269.13</v>
          </cell>
          <cell r="J233">
            <v>10.07</v>
          </cell>
          <cell r="K233">
            <v>9.61</v>
          </cell>
          <cell r="L233">
            <v>3.75</v>
          </cell>
          <cell r="M233">
            <v>0.47</v>
          </cell>
          <cell r="N233">
            <v>27.16</v>
          </cell>
          <cell r="O233">
            <v>0.38</v>
          </cell>
          <cell r="P233">
            <v>1.01</v>
          </cell>
          <cell r="Q233">
            <v>12.9</v>
          </cell>
        </row>
        <row r="234">
          <cell r="D234">
            <v>13.55</v>
          </cell>
        </row>
        <row r="235">
          <cell r="D235">
            <v>13.6</v>
          </cell>
          <cell r="E235">
            <v>59.8</v>
          </cell>
          <cell r="F235">
            <v>20.36</v>
          </cell>
          <cell r="G235">
            <v>36.450000000000003</v>
          </cell>
          <cell r="H235">
            <v>106.64</v>
          </cell>
          <cell r="I235">
            <v>273.27999999999997</v>
          </cell>
          <cell r="J235">
            <v>10.15</v>
          </cell>
          <cell r="K235">
            <v>9.69</v>
          </cell>
          <cell r="L235">
            <v>3.75</v>
          </cell>
          <cell r="M235">
            <v>0.47</v>
          </cell>
          <cell r="N235">
            <v>27.39</v>
          </cell>
          <cell r="O235">
            <v>0.38</v>
          </cell>
          <cell r="P235">
            <v>1.01</v>
          </cell>
          <cell r="Q235">
            <v>13</v>
          </cell>
        </row>
        <row r="236">
          <cell r="D236">
            <v>13.7</v>
          </cell>
          <cell r="E236">
            <v>60.25</v>
          </cell>
          <cell r="F236">
            <v>20.5</v>
          </cell>
          <cell r="G236">
            <v>36.909999999999997</v>
          </cell>
          <cell r="H236">
            <v>108.13</v>
          </cell>
          <cell r="I236">
            <v>277.45</v>
          </cell>
          <cell r="J236">
            <v>10.23</v>
          </cell>
          <cell r="K236">
            <v>9.77</v>
          </cell>
          <cell r="L236">
            <v>3.75</v>
          </cell>
          <cell r="M236">
            <v>0.47</v>
          </cell>
          <cell r="N236">
            <v>27.63</v>
          </cell>
          <cell r="O236">
            <v>0.38</v>
          </cell>
          <cell r="P236">
            <v>1.01</v>
          </cell>
          <cell r="Q236">
            <v>13.1</v>
          </cell>
        </row>
        <row r="237">
          <cell r="D237">
            <v>13.8</v>
          </cell>
          <cell r="E237">
            <v>60.7</v>
          </cell>
          <cell r="F237">
            <v>20.63</v>
          </cell>
          <cell r="G237">
            <v>37.36</v>
          </cell>
          <cell r="H237">
            <v>109.62</v>
          </cell>
          <cell r="I237">
            <v>281.66000000000003</v>
          </cell>
          <cell r="J237">
            <v>10.31</v>
          </cell>
          <cell r="K237">
            <v>9.85</v>
          </cell>
          <cell r="L237">
            <v>3.75</v>
          </cell>
          <cell r="M237">
            <v>0.47</v>
          </cell>
          <cell r="N237">
            <v>27.86</v>
          </cell>
          <cell r="O237">
            <v>0.38</v>
          </cell>
          <cell r="P237">
            <v>1.01</v>
          </cell>
          <cell r="Q237">
            <v>13.2</v>
          </cell>
        </row>
        <row r="238">
          <cell r="D238">
            <v>13.9</v>
          </cell>
          <cell r="E238">
            <v>61.15</v>
          </cell>
          <cell r="F238">
            <v>20.77</v>
          </cell>
          <cell r="G238">
            <v>37.82</v>
          </cell>
          <cell r="H238">
            <v>111.13</v>
          </cell>
          <cell r="I238">
            <v>285.89999999999998</v>
          </cell>
          <cell r="J238">
            <v>10.39</v>
          </cell>
          <cell r="K238">
            <v>9.93</v>
          </cell>
          <cell r="L238">
            <v>3.75</v>
          </cell>
          <cell r="M238">
            <v>0.47</v>
          </cell>
          <cell r="N238">
            <v>28.1</v>
          </cell>
          <cell r="O238">
            <v>0.38</v>
          </cell>
          <cell r="P238">
            <v>1.01</v>
          </cell>
          <cell r="Q238">
            <v>13.3</v>
          </cell>
        </row>
        <row r="239">
          <cell r="D239">
            <v>14</v>
          </cell>
          <cell r="E239">
            <v>61.6</v>
          </cell>
          <cell r="F239">
            <v>20.9</v>
          </cell>
          <cell r="G239">
            <v>38.28</v>
          </cell>
          <cell r="H239">
            <v>112.64</v>
          </cell>
          <cell r="I239">
            <v>290.18</v>
          </cell>
          <cell r="J239">
            <v>10.47</v>
          </cell>
          <cell r="K239">
            <v>10.01</v>
          </cell>
          <cell r="L239">
            <v>3.75</v>
          </cell>
          <cell r="M239">
            <v>0.47</v>
          </cell>
          <cell r="N239">
            <v>28.33</v>
          </cell>
          <cell r="O239">
            <v>0.38</v>
          </cell>
          <cell r="P239">
            <v>1.01</v>
          </cell>
          <cell r="Q239">
            <v>13.4</v>
          </cell>
        </row>
        <row r="240">
          <cell r="D240">
            <v>14.05</v>
          </cell>
        </row>
        <row r="241">
          <cell r="D241">
            <v>14.1</v>
          </cell>
          <cell r="E241">
            <v>62.05</v>
          </cell>
          <cell r="F241">
            <v>21.04</v>
          </cell>
          <cell r="G241">
            <v>38.75</v>
          </cell>
          <cell r="H241">
            <v>114.17</v>
          </cell>
          <cell r="I241">
            <v>294.56</v>
          </cell>
          <cell r="J241">
            <v>10.55</v>
          </cell>
          <cell r="K241">
            <v>10.09</v>
          </cell>
          <cell r="L241">
            <v>3.75</v>
          </cell>
          <cell r="M241">
            <v>0.47</v>
          </cell>
          <cell r="N241">
            <v>28.57</v>
          </cell>
          <cell r="O241">
            <v>0.38</v>
          </cell>
          <cell r="P241">
            <v>1.01</v>
          </cell>
          <cell r="Q241">
            <v>13.5</v>
          </cell>
        </row>
        <row r="242">
          <cell r="D242">
            <v>14.2</v>
          </cell>
          <cell r="E242">
            <v>62.3</v>
          </cell>
          <cell r="F242">
            <v>21.17</v>
          </cell>
          <cell r="G242">
            <v>39.21</v>
          </cell>
          <cell r="H242">
            <v>115.7</v>
          </cell>
          <cell r="I242">
            <v>298.83999999999997</v>
          </cell>
          <cell r="J242">
            <v>10.63</v>
          </cell>
          <cell r="K242">
            <v>10.17</v>
          </cell>
          <cell r="L242">
            <v>3.75</v>
          </cell>
          <cell r="M242">
            <v>0.47</v>
          </cell>
          <cell r="N242">
            <v>28.8</v>
          </cell>
          <cell r="O242">
            <v>0.38</v>
          </cell>
          <cell r="P242">
            <v>1.01</v>
          </cell>
          <cell r="Q242">
            <v>13.6</v>
          </cell>
        </row>
        <row r="243">
          <cell r="D243">
            <v>14.3</v>
          </cell>
          <cell r="E243">
            <v>62.95</v>
          </cell>
          <cell r="F243">
            <v>21.31</v>
          </cell>
          <cell r="G243">
            <v>39.68</v>
          </cell>
          <cell r="H243">
            <v>117.25</v>
          </cell>
          <cell r="I243">
            <v>303.22000000000003</v>
          </cell>
          <cell r="J243">
            <v>10.71</v>
          </cell>
          <cell r="K243">
            <v>10.25</v>
          </cell>
          <cell r="L243">
            <v>3.75</v>
          </cell>
          <cell r="M243">
            <v>0.47</v>
          </cell>
          <cell r="N243">
            <v>29.04</v>
          </cell>
          <cell r="O243">
            <v>0.38</v>
          </cell>
          <cell r="P243">
            <v>1.01</v>
          </cell>
          <cell r="Q243">
            <v>13.7</v>
          </cell>
        </row>
        <row r="244">
          <cell r="D244">
            <v>14.4</v>
          </cell>
          <cell r="E244">
            <v>63.4</v>
          </cell>
          <cell r="F244">
            <v>21.44</v>
          </cell>
          <cell r="G244">
            <v>40.15</v>
          </cell>
          <cell r="H244">
            <v>118.8</v>
          </cell>
          <cell r="I244">
            <v>307.64</v>
          </cell>
          <cell r="J244">
            <v>10.79</v>
          </cell>
          <cell r="K244">
            <v>10.33</v>
          </cell>
          <cell r="L244">
            <v>3.75</v>
          </cell>
          <cell r="M244">
            <v>0.47</v>
          </cell>
          <cell r="N244">
            <v>29.27</v>
          </cell>
          <cell r="O244">
            <v>0.38</v>
          </cell>
          <cell r="P244">
            <v>1.01</v>
          </cell>
          <cell r="Q244">
            <v>13.8</v>
          </cell>
        </row>
        <row r="245">
          <cell r="D245">
            <v>14.5</v>
          </cell>
          <cell r="E245">
            <v>63.85</v>
          </cell>
          <cell r="F245">
            <v>21.58</v>
          </cell>
          <cell r="G245">
            <v>40.630000000000003</v>
          </cell>
          <cell r="H245">
            <v>120.37</v>
          </cell>
          <cell r="I245">
            <v>312.08999999999997</v>
          </cell>
          <cell r="J245">
            <v>10.87</v>
          </cell>
          <cell r="K245">
            <v>10.41</v>
          </cell>
          <cell r="L245">
            <v>3.75</v>
          </cell>
          <cell r="M245">
            <v>0.47</v>
          </cell>
          <cell r="N245">
            <v>29.51</v>
          </cell>
          <cell r="O245">
            <v>0.38</v>
          </cell>
          <cell r="P245">
            <v>1.01</v>
          </cell>
          <cell r="Q245">
            <v>13.9</v>
          </cell>
        </row>
        <row r="246">
          <cell r="D246">
            <v>14.55</v>
          </cell>
        </row>
        <row r="247">
          <cell r="D247">
            <v>14.6</v>
          </cell>
          <cell r="E247">
            <v>64.3</v>
          </cell>
          <cell r="F247">
            <v>21.71</v>
          </cell>
          <cell r="G247">
            <v>41.1</v>
          </cell>
          <cell r="H247">
            <v>121.94</v>
          </cell>
          <cell r="I247">
            <v>316.56</v>
          </cell>
          <cell r="J247">
            <v>10.96</v>
          </cell>
          <cell r="K247">
            <v>10.5</v>
          </cell>
          <cell r="L247">
            <v>3.75</v>
          </cell>
          <cell r="M247">
            <v>0.47</v>
          </cell>
          <cell r="N247">
            <v>29.74</v>
          </cell>
          <cell r="O247">
            <v>0.38</v>
          </cell>
          <cell r="P247">
            <v>1.01</v>
          </cell>
          <cell r="Q247">
            <v>4</v>
          </cell>
        </row>
        <row r="248">
          <cell r="D248">
            <v>14.7</v>
          </cell>
          <cell r="E248">
            <v>64.75</v>
          </cell>
          <cell r="F248">
            <v>21.85</v>
          </cell>
          <cell r="G248">
            <v>41.58</v>
          </cell>
          <cell r="H248">
            <v>123.53</v>
          </cell>
          <cell r="I248">
            <v>321.08</v>
          </cell>
          <cell r="J248">
            <v>11.04</v>
          </cell>
          <cell r="K248">
            <v>10.58</v>
          </cell>
          <cell r="L248">
            <v>3.75</v>
          </cell>
          <cell r="M248">
            <v>0.47</v>
          </cell>
          <cell r="N248">
            <v>29.98</v>
          </cell>
          <cell r="O248">
            <v>0.38</v>
          </cell>
          <cell r="P248">
            <v>1.01</v>
          </cell>
          <cell r="Q248">
            <v>14.1</v>
          </cell>
        </row>
        <row r="249">
          <cell r="D249">
            <v>14.8</v>
          </cell>
          <cell r="E249">
            <v>65.2</v>
          </cell>
          <cell r="F249">
            <v>21.9</v>
          </cell>
          <cell r="G249">
            <v>42.06</v>
          </cell>
          <cell r="H249">
            <v>125.12</v>
          </cell>
          <cell r="I249">
            <v>325.64</v>
          </cell>
          <cell r="J249">
            <v>11.12</v>
          </cell>
          <cell r="K249">
            <v>10.66</v>
          </cell>
          <cell r="L249">
            <v>3.75</v>
          </cell>
          <cell r="M249">
            <v>0.47</v>
          </cell>
          <cell r="N249">
            <v>30.21</v>
          </cell>
          <cell r="O249">
            <v>0.38</v>
          </cell>
          <cell r="P249">
            <v>1.01</v>
          </cell>
          <cell r="Q249">
            <v>14.2</v>
          </cell>
        </row>
        <row r="250">
          <cell r="D250">
            <v>14.9</v>
          </cell>
          <cell r="E250">
            <v>65.650000000000006</v>
          </cell>
          <cell r="F250">
            <v>22.12</v>
          </cell>
          <cell r="G250">
            <v>42.55</v>
          </cell>
          <cell r="H250">
            <v>126.73</v>
          </cell>
          <cell r="I250">
            <v>330.22</v>
          </cell>
          <cell r="J250">
            <v>11.2</v>
          </cell>
          <cell r="K250">
            <v>10.74</v>
          </cell>
          <cell r="L250">
            <v>3.75</v>
          </cell>
          <cell r="M250">
            <v>0.47</v>
          </cell>
          <cell r="N250">
            <v>30.45</v>
          </cell>
          <cell r="O250">
            <v>0.38</v>
          </cell>
          <cell r="P250">
            <v>1.01</v>
          </cell>
          <cell r="Q250">
            <v>143</v>
          </cell>
        </row>
        <row r="251">
          <cell r="D251">
            <v>15</v>
          </cell>
          <cell r="E251">
            <v>66.099999999999994</v>
          </cell>
          <cell r="F251">
            <v>22.25</v>
          </cell>
          <cell r="G251">
            <v>43.03</v>
          </cell>
          <cell r="H251">
            <v>128.34</v>
          </cell>
          <cell r="I251">
            <v>334.86</v>
          </cell>
          <cell r="J251">
            <v>11.28</v>
          </cell>
          <cell r="K251">
            <v>10.82</v>
          </cell>
          <cell r="L251">
            <v>3.75</v>
          </cell>
          <cell r="M251">
            <v>0.47</v>
          </cell>
          <cell r="N251">
            <v>30.68</v>
          </cell>
          <cell r="O251">
            <v>0.38</v>
          </cell>
          <cell r="P251">
            <v>1.01</v>
          </cell>
          <cell r="Q251">
            <v>14.4</v>
          </cell>
        </row>
        <row r="252">
          <cell r="D252">
            <v>15.1</v>
          </cell>
          <cell r="E252">
            <v>66.55</v>
          </cell>
          <cell r="F252">
            <v>22.39</v>
          </cell>
          <cell r="G252">
            <v>43.52</v>
          </cell>
          <cell r="H252">
            <v>129.97</v>
          </cell>
          <cell r="I252">
            <v>339.52</v>
          </cell>
          <cell r="J252">
            <v>11.36</v>
          </cell>
          <cell r="K252">
            <v>10.9</v>
          </cell>
          <cell r="L252">
            <v>3.75</v>
          </cell>
          <cell r="M252">
            <v>0.47</v>
          </cell>
          <cell r="N252">
            <v>30.92</v>
          </cell>
          <cell r="O252">
            <v>0.38</v>
          </cell>
          <cell r="P252">
            <v>1.01</v>
          </cell>
          <cell r="Q252">
            <v>14.5</v>
          </cell>
        </row>
        <row r="253">
          <cell r="D253">
            <v>15.2</v>
          </cell>
          <cell r="E253">
            <v>67</v>
          </cell>
          <cell r="F253">
            <v>22.52</v>
          </cell>
          <cell r="G253">
            <v>44.01</v>
          </cell>
          <cell r="H253">
            <v>131.6</v>
          </cell>
          <cell r="I253">
            <v>344.22</v>
          </cell>
          <cell r="J253">
            <v>11.44</v>
          </cell>
          <cell r="K253">
            <v>10.98</v>
          </cell>
          <cell r="L253">
            <v>3.75</v>
          </cell>
          <cell r="M253">
            <v>0.47</v>
          </cell>
          <cell r="N253">
            <v>31.15</v>
          </cell>
          <cell r="O253">
            <v>0.38</v>
          </cell>
          <cell r="P253">
            <v>1.01</v>
          </cell>
          <cell r="Q253">
            <v>14.6</v>
          </cell>
        </row>
        <row r="254">
          <cell r="D254">
            <v>15.3</v>
          </cell>
          <cell r="E254">
            <v>67.45</v>
          </cell>
          <cell r="F254">
            <v>22.66</v>
          </cell>
          <cell r="G254">
            <v>44.51</v>
          </cell>
          <cell r="H254">
            <v>133.25</v>
          </cell>
          <cell r="I254">
            <v>348.95</v>
          </cell>
          <cell r="J254">
            <v>11.52</v>
          </cell>
          <cell r="K254">
            <v>11.06</v>
          </cell>
          <cell r="L254">
            <v>3.75</v>
          </cell>
          <cell r="M254">
            <v>0.47</v>
          </cell>
          <cell r="N254">
            <v>31.39</v>
          </cell>
          <cell r="O254">
            <v>0.38</v>
          </cell>
          <cell r="P254">
            <v>1.01</v>
          </cell>
          <cell r="Q254">
            <v>14.7</v>
          </cell>
        </row>
        <row r="255">
          <cell r="D255">
            <v>15.4</v>
          </cell>
          <cell r="E255">
            <v>67.900000000000006</v>
          </cell>
          <cell r="F255">
            <v>22.79</v>
          </cell>
          <cell r="G255">
            <v>45</v>
          </cell>
          <cell r="H255">
            <v>134.9</v>
          </cell>
          <cell r="I255">
            <v>353.72</v>
          </cell>
          <cell r="J255">
            <v>11.6</v>
          </cell>
          <cell r="K255">
            <v>11.14</v>
          </cell>
          <cell r="L255">
            <v>3.75</v>
          </cell>
          <cell r="M255">
            <v>0.47</v>
          </cell>
          <cell r="N255">
            <v>31.62</v>
          </cell>
          <cell r="O255">
            <v>0.38</v>
          </cell>
          <cell r="P255">
            <v>1.01</v>
          </cell>
          <cell r="Q255">
            <v>14.8</v>
          </cell>
        </row>
        <row r="256">
          <cell r="D256">
            <v>15.5</v>
          </cell>
          <cell r="E256">
            <v>68.349999999999994</v>
          </cell>
          <cell r="F256">
            <v>22.93</v>
          </cell>
          <cell r="G256">
            <v>45.5</v>
          </cell>
          <cell r="H256">
            <v>136.57</v>
          </cell>
          <cell r="I256">
            <v>358.52</v>
          </cell>
          <cell r="J256">
            <v>11.68</v>
          </cell>
          <cell r="K256">
            <v>11.22</v>
          </cell>
          <cell r="L256">
            <v>3.75</v>
          </cell>
          <cell r="M256">
            <v>0.47</v>
          </cell>
          <cell r="N256">
            <v>31.86</v>
          </cell>
          <cell r="O256">
            <v>0.38</v>
          </cell>
          <cell r="P256">
            <v>1.01</v>
          </cell>
          <cell r="Q256">
            <v>14.9</v>
          </cell>
        </row>
        <row r="257">
          <cell r="D257">
            <v>15.55</v>
          </cell>
        </row>
        <row r="258">
          <cell r="D258">
            <v>15.6</v>
          </cell>
          <cell r="E258">
            <v>68.8</v>
          </cell>
          <cell r="F258">
            <v>23.06</v>
          </cell>
          <cell r="G258">
            <v>46</v>
          </cell>
          <cell r="H258">
            <v>138.34</v>
          </cell>
          <cell r="I258">
            <v>363.26</v>
          </cell>
          <cell r="J258">
            <v>11.76</v>
          </cell>
          <cell r="K258">
            <v>11.3</v>
          </cell>
          <cell r="L258">
            <v>3.75</v>
          </cell>
          <cell r="M258">
            <v>0.47</v>
          </cell>
          <cell r="N258">
            <v>32.090000000000003</v>
          </cell>
          <cell r="O258">
            <v>0.38</v>
          </cell>
          <cell r="P258">
            <v>1.01</v>
          </cell>
          <cell r="Q258">
            <v>15</v>
          </cell>
        </row>
        <row r="259">
          <cell r="D259">
            <v>15.7</v>
          </cell>
          <cell r="E259">
            <v>69.25</v>
          </cell>
          <cell r="F259">
            <v>23.2</v>
          </cell>
          <cell r="G259">
            <v>46.51</v>
          </cell>
          <cell r="H259">
            <v>139.93</v>
          </cell>
          <cell r="I259">
            <v>368.23</v>
          </cell>
          <cell r="J259">
            <v>11.84</v>
          </cell>
          <cell r="K259">
            <v>11.38</v>
          </cell>
          <cell r="L259">
            <v>3.75</v>
          </cell>
          <cell r="M259">
            <v>0.47</v>
          </cell>
          <cell r="N259">
            <v>32.33</v>
          </cell>
          <cell r="O259">
            <v>0.38</v>
          </cell>
          <cell r="P259">
            <v>1.01</v>
          </cell>
          <cell r="Q259">
            <v>15.1</v>
          </cell>
        </row>
        <row r="260">
          <cell r="D260">
            <v>15.8</v>
          </cell>
          <cell r="E260">
            <v>69.7</v>
          </cell>
          <cell r="F260">
            <v>23.33</v>
          </cell>
          <cell r="G260">
            <v>47.01</v>
          </cell>
          <cell r="H260">
            <v>141.62</v>
          </cell>
          <cell r="I260">
            <v>373.14</v>
          </cell>
          <cell r="J260">
            <v>11.92</v>
          </cell>
          <cell r="K260">
            <v>11.46</v>
          </cell>
          <cell r="L260">
            <v>3.75</v>
          </cell>
          <cell r="M260">
            <v>0.47</v>
          </cell>
          <cell r="N260">
            <v>32.56</v>
          </cell>
          <cell r="O260">
            <v>0.38</v>
          </cell>
          <cell r="P260">
            <v>1.01</v>
          </cell>
          <cell r="Q260">
            <v>15.2</v>
          </cell>
        </row>
        <row r="261">
          <cell r="D261">
            <v>15.9</v>
          </cell>
          <cell r="E261">
            <v>70.150000000000006</v>
          </cell>
          <cell r="F261">
            <v>23.47</v>
          </cell>
          <cell r="G261">
            <v>47.52</v>
          </cell>
          <cell r="H261">
            <v>143.33000000000001</v>
          </cell>
          <cell r="I261">
            <v>378.05</v>
          </cell>
          <cell r="J261">
            <v>12.01</v>
          </cell>
          <cell r="K261">
            <v>11.55</v>
          </cell>
          <cell r="L261">
            <v>3.75</v>
          </cell>
          <cell r="M261">
            <v>0.47</v>
          </cell>
          <cell r="N261">
            <v>32.799999999999997</v>
          </cell>
          <cell r="O261">
            <v>0.38</v>
          </cell>
          <cell r="P261">
            <v>1.01</v>
          </cell>
          <cell r="Q261">
            <v>15.3</v>
          </cell>
        </row>
        <row r="262">
          <cell r="D262">
            <v>16</v>
          </cell>
          <cell r="E262">
            <v>70.599999999999994</v>
          </cell>
          <cell r="F262">
            <v>23.6</v>
          </cell>
          <cell r="G262">
            <v>48.03</v>
          </cell>
          <cell r="H262">
            <v>145.04</v>
          </cell>
          <cell r="I262">
            <v>383.03</v>
          </cell>
          <cell r="J262">
            <v>12.09</v>
          </cell>
          <cell r="K262">
            <v>11.63</v>
          </cell>
          <cell r="L262">
            <v>3.75</v>
          </cell>
          <cell r="M262">
            <v>0.47</v>
          </cell>
          <cell r="N262">
            <v>33.03</v>
          </cell>
          <cell r="O262">
            <v>0.38</v>
          </cell>
          <cell r="P262">
            <v>1.01</v>
          </cell>
          <cell r="Q262">
            <v>15.4</v>
          </cell>
        </row>
        <row r="323">
          <cell r="W323">
            <v>0.5</v>
          </cell>
          <cell r="X323">
            <v>0.5</v>
          </cell>
          <cell r="Y323">
            <v>52.07</v>
          </cell>
          <cell r="Z323">
            <v>18.72</v>
          </cell>
          <cell r="AA323">
            <v>8.65</v>
          </cell>
          <cell r="AB323">
            <v>17.41</v>
          </cell>
          <cell r="AC323">
            <v>1.86</v>
          </cell>
          <cell r="AD323">
            <v>1.78</v>
          </cell>
          <cell r="AE323">
            <v>0.04</v>
          </cell>
          <cell r="AF323">
            <v>13.75</v>
          </cell>
          <cell r="AG323">
            <v>5.4</v>
          </cell>
          <cell r="AH323">
            <v>0.68</v>
          </cell>
        </row>
        <row r="324">
          <cell r="W324">
            <v>2.8</v>
          </cell>
          <cell r="X324">
            <v>2.8</v>
          </cell>
          <cell r="Y324">
            <v>52.07</v>
          </cell>
          <cell r="Z324">
            <v>18.72</v>
          </cell>
          <cell r="AA324">
            <v>8.65</v>
          </cell>
          <cell r="AB324">
            <v>17.41</v>
          </cell>
          <cell r="AC324">
            <v>1.86</v>
          </cell>
          <cell r="AD324">
            <v>1.78</v>
          </cell>
          <cell r="AE324">
            <v>0.04</v>
          </cell>
          <cell r="AF324">
            <v>13.75</v>
          </cell>
          <cell r="AG324">
            <v>5.4</v>
          </cell>
          <cell r="AH324">
            <v>0.68</v>
          </cell>
        </row>
        <row r="325">
          <cell r="W325">
            <v>3</v>
          </cell>
          <cell r="X325">
            <v>3</v>
          </cell>
          <cell r="Y325">
            <v>54.63</v>
          </cell>
          <cell r="Z325">
            <v>19.47</v>
          </cell>
          <cell r="AA325">
            <v>8.86</v>
          </cell>
          <cell r="AB325">
            <v>18.399999999999999</v>
          </cell>
          <cell r="AC325">
            <v>2.42</v>
          </cell>
          <cell r="AD325">
            <v>3.28</v>
          </cell>
          <cell r="AE325">
            <v>1.05</v>
          </cell>
          <cell r="AF325">
            <v>15</v>
          </cell>
          <cell r="AG325">
            <v>6</v>
          </cell>
          <cell r="AH325">
            <v>0.68</v>
          </cell>
        </row>
        <row r="326">
          <cell r="W326">
            <v>3.2</v>
          </cell>
          <cell r="X326">
            <v>3.2</v>
          </cell>
          <cell r="Y326">
            <v>58.13</v>
          </cell>
          <cell r="Z326">
            <v>21.27</v>
          </cell>
          <cell r="AA326">
            <v>9.27</v>
          </cell>
          <cell r="AB326">
            <v>20.05</v>
          </cell>
          <cell r="AC326">
            <v>3.76</v>
          </cell>
          <cell r="AD326">
            <v>4.03</v>
          </cell>
          <cell r="AE326">
            <v>1.46</v>
          </cell>
          <cell r="AF326">
            <v>16.25</v>
          </cell>
          <cell r="AG326">
            <v>6.61</v>
          </cell>
          <cell r="AH326">
            <v>0.68</v>
          </cell>
        </row>
        <row r="327">
          <cell r="W327">
            <v>3.4</v>
          </cell>
          <cell r="X327">
            <v>3.4</v>
          </cell>
          <cell r="Y327">
            <v>59.33</v>
          </cell>
          <cell r="Z327">
            <v>21.65</v>
          </cell>
          <cell r="AA327">
            <v>9.69</v>
          </cell>
          <cell r="AB327">
            <v>21.84</v>
          </cell>
          <cell r="AC327">
            <v>5.32</v>
          </cell>
          <cell r="AD327">
            <v>4.84</v>
          </cell>
          <cell r="AE327">
            <v>1.94</v>
          </cell>
          <cell r="AF327">
            <v>16.25</v>
          </cell>
          <cell r="AG327">
            <v>6.61</v>
          </cell>
          <cell r="AH327">
            <v>0.68</v>
          </cell>
        </row>
        <row r="328">
          <cell r="W328">
            <v>3.6</v>
          </cell>
          <cell r="X328">
            <v>3.6</v>
          </cell>
          <cell r="Y328">
            <v>63.17</v>
          </cell>
          <cell r="Z328">
            <v>22.57</v>
          </cell>
          <cell r="AA328">
            <v>10.11</v>
          </cell>
          <cell r="AB328">
            <v>23.08</v>
          </cell>
          <cell r="AC328">
            <v>7.31</v>
          </cell>
          <cell r="AD328">
            <v>5.73</v>
          </cell>
          <cell r="AE328">
            <v>2.4900000000000002</v>
          </cell>
          <cell r="AF328">
            <v>17.5</v>
          </cell>
          <cell r="AG328">
            <v>7.22</v>
          </cell>
          <cell r="AH328">
            <v>0.68</v>
          </cell>
        </row>
        <row r="329">
          <cell r="W329">
            <v>3.8</v>
          </cell>
          <cell r="X329">
            <v>3.8</v>
          </cell>
          <cell r="Y329">
            <v>67.42</v>
          </cell>
          <cell r="Z329">
            <v>24.49</v>
          </cell>
          <cell r="AA329">
            <v>10.62</v>
          </cell>
          <cell r="AB329">
            <v>26.11</v>
          </cell>
          <cell r="AC329">
            <v>9.7100000000000009</v>
          </cell>
          <cell r="AD329">
            <v>6.77</v>
          </cell>
          <cell r="AE329">
            <v>3.18</v>
          </cell>
          <cell r="AF329">
            <v>18.75</v>
          </cell>
          <cell r="AG329">
            <v>7.39</v>
          </cell>
          <cell r="AH329">
            <v>0.68</v>
          </cell>
        </row>
        <row r="330">
          <cell r="W330">
            <v>4</v>
          </cell>
          <cell r="X330">
            <v>4</v>
          </cell>
          <cell r="Y330">
            <v>67.540000000000006</v>
          </cell>
          <cell r="Z330">
            <v>24.98</v>
          </cell>
          <cell r="AA330">
            <v>11.16</v>
          </cell>
          <cell r="AB330">
            <v>29.62</v>
          </cell>
          <cell r="AC330">
            <v>12.08</v>
          </cell>
          <cell r="AD330">
            <v>7.69</v>
          </cell>
          <cell r="AE330">
            <v>3.79</v>
          </cell>
          <cell r="AF330">
            <v>18.75</v>
          </cell>
          <cell r="AG330">
            <v>7.39</v>
          </cell>
          <cell r="AH330">
            <v>0.68</v>
          </cell>
        </row>
        <row r="331">
          <cell r="W331">
            <v>4.2</v>
          </cell>
          <cell r="X331">
            <v>4.2</v>
          </cell>
          <cell r="Y331">
            <v>75.36</v>
          </cell>
          <cell r="Z331">
            <v>25.91</v>
          </cell>
          <cell r="AA331">
            <v>11.72</v>
          </cell>
          <cell r="AB331">
            <v>29.93</v>
          </cell>
          <cell r="AC331">
            <v>15.66</v>
          </cell>
          <cell r="AD331">
            <v>8.7799999999999994</v>
          </cell>
          <cell r="AE331">
            <v>4.54</v>
          </cell>
          <cell r="AF331">
            <v>20</v>
          </cell>
          <cell r="AG331">
            <v>8</v>
          </cell>
          <cell r="AH331">
            <v>0.68</v>
          </cell>
        </row>
        <row r="332">
          <cell r="W332">
            <v>4.4000000000000004</v>
          </cell>
          <cell r="X332">
            <v>4.4000000000000004</v>
          </cell>
          <cell r="Y332">
            <v>75.42</v>
          </cell>
          <cell r="Z332">
            <v>28</v>
          </cell>
          <cell r="AA332">
            <v>12.3</v>
          </cell>
          <cell r="AB332">
            <v>34.35</v>
          </cell>
          <cell r="AC332">
            <v>19.46</v>
          </cell>
          <cell r="AD332">
            <v>9.98</v>
          </cell>
          <cell r="AE332">
            <v>5.36</v>
          </cell>
          <cell r="AF332">
            <v>21.25</v>
          </cell>
          <cell r="AG332">
            <v>8.61</v>
          </cell>
          <cell r="AH332">
            <v>0.68</v>
          </cell>
        </row>
        <row r="333">
          <cell r="W333">
            <v>4.5999999999999996</v>
          </cell>
          <cell r="X333">
            <v>4.5999999999999996</v>
          </cell>
          <cell r="Y333">
            <v>77.209999999999994</v>
          </cell>
          <cell r="Z333">
            <v>28.57</v>
          </cell>
          <cell r="AA333">
            <v>12.91</v>
          </cell>
          <cell r="AB333">
            <v>37.57</v>
          </cell>
          <cell r="AC333">
            <v>24.38</v>
          </cell>
          <cell r="AD333">
            <v>11.15</v>
          </cell>
          <cell r="AE333">
            <v>6.24</v>
          </cell>
          <cell r="AF333">
            <v>21.25</v>
          </cell>
          <cell r="AG333">
            <v>8.61</v>
          </cell>
          <cell r="AH333">
            <v>0.68</v>
          </cell>
        </row>
        <row r="334">
          <cell r="W334">
            <v>4.8</v>
          </cell>
          <cell r="X334">
            <v>4.8</v>
          </cell>
          <cell r="Y334">
            <v>80.95</v>
          </cell>
          <cell r="Z334">
            <v>29.69</v>
          </cell>
          <cell r="AA334">
            <v>13.53</v>
          </cell>
          <cell r="AB334">
            <v>41</v>
          </cell>
          <cell r="AC334">
            <v>28.63</v>
          </cell>
          <cell r="AD334">
            <v>12.44</v>
          </cell>
          <cell r="AE334">
            <v>7.95</v>
          </cell>
          <cell r="AF334">
            <v>22.5</v>
          </cell>
          <cell r="AG334">
            <v>8.7799999999999994</v>
          </cell>
          <cell r="AH334">
            <v>0.68</v>
          </cell>
        </row>
        <row r="335">
          <cell r="W335">
            <v>5</v>
          </cell>
          <cell r="X335">
            <v>5</v>
          </cell>
          <cell r="Y335">
            <v>84.78</v>
          </cell>
          <cell r="Z335">
            <v>30.3</v>
          </cell>
          <cell r="AA335">
            <v>14.18</v>
          </cell>
          <cell r="AB335">
            <v>45.52</v>
          </cell>
          <cell r="AC335">
            <v>35.11</v>
          </cell>
          <cell r="AD335">
            <v>14.8</v>
          </cell>
          <cell r="AE335">
            <v>8.2200000000000006</v>
          </cell>
          <cell r="AF335">
            <v>23.75</v>
          </cell>
          <cell r="AG335">
            <v>8.7799999999999994</v>
          </cell>
          <cell r="AH335">
            <v>0.68</v>
          </cell>
        </row>
        <row r="336">
          <cell r="W336">
            <v>5.2</v>
          </cell>
          <cell r="X336">
            <v>5.2</v>
          </cell>
          <cell r="Y336">
            <v>86.78</v>
          </cell>
          <cell r="Z336">
            <v>31.47</v>
          </cell>
          <cell r="AA336">
            <v>14.86</v>
          </cell>
          <cell r="AB336">
            <v>48.63</v>
          </cell>
          <cell r="AC336">
            <v>42.22</v>
          </cell>
          <cell r="AD336">
            <v>15.22</v>
          </cell>
          <cell r="AE336">
            <v>9.31</v>
          </cell>
          <cell r="AF336">
            <v>23.75</v>
          </cell>
          <cell r="AG336">
            <v>9.39</v>
          </cell>
          <cell r="AH336">
            <v>0.68</v>
          </cell>
        </row>
        <row r="337">
          <cell r="W337">
            <v>5.4</v>
          </cell>
          <cell r="X337">
            <v>5.4</v>
          </cell>
          <cell r="Y337">
            <v>91.2</v>
          </cell>
          <cell r="Z337">
            <v>33.57</v>
          </cell>
          <cell r="AA337">
            <v>15.55</v>
          </cell>
          <cell r="AB337">
            <v>52.62</v>
          </cell>
          <cell r="AC337">
            <v>48.66</v>
          </cell>
          <cell r="AD337">
            <v>16.71</v>
          </cell>
          <cell r="AE337">
            <v>10.46</v>
          </cell>
          <cell r="AF337">
            <v>25</v>
          </cell>
          <cell r="AG337">
            <v>10</v>
          </cell>
          <cell r="AH337">
            <v>0.68</v>
          </cell>
        </row>
        <row r="338">
          <cell r="W338">
            <v>5.6</v>
          </cell>
          <cell r="X338">
            <v>5.6</v>
          </cell>
          <cell r="Y338">
            <v>93.34</v>
          </cell>
          <cell r="Z338">
            <v>34.25</v>
          </cell>
          <cell r="AA338">
            <v>16.28</v>
          </cell>
          <cell r="AB338">
            <v>57.32</v>
          </cell>
          <cell r="AC338">
            <v>56.44</v>
          </cell>
          <cell r="AD338">
            <v>18.260000000000002</v>
          </cell>
          <cell r="AE338">
            <v>11.7</v>
          </cell>
          <cell r="AF338">
            <v>25</v>
          </cell>
          <cell r="AG338">
            <v>10</v>
          </cell>
          <cell r="AH338">
            <v>0.68</v>
          </cell>
        </row>
        <row r="339">
          <cell r="W339">
            <v>5.8</v>
          </cell>
          <cell r="X339">
            <v>5.8</v>
          </cell>
          <cell r="Y339">
            <v>97.47</v>
          </cell>
          <cell r="Z339">
            <v>35.5</v>
          </cell>
          <cell r="AA339">
            <v>17.02</v>
          </cell>
          <cell r="AB339">
            <v>61.81</v>
          </cell>
          <cell r="AC339">
            <v>64.900000000000006</v>
          </cell>
          <cell r="AD339">
            <v>19.89</v>
          </cell>
          <cell r="AE339">
            <v>12.99</v>
          </cell>
          <cell r="AF339">
            <v>26.25</v>
          </cell>
          <cell r="AG339">
            <v>10.18</v>
          </cell>
          <cell r="AH339">
            <v>0.68</v>
          </cell>
        </row>
        <row r="340">
          <cell r="W340">
            <v>6</v>
          </cell>
          <cell r="X340">
            <v>6</v>
          </cell>
          <cell r="Y340">
            <v>98.93</v>
          </cell>
          <cell r="Z340">
            <v>37.659999999999997</v>
          </cell>
          <cell r="AA340">
            <v>17.79</v>
          </cell>
          <cell r="AB340">
            <v>67.11</v>
          </cell>
          <cell r="AC340">
            <v>74.680000000000007</v>
          </cell>
          <cell r="AD340">
            <v>21.59</v>
          </cell>
          <cell r="AE340">
            <v>14.35</v>
          </cell>
          <cell r="AF340">
            <v>27.5</v>
          </cell>
          <cell r="AG340">
            <v>10.79</v>
          </cell>
          <cell r="AH340">
            <v>0.68</v>
          </cell>
        </row>
        <row r="341">
          <cell r="W341">
            <v>6.2</v>
          </cell>
          <cell r="X341">
            <v>6.2</v>
          </cell>
          <cell r="Y341">
            <v>104.5</v>
          </cell>
          <cell r="Z341">
            <v>38.4</v>
          </cell>
          <cell r="AA341">
            <v>18.579999999999998</v>
          </cell>
          <cell r="AB341">
            <v>72.22</v>
          </cell>
          <cell r="AC341">
            <v>85.08</v>
          </cell>
          <cell r="AD341">
            <v>23.35</v>
          </cell>
          <cell r="AE341">
            <v>15.78</v>
          </cell>
          <cell r="AF341">
            <v>27.5</v>
          </cell>
          <cell r="AG341">
            <v>10.79</v>
          </cell>
          <cell r="AH341">
            <v>0.68</v>
          </cell>
        </row>
        <row r="342">
          <cell r="W342">
            <v>6.4</v>
          </cell>
          <cell r="X342">
            <v>6.4</v>
          </cell>
          <cell r="Y342">
            <v>108.83</v>
          </cell>
          <cell r="Z342">
            <v>39.71</v>
          </cell>
          <cell r="AA342">
            <v>19.39</v>
          </cell>
          <cell r="AB342">
            <v>78.069999999999993</v>
          </cell>
          <cell r="AC342">
            <v>96.36</v>
          </cell>
          <cell r="AD342">
            <v>25.2</v>
          </cell>
          <cell r="AE342">
            <v>17.28</v>
          </cell>
          <cell r="AF342">
            <v>28.75</v>
          </cell>
          <cell r="AG342">
            <v>11.4</v>
          </cell>
          <cell r="AH342">
            <v>0.68</v>
          </cell>
        </row>
        <row r="343">
          <cell r="W343">
            <v>6.6</v>
          </cell>
          <cell r="X343">
            <v>6.6</v>
          </cell>
          <cell r="Y343">
            <v>113.7</v>
          </cell>
          <cell r="Z343">
            <v>41.4</v>
          </cell>
          <cell r="AA343">
            <v>20.22</v>
          </cell>
          <cell r="AB343">
            <v>83.99</v>
          </cell>
          <cell r="AC343">
            <v>108.68</v>
          </cell>
          <cell r="AD343">
            <v>27.08</v>
          </cell>
          <cell r="AE343">
            <v>18.850000000000001</v>
          </cell>
          <cell r="AF343">
            <v>30</v>
          </cell>
          <cell r="AG343">
            <v>11.57</v>
          </cell>
          <cell r="AH343">
            <v>0.68</v>
          </cell>
        </row>
        <row r="344">
          <cell r="W344">
            <v>6.8</v>
          </cell>
          <cell r="X344">
            <v>6.8</v>
          </cell>
          <cell r="Y344">
            <v>115.93</v>
          </cell>
          <cell r="Z344">
            <v>42.78</v>
          </cell>
          <cell r="AA344">
            <v>21.09</v>
          </cell>
          <cell r="AB344">
            <v>90.25</v>
          </cell>
          <cell r="AC344">
            <v>121.94</v>
          </cell>
          <cell r="AD344">
            <v>29.04</v>
          </cell>
          <cell r="AE344">
            <v>20.48</v>
          </cell>
          <cell r="AF344">
            <v>30</v>
          </cell>
          <cell r="AG344">
            <v>11.57</v>
          </cell>
          <cell r="AH344">
            <v>0.68</v>
          </cell>
        </row>
        <row r="345">
          <cell r="W345">
            <v>7</v>
          </cell>
          <cell r="X345">
            <v>7</v>
          </cell>
          <cell r="Y345">
            <v>120.86</v>
          </cell>
          <cell r="Z345">
            <v>44.15</v>
          </cell>
          <cell r="AA345">
            <v>21.96</v>
          </cell>
          <cell r="AB345">
            <v>95.82</v>
          </cell>
          <cell r="AC345">
            <v>135.72</v>
          </cell>
          <cell r="AD345">
            <v>31.3</v>
          </cell>
          <cell r="AE345">
            <v>22.18</v>
          </cell>
          <cell r="AF345">
            <v>31.25</v>
          </cell>
          <cell r="AG345">
            <v>12.18</v>
          </cell>
          <cell r="AH345">
            <v>0.68</v>
          </cell>
        </row>
        <row r="346">
          <cell r="W346">
            <v>7.2</v>
          </cell>
          <cell r="X346">
            <v>7.2</v>
          </cell>
          <cell r="Y346">
            <v>125.48</v>
          </cell>
          <cell r="Z346">
            <v>45.55</v>
          </cell>
          <cell r="AA346">
            <v>22.87</v>
          </cell>
          <cell r="AB346">
            <v>103.38</v>
          </cell>
          <cell r="AC346">
            <v>151.63</v>
          </cell>
          <cell r="AD346">
            <v>33.19</v>
          </cell>
          <cell r="AE346">
            <v>23.95</v>
          </cell>
          <cell r="AF346">
            <v>32.5</v>
          </cell>
          <cell r="AG346">
            <v>12.79</v>
          </cell>
          <cell r="AH346">
            <v>0.68</v>
          </cell>
        </row>
        <row r="347">
          <cell r="W347">
            <v>7.4</v>
          </cell>
          <cell r="X347">
            <v>7.4</v>
          </cell>
          <cell r="Y347">
            <v>128.30000000000001</v>
          </cell>
          <cell r="Z347">
            <v>46.44</v>
          </cell>
          <cell r="AA347">
            <v>23.8</v>
          </cell>
          <cell r="AB347">
            <v>110.21</v>
          </cell>
          <cell r="AC347">
            <v>168.09</v>
          </cell>
          <cell r="AD347">
            <v>35.36</v>
          </cell>
          <cell r="AE347">
            <v>25.79</v>
          </cell>
          <cell r="AF347">
            <v>32.5</v>
          </cell>
          <cell r="AG347">
            <v>12.79</v>
          </cell>
          <cell r="AH347">
            <v>0.68</v>
          </cell>
        </row>
        <row r="348">
          <cell r="W348">
            <v>7.6</v>
          </cell>
          <cell r="X348">
            <v>7.6</v>
          </cell>
          <cell r="Y348">
            <v>132.21</v>
          </cell>
          <cell r="Z348">
            <v>48.77</v>
          </cell>
          <cell r="AA348">
            <v>24.74</v>
          </cell>
          <cell r="AB348">
            <v>118.55</v>
          </cell>
          <cell r="AC348">
            <v>185.71</v>
          </cell>
          <cell r="AD348">
            <v>37.6</v>
          </cell>
          <cell r="AE348">
            <v>27.69</v>
          </cell>
          <cell r="AF348">
            <v>33.75</v>
          </cell>
          <cell r="AG348">
            <v>12.96</v>
          </cell>
          <cell r="AH348">
            <v>0.68</v>
          </cell>
        </row>
        <row r="349">
          <cell r="W349">
            <v>7.8</v>
          </cell>
          <cell r="X349">
            <v>7.8</v>
          </cell>
          <cell r="Y349">
            <v>138.4</v>
          </cell>
          <cell r="Z349">
            <v>50.26</v>
          </cell>
          <cell r="AA349">
            <v>25.72</v>
          </cell>
          <cell r="AB349">
            <v>126.19</v>
          </cell>
          <cell r="AC349">
            <v>204.53</v>
          </cell>
          <cell r="AD349">
            <v>39.909999999999997</v>
          </cell>
          <cell r="AE349">
            <v>29.67</v>
          </cell>
          <cell r="AF349">
            <v>35</v>
          </cell>
          <cell r="AG349">
            <v>13.57</v>
          </cell>
          <cell r="AH349">
            <v>0.68</v>
          </cell>
        </row>
        <row r="350">
          <cell r="W350">
            <v>8</v>
          </cell>
          <cell r="X350">
            <v>8</v>
          </cell>
          <cell r="Y350">
            <v>141.44</v>
          </cell>
          <cell r="Z350">
            <v>51.2</v>
          </cell>
          <cell r="AA350">
            <v>26.71</v>
          </cell>
          <cell r="AB350">
            <v>131.99</v>
          </cell>
          <cell r="AC350">
            <v>224.54</v>
          </cell>
          <cell r="AD350">
            <v>42.23</v>
          </cell>
          <cell r="AE350">
            <v>31.71</v>
          </cell>
          <cell r="AF350">
            <v>35</v>
          </cell>
          <cell r="AG350">
            <v>13.57</v>
          </cell>
          <cell r="AH350">
            <v>0.68</v>
          </cell>
        </row>
        <row r="351">
          <cell r="W351">
            <v>8.1999999999999993</v>
          </cell>
          <cell r="X351">
            <v>8.1999999999999993</v>
          </cell>
          <cell r="Y351">
            <v>146.9</v>
          </cell>
          <cell r="Z351">
            <v>53.61</v>
          </cell>
          <cell r="AA351">
            <v>27.73</v>
          </cell>
          <cell r="AB351">
            <v>13.44</v>
          </cell>
          <cell r="AC351">
            <v>245.99</v>
          </cell>
          <cell r="AD351">
            <v>44.73</v>
          </cell>
          <cell r="AE351">
            <v>33.82</v>
          </cell>
          <cell r="AF351">
            <v>36.25</v>
          </cell>
          <cell r="AG351">
            <v>14.18</v>
          </cell>
          <cell r="AH351">
            <v>0.68</v>
          </cell>
        </row>
        <row r="352">
          <cell r="W352">
            <v>8.4</v>
          </cell>
          <cell r="X352">
            <v>8.4</v>
          </cell>
          <cell r="Y352">
            <v>150.08000000000001</v>
          </cell>
          <cell r="Z352">
            <v>54.62</v>
          </cell>
          <cell r="AA352">
            <v>28.78</v>
          </cell>
          <cell r="AB352">
            <v>152.47999999999999</v>
          </cell>
          <cell r="AC352">
            <v>268.39999999999998</v>
          </cell>
          <cell r="AD352">
            <v>47.24</v>
          </cell>
          <cell r="AE352">
            <v>35.99</v>
          </cell>
          <cell r="AF352">
            <v>36.25</v>
          </cell>
          <cell r="AG352">
            <v>14.18</v>
          </cell>
          <cell r="AH352">
            <v>0.68</v>
          </cell>
        </row>
        <row r="353">
          <cell r="W353">
            <v>8.6</v>
          </cell>
          <cell r="X353">
            <v>8.6</v>
          </cell>
          <cell r="Y353">
            <v>155.16999999999999</v>
          </cell>
          <cell r="Z353">
            <v>56.17</v>
          </cell>
          <cell r="AA353">
            <v>29.84</v>
          </cell>
          <cell r="AB353">
            <v>161.9</v>
          </cell>
          <cell r="AC353">
            <v>292.31</v>
          </cell>
          <cell r="AD353">
            <v>49.82</v>
          </cell>
          <cell r="AE353">
            <v>38.42</v>
          </cell>
          <cell r="AF353">
            <v>37.5</v>
          </cell>
          <cell r="AG353">
            <v>14.35</v>
          </cell>
          <cell r="AH353">
            <v>0.68</v>
          </cell>
        </row>
        <row r="354">
          <cell r="W354">
            <v>8.8000000000000007</v>
          </cell>
          <cell r="X354">
            <v>8.8000000000000007</v>
          </cell>
          <cell r="Y354">
            <v>159.52000000000001</v>
          </cell>
          <cell r="Z354">
            <v>58.67</v>
          </cell>
          <cell r="AA354">
            <v>30.93</v>
          </cell>
          <cell r="AB354">
            <v>171.52</v>
          </cell>
          <cell r="AC354">
            <v>317.64</v>
          </cell>
          <cell r="AD354">
            <v>52.46</v>
          </cell>
          <cell r="AE354">
            <v>40.5</v>
          </cell>
          <cell r="AF354">
            <v>38.75</v>
          </cell>
          <cell r="AG354">
            <v>14.96</v>
          </cell>
          <cell r="AH354">
            <v>0.68</v>
          </cell>
        </row>
        <row r="355">
          <cell r="W355">
            <v>9</v>
          </cell>
          <cell r="X355">
            <v>9</v>
          </cell>
          <cell r="Y355">
            <v>172.19</v>
          </cell>
          <cell r="Z355">
            <v>61.25</v>
          </cell>
          <cell r="AA355">
            <v>33.590000000000003</v>
          </cell>
          <cell r="AB355">
            <v>184.57</v>
          </cell>
          <cell r="AC355">
            <v>342.08499999999998</v>
          </cell>
          <cell r="AD355">
            <v>55.18</v>
          </cell>
          <cell r="AE355">
            <v>42.93</v>
          </cell>
          <cell r="AF355">
            <v>38.75</v>
          </cell>
          <cell r="AG355">
            <v>14.96</v>
          </cell>
          <cell r="AH355">
            <v>0.68</v>
          </cell>
        </row>
        <row r="356">
          <cell r="W356">
            <v>9.1999999999999993</v>
          </cell>
          <cell r="X356">
            <v>9.1999999999999993</v>
          </cell>
          <cell r="Y356">
            <v>180.04</v>
          </cell>
          <cell r="Z356">
            <v>62.35</v>
          </cell>
          <cell r="AA356">
            <v>34.28</v>
          </cell>
          <cell r="AB356">
            <v>200.81</v>
          </cell>
          <cell r="AC356">
            <v>365.26499999999999</v>
          </cell>
          <cell r="AD356">
            <v>57.96</v>
          </cell>
          <cell r="AE356">
            <v>45.38</v>
          </cell>
          <cell r="AF356">
            <v>40</v>
          </cell>
          <cell r="AG356">
            <v>15.57</v>
          </cell>
          <cell r="AH356">
            <v>0.68</v>
          </cell>
        </row>
        <row r="357">
          <cell r="W357">
            <v>9.4</v>
          </cell>
          <cell r="X357">
            <v>9.4</v>
          </cell>
          <cell r="Y357">
            <v>188.51</v>
          </cell>
          <cell r="Z357">
            <v>65.59</v>
          </cell>
          <cell r="AA357">
            <v>36.21</v>
          </cell>
          <cell r="AB357">
            <v>217.83</v>
          </cell>
          <cell r="AC357">
            <v>389.661</v>
          </cell>
          <cell r="AD357">
            <v>60.81</v>
          </cell>
          <cell r="AE357">
            <v>47.89</v>
          </cell>
          <cell r="AF357">
            <v>41.25</v>
          </cell>
          <cell r="AG357">
            <v>15.74</v>
          </cell>
          <cell r="AH357">
            <v>0.68</v>
          </cell>
        </row>
        <row r="358">
          <cell r="W358">
            <v>9.6</v>
          </cell>
          <cell r="X358">
            <v>9.6</v>
          </cell>
          <cell r="Y358">
            <v>193.67</v>
          </cell>
          <cell r="Z358">
            <v>67.099999999999994</v>
          </cell>
          <cell r="AA358">
            <v>37.799999999999997</v>
          </cell>
          <cell r="AB358">
            <v>232.56</v>
          </cell>
          <cell r="AC358">
            <v>417.77100000000002</v>
          </cell>
          <cell r="AD358">
            <v>63.73</v>
          </cell>
          <cell r="AE358">
            <v>50.48</v>
          </cell>
          <cell r="AF358">
            <v>41.25</v>
          </cell>
          <cell r="AG358">
            <v>15.74</v>
          </cell>
          <cell r="AH358">
            <v>0.68</v>
          </cell>
        </row>
        <row r="359">
          <cell r="W359">
            <v>9.8000000000000007</v>
          </cell>
          <cell r="X359">
            <v>9.8000000000000007</v>
          </cell>
          <cell r="Y359">
            <v>199.71</v>
          </cell>
          <cell r="Z359">
            <v>68.7</v>
          </cell>
          <cell r="AA359">
            <v>38.9</v>
          </cell>
          <cell r="AB359">
            <v>242.38</v>
          </cell>
          <cell r="AC359">
            <v>451.14299999999997</v>
          </cell>
          <cell r="AD359">
            <v>66.709999999999994</v>
          </cell>
          <cell r="AE359">
            <v>51.79</v>
          </cell>
          <cell r="AF359">
            <v>42.5</v>
          </cell>
          <cell r="AG359">
            <v>16.350000000000001</v>
          </cell>
          <cell r="AH359">
            <v>0.68</v>
          </cell>
        </row>
        <row r="360">
          <cell r="W360">
            <v>10</v>
          </cell>
          <cell r="X360">
            <v>10</v>
          </cell>
          <cell r="Y360">
            <v>207.3</v>
          </cell>
          <cell r="Z360">
            <v>71.73</v>
          </cell>
          <cell r="AA360">
            <v>40.549999999999997</v>
          </cell>
          <cell r="AB360">
            <v>259.64999999999998</v>
          </cell>
          <cell r="AC360">
            <v>483.40499999999997</v>
          </cell>
          <cell r="AD360">
            <v>69.77</v>
          </cell>
          <cell r="AE360">
            <v>55.85</v>
          </cell>
          <cell r="AF360">
            <v>43.75</v>
          </cell>
          <cell r="AG360">
            <v>16.52</v>
          </cell>
          <cell r="AH360">
            <v>0.68</v>
          </cell>
        </row>
      </sheetData>
      <sheetData sheetId="30"/>
      <sheetData sheetId="31" refreshError="1"/>
      <sheetData sheetId="32" refreshError="1"/>
      <sheetData sheetId="33"/>
      <sheetData sheetId="34"/>
      <sheetData sheetId="35"/>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arma"/>
      <sheetName val="gnut"/>
      <sheetName val="maize"/>
      <sheetName val="jawar"/>
      <sheetName val="PADDY"/>
      <sheetName val="capacitytable"/>
      <sheetName val="total_demand"/>
      <sheetName val="yielddist"/>
      <sheetName val="RGMTBL"/>
      <sheetName val="surplus"/>
      <sheetName val="rainfall"/>
      <sheetName val="Sheet1"/>
      <sheetName val="GABcnls"/>
      <sheetName val="ABSTAWCNAL"/>
      <sheetName val="AB2vslb"/>
      <sheetName val="AB2vput"/>
      <sheetName val="SMRYQTYBND"/>
      <sheetName val="abstractbnd"/>
      <sheetName val="abstr_sluice"/>
      <sheetName val="Abstrtsrpls"/>
      <sheetName val="Abstrtweir"/>
      <sheetName val="GEN_abstrct"/>
      <sheetName val="canal_ewest"/>
      <sheetName val="canal_design"/>
      <sheetName val="canal_dist_des"/>
      <sheetName val="S_PURAM"/>
      <sheetName val="canalcutng"/>
      <sheetName val="canal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arma"/>
      <sheetName val="gnut"/>
      <sheetName val="maize"/>
      <sheetName val="jawar"/>
      <sheetName val="PADDY"/>
      <sheetName val="capacitytable"/>
      <sheetName val="total_demand"/>
      <sheetName val="yielddist"/>
      <sheetName val="RGMTBL"/>
      <sheetName val="surplus"/>
      <sheetName val="rainfall"/>
      <sheetName val="Sheet1"/>
      <sheetName val="GABcnls"/>
      <sheetName val="ABSTAWCNAL"/>
      <sheetName val="AB2vslb"/>
      <sheetName val="AB2vput"/>
      <sheetName val="SMRYQTYBND"/>
      <sheetName val="abstractbnd"/>
      <sheetName val="abstr_sluice"/>
      <sheetName val="Abstrtsrpls"/>
      <sheetName val="Abstrtweir"/>
      <sheetName val="GEN_abstrct"/>
      <sheetName val="S_PURAM"/>
      <sheetName val="canalcutng"/>
      <sheetName val="canal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QC chckslip"/>
      <sheetName val="QC check slip"/>
      <sheetName val="QC check slip (2)"/>
      <sheetName val="PP11"/>
      <sheetName val="PP12"/>
      <sheetName val="CC.Run."/>
      <sheetName val="Part"/>
      <sheetName val="CC.Fin"/>
      <sheetName val="Final"/>
      <sheetName val="Cert."/>
      <sheetName val="Cert. (2)"/>
      <sheetName val="SC"/>
      <sheetName val="VAT,IT,NAC,LC"/>
      <sheetName val="Com.Rpt"/>
      <sheetName val="Workslip"/>
      <sheetName val="WD com.stt."/>
      <sheetName val="PD for Red,BC soils"/>
      <sheetName val="PD for Gravel"/>
      <sheetName val="Proforma-I."/>
      <sheetName val="Proforma-II."/>
      <sheetName val="Proforma-III."/>
      <sheetName val="Proforma-IV."/>
      <sheetName val="Programme of work"/>
      <sheetName val="VAT"/>
      <sheetName val="NA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infallspur"/>
      <sheetName val="SMRYQTYBND"/>
      <sheetName val="abstractbnd"/>
      <sheetName val="abstr_sluice"/>
      <sheetName val="Abstrtsrpls"/>
      <sheetName val="Abstrtweir"/>
      <sheetName val="bcratio"/>
      <sheetName val="GEN_abstrct"/>
      <sheetName val="GABcnls"/>
      <sheetName val="CNAL_ew_abst"/>
      <sheetName val="canal_LF_ewest"/>
      <sheetName val="canal_rf_est"/>
      <sheetName val="AB1mdrp"/>
      <sheetName val="AB2vput"/>
      <sheetName val="ABDLRCLVRT"/>
      <sheetName val="dist_est"/>
      <sheetName val="distl_ewest "/>
      <sheetName val="canal_design"/>
      <sheetName val="canal_dist_des"/>
      <sheetName val="profarma"/>
      <sheetName val="gnut"/>
      <sheetName val="maize"/>
      <sheetName val="jawar"/>
      <sheetName val="PADDY"/>
      <sheetName val="capacitytable"/>
      <sheetName val="total_demand"/>
      <sheetName val="yielddist"/>
      <sheetName val="RGMTBL"/>
      <sheetName val="surplus"/>
      <sheetName val="rainfall"/>
      <sheetName val="ABSTAWCNAL"/>
      <sheetName val="AB2vslb"/>
      <sheetName val="canal_ewest"/>
      <sheetName val="S_PURAM"/>
      <sheetName val="canalcutng"/>
      <sheetName val="canalb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nfall"/>
      <sheetName val="GEN_abstrct"/>
    </sheetNames>
    <sheetDataSet>
      <sheetData sheetId="0"/>
      <sheetData sheetId="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nfall"/>
      <sheetName val="GEN_abstrct"/>
    </sheetNames>
    <sheetDataSet>
      <sheetData sheetId="0"/>
      <sheetData sheetId="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abstrct"/>
      <sheetName val="capacitytable"/>
      <sheetName val="rainfall"/>
      <sheetName val="stamps"/>
      <sheetName val="SMRYQTYBND"/>
      <sheetName val="abstractbnd"/>
      <sheetName val="abstr_sluice"/>
      <sheetName val="Abstrtsrpls"/>
      <sheetName val="Abstrtweir"/>
      <sheetName val="bcratio"/>
      <sheetName val="GABcnls"/>
      <sheetName val="CNAL_ew_abst"/>
      <sheetName val="canal_LF_ewest"/>
      <sheetName val="canal_rf_est"/>
      <sheetName val="AB1mdrp"/>
      <sheetName val="AB2vput"/>
      <sheetName val="ABDLRCLVRT"/>
      <sheetName val="dist_est"/>
      <sheetName val="distl_ewest "/>
      <sheetName val="canal_design"/>
      <sheetName val="canal_dist_d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abstrct"/>
      <sheetName val="capacitytable"/>
      <sheetName val="rainfall"/>
      <sheetName val="stamps"/>
      <sheetName val="SMRYQTYBND"/>
      <sheetName val="abstractbnd"/>
      <sheetName val="abstr_sluice"/>
      <sheetName val="Abstrtsrpls"/>
      <sheetName val="Abstrtweir"/>
      <sheetName val="bcratio"/>
      <sheetName val="GABcnls"/>
      <sheetName val="CNAL_ew_abst"/>
      <sheetName val="canal_LF_ewest"/>
      <sheetName val="canal_rf_est"/>
      <sheetName val="AB1mdrp"/>
      <sheetName val="AB2vput"/>
      <sheetName val="ABDLRCLVRT"/>
      <sheetName val="dist_est"/>
      <sheetName val="distl_ewest "/>
      <sheetName val="canal_design"/>
      <sheetName val="canal_dist_d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abstrct"/>
      <sheetName val="profarma"/>
      <sheetName val="gnut"/>
      <sheetName val="maize"/>
      <sheetName val="jawar"/>
      <sheetName val="PADDY"/>
      <sheetName val="capacitytable"/>
      <sheetName val="total_demand"/>
      <sheetName val="yielddist"/>
      <sheetName val="RGMTBL"/>
      <sheetName val="surplus"/>
      <sheetName val="rainfall"/>
      <sheetName val="Sheet1"/>
      <sheetName val="GABcnls"/>
      <sheetName val="ABSTAWCNAL"/>
      <sheetName val="AB2vslb"/>
      <sheetName val="AB2vput"/>
      <sheetName val="SMRYQTYBND"/>
      <sheetName val="abstractbnd"/>
      <sheetName val="abstr_sluice"/>
      <sheetName val="Abstrtsrpls"/>
      <sheetName val="Abstrtweir"/>
      <sheetName val="canal_ewest"/>
      <sheetName val="canal_design"/>
      <sheetName val="canal_dist_des"/>
      <sheetName val="S_PURAM"/>
      <sheetName val="canalcutng"/>
      <sheetName val="canal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abstrct"/>
      <sheetName val="profarma"/>
      <sheetName val="gnut"/>
      <sheetName val="maize"/>
      <sheetName val="jawar"/>
      <sheetName val="PADDY"/>
      <sheetName val="capacitytable"/>
      <sheetName val="total_demand"/>
      <sheetName val="yielddist"/>
      <sheetName val="RGMTBL"/>
      <sheetName val="surplus"/>
      <sheetName val="rainfall"/>
      <sheetName val="Sheet1"/>
      <sheetName val="GABcnls"/>
      <sheetName val="ABSTAWCNAL"/>
      <sheetName val="AB2vslb"/>
      <sheetName val="AB2vput"/>
      <sheetName val="SMRYQTYBND"/>
      <sheetName val="abstractbnd"/>
      <sheetName val="abstr_sluice"/>
      <sheetName val="Abstrtsrpls"/>
      <sheetName val="Abstrtweir"/>
      <sheetName val="canal_ewest"/>
      <sheetName val="canal_design"/>
      <sheetName val="canal_dist_des"/>
      <sheetName val="S_PURAM"/>
      <sheetName val="canalcutng"/>
      <sheetName val="canal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arma"/>
      <sheetName val="gnut"/>
      <sheetName val="maize"/>
      <sheetName val="jawar"/>
      <sheetName val="PADDY"/>
      <sheetName val="capacitytable"/>
      <sheetName val="total_demand"/>
      <sheetName val="yielddist"/>
      <sheetName val="RGMTBL"/>
      <sheetName val="surplus"/>
      <sheetName val="rainfall"/>
      <sheetName val="Sheet1"/>
      <sheetName val="GABcnls"/>
      <sheetName val="ABSTAWCNAL"/>
      <sheetName val="AB2vslb"/>
      <sheetName val="AB2vput"/>
      <sheetName val="SMRYQTYBND"/>
      <sheetName val="abstractbnd"/>
      <sheetName val="abstr_sluice"/>
      <sheetName val="Abstrtsrpls"/>
      <sheetName val="Abstrtweir"/>
      <sheetName val="GEN_abstrct"/>
      <sheetName val="S_PURAM"/>
      <sheetName val="canalcutng"/>
      <sheetName val="canal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arma"/>
      <sheetName val="gnut"/>
      <sheetName val="maize"/>
      <sheetName val="jawar"/>
      <sheetName val="PADDY"/>
      <sheetName val="capacitytable"/>
      <sheetName val="total_demand"/>
      <sheetName val="yielddist"/>
      <sheetName val="RGMTBL"/>
      <sheetName val="surplus"/>
      <sheetName val="rainfall"/>
      <sheetName val="Sheet1"/>
      <sheetName val="GABcnls"/>
      <sheetName val="ABSTAWCNAL"/>
      <sheetName val="AB2vslb"/>
      <sheetName val="AB2vput"/>
      <sheetName val="SMRYQTYBND"/>
      <sheetName val="abstractbnd"/>
      <sheetName val="abstr_sluice"/>
      <sheetName val="Abstrtsrpls"/>
      <sheetName val="Abstrtweir"/>
      <sheetName val="GEN_abstrct"/>
      <sheetName val="canal_ewest"/>
      <sheetName val="canal_design"/>
      <sheetName val="canal_dist_des"/>
      <sheetName val="S_PURAM"/>
      <sheetName val="canalcutng"/>
      <sheetName val="canal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abstrct"/>
      <sheetName val="capacitytable"/>
      <sheetName val="rainfall"/>
      <sheetName val="stamps"/>
      <sheetName val="SMRYQTYBND"/>
      <sheetName val="abstractbnd"/>
      <sheetName val="abstr_sluice"/>
      <sheetName val="Abstrtsrpls"/>
      <sheetName val="Abstrtweir"/>
      <sheetName val="bcratio"/>
      <sheetName val="GABcnls"/>
      <sheetName val="CNAL_ew_abst"/>
      <sheetName val="canal_LF_ewest"/>
      <sheetName val="canal_rf_est"/>
      <sheetName val="AB1mdrp"/>
      <sheetName val="AB2vput"/>
      <sheetName val="ABDLRCLVRT"/>
      <sheetName val="dist_est"/>
      <sheetName val="distl_ewest "/>
      <sheetName val="canal_design"/>
      <sheetName val="canal_dist_d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Sp. Report"/>
      <sheetName val="TSmemo"/>
      <sheetName val="RMR"/>
      <sheetName val="BTR"/>
      <sheetName val="Rd.Data"/>
      <sheetName val="C.D.Data (Morth)"/>
      <sheetName val="Rd.Det.Est"/>
      <sheetName val="Gen.Abs."/>
      <sheetName val="Rd.abs.Est"/>
      <sheetName val="Abs.CDpipe"/>
      <sheetName val="Abs_vent&amp;pipe"/>
      <sheetName val="Abs_slab"/>
      <sheetName val="Abs.cc"/>
      <sheetName val="C.D.Abs.Est."/>
      <sheetName val="Abs_box"/>
      <sheetName val="Det. 1Rx800"/>
      <sheetName val="Det. 2Rx800"/>
      <sheetName val="Det. CC"/>
      <sheetName val="CD_DET_PIPE_1R"/>
      <sheetName val="Slab det est"/>
      <sheetName val="CD_DET_1CELL_BOX"/>
      <sheetName val="CD_DET_4CELL_BOX"/>
      <sheetName val="CBR"/>
      <sheetName val="mlead"/>
      <sheetName val="Leads"/>
      <sheetName val="DATA"/>
      <sheetName val="HDPE"/>
      <sheetName val="DI"/>
      <sheetName val="pvc"/>
      <sheetName val="hdpe_basic"/>
      <sheetName val="pvc_bas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Sp. Report"/>
      <sheetName val="TSmemo"/>
      <sheetName val="RMR"/>
      <sheetName val="BTR"/>
      <sheetName val="Rd.Data"/>
      <sheetName val="C.D.Data (Morth)"/>
      <sheetName val="Rd.Det.Est"/>
      <sheetName val="Gen.Abs."/>
      <sheetName val="Rd.abs.Est"/>
      <sheetName val="Abs.CDpipe"/>
      <sheetName val="Abs_vent&amp;pipe"/>
      <sheetName val="Abs_slab"/>
      <sheetName val="Abs.cc"/>
      <sheetName val="C.D.Abs.Est."/>
      <sheetName val="Abs_box"/>
      <sheetName val="Det. 1Rx800"/>
      <sheetName val="Det. 2Rx800"/>
      <sheetName val="Det. CC"/>
      <sheetName val="CD_DET_PIPE_1R"/>
      <sheetName val="Slab det est"/>
      <sheetName val="CD_DET_1CELL_BOX"/>
      <sheetName val="CD_DET_4CELL_BOX"/>
      <sheetName val="CBR"/>
      <sheetName val="mlead"/>
      <sheetName val="Lea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er"/>
      <sheetName val="Trunk unpaved"/>
      <sheetName val="R99 etc"/>
      <sheetName val="Bitumen trunk"/>
      <sheetName val="paved"/>
      <sheetName val="defects"/>
      <sheetName val="Labour"/>
      <sheetName val="Material"/>
      <sheetName val="v"/>
      <sheetName val="r"/>
      <sheetName val="lead-st"/>
      <sheetName val="rdamdata"/>
      <sheetName val="wh_data_R"/>
      <sheetName val="data"/>
      <sheetName val="Estimate "/>
      <sheetName val="GROUND FLOOR"/>
      <sheetName val="Lead"/>
      <sheetName val="Trunk_unpaved"/>
      <sheetName val="R99_etc"/>
      <sheetName val="Bitumen_trunk"/>
      <sheetName val="m"/>
      <sheetName val="Leads"/>
      <sheetName val="Trunk_unpaved1"/>
      <sheetName val="R99_etc1"/>
      <sheetName val="Bitumen_trunk1"/>
      <sheetName val="Trunk_unpaved2"/>
      <sheetName val="R99_etc2"/>
      <sheetName val="Bitumen_trunk2"/>
      <sheetName val="Trunk_unpaved3"/>
      <sheetName val="R99_etc3"/>
      <sheetName val="Bitumen_trunk3"/>
      <sheetName val="Sheet1"/>
      <sheetName val="HDPE"/>
      <sheetName val="DI"/>
      <sheetName val="pvc"/>
      <sheetName val="coverpage"/>
      <sheetName val="DATA-BASE"/>
      <sheetName val="Sheet2"/>
      <sheetName val="Plant_&amp;__Machinery"/>
      <sheetName val="sectorwise"/>
      <sheetName val="detls"/>
      <sheetName val="hdpe_weights"/>
      <sheetName val="cover_(2)"/>
      <sheetName val="Levels"/>
      <sheetName val="Plant_&amp;__Machinery2"/>
      <sheetName val="t_prsr"/>
      <sheetName val="PVC_weights"/>
      <sheetName val="Road_data"/>
      <sheetName val="ssr-rates"/>
      <sheetName val="RMR"/>
      <sheetName val="l"/>
      <sheetName val="DATA-ABSTRACT"/>
      <sheetName val="wh"/>
      <sheetName val="hdpe_basic"/>
      <sheetName val="pvc_basic"/>
      <sheetName val="0000000000000"/>
      <sheetName val="index"/>
      <sheetName val="Abs_Road"/>
      <sheetName val="mlead"/>
      <sheetName val="abs road"/>
      <sheetName val="Road data"/>
      <sheetName val="R_Det"/>
      <sheetName val="m1"/>
      <sheetName val="Class IV Qtr. Ele"/>
      <sheetName val="Cover"/>
      <sheetName val="Abs"/>
      <sheetName val="wh_data"/>
      <sheetName val="CPHEEO"/>
      <sheetName val="input"/>
      <sheetName val="Data.F8.BTR"/>
      <sheetName val="id"/>
      <sheetName val="Lead statement"/>
      <sheetName val="MRATES"/>
      <sheetName val="SUMP1420KL@HW"/>
      <sheetName val="C.D.Abs.Est."/>
      <sheetName val="Rates SSR 2008-09"/>
      <sheetName val="bom"/>
      <sheetName val="Nspt-smp-final-ORIGINAL"/>
      <sheetName val="pop"/>
      <sheetName val="Specification report"/>
      <sheetName val="2ABC R+U_Sector_wise_2008_09"/>
      <sheetName val="water-hammar-strenght"/>
      <sheetName val="maya"/>
      <sheetName val="Road Detail Est."/>
      <sheetName val="quarry"/>
      <sheetName val="Data_Base"/>
      <sheetName val="Boq"/>
      <sheetName val="Data_Renuals"/>
      <sheetName val="MRoad data"/>
      <sheetName val="AC"/>
      <sheetName val="AV-BWSC&amp;MS"/>
      <sheetName val="AV_AC"/>
      <sheetName val="AV-DI"/>
      <sheetName val="AV-HDPE"/>
      <sheetName val="di_Gate_AC"/>
      <sheetName val="Digate-BWSCP-MS"/>
      <sheetName val="DI_gate_di"/>
      <sheetName val="Di_gate-HDPE"/>
      <sheetName val="scour-DI-CI"/>
      <sheetName val="scour-pvc-hdpe-psc-bwsc"/>
      <sheetName val="pumping main"/>
      <sheetName val="int-Dia-hdpe"/>
      <sheetName val="int-Dia-pvc"/>
      <sheetName val="_5wgdhabfinal00_01"/>
      <sheetName val="Analysis"/>
      <sheetName val="GM&amp;PM EST- final "/>
      <sheetName val="K.AV-HDPE"/>
      <sheetName val="scour-DI"/>
      <sheetName val="CI-scour-pvc-hdpe-psc-bwsc"/>
      <sheetName val="soft-HDPE"/>
      <sheetName val="soft-PVC"/>
      <sheetName val="DI-AV-DI-final"/>
      <sheetName val="DI-AV-HDPE- Final "/>
      <sheetName val="DI- Final"/>
      <sheetName val="DI_scour-DI-final"/>
      <sheetName val="DI_scour-pvc-hdpe-psc-bwsc"/>
      <sheetName val="DI SV on DI-final "/>
      <sheetName val="DI Sluice_HDPE"/>
      <sheetName val="HDPE-Final "/>
      <sheetName val="hdpe weights"/>
      <sheetName val="PVC weights"/>
      <sheetName val="Sheet9"/>
      <sheetName val="Trunk_unpaved4"/>
      <sheetName val="R99_etc4"/>
      <sheetName val="Bitumen_trunk4"/>
      <sheetName val="Estimate_"/>
      <sheetName val="GROUND_FLOOR"/>
      <sheetName val="Road_data1"/>
      <sheetName val="Trunk_unpaved5"/>
      <sheetName val="R99_etc5"/>
      <sheetName val="Bitumen_trunk5"/>
      <sheetName val="Estimate_1"/>
      <sheetName val="GROUND_FLOOR1"/>
      <sheetName val="Road_data2"/>
      <sheetName val="final abstract"/>
      <sheetName val="JACKWELL"/>
      <sheetName val="Lead Sheet1"/>
      <sheetName val="PVC_dia"/>
      <sheetName val="GM&amp;PM WE1 EST"/>
      <sheetName val="airvalve-AC PN 1.60"/>
      <sheetName val="AV_GRP ms bwsc"/>
      <sheetName val="BWSCP"/>
      <sheetName val="Soft-sluice-AC,GRP PN 1.6"/>
      <sheetName val="soft-sluice-BWSC-MS"/>
      <sheetName val="DI sluice valve"/>
      <sheetName val="Gravity Main-Jukkal"/>
      <sheetName val="DATA_PRG"/>
      <sheetName val="dbl-airvalve-HDPE"/>
      <sheetName val="dbl-airvalve-PVC"/>
      <sheetName val="soft sluice -HDPE"/>
      <sheetName val="DI-kintc air valve-DI"/>
      <sheetName val="PM&amp;GM"/>
      <sheetName val="AV-PVC"/>
      <sheetName val="DI gate-DI"/>
      <sheetName val="DIgate_PVC "/>
      <sheetName val="GM&amp;PM EST"/>
      <sheetName val="D2_CO"/>
      <sheetName val="civ data"/>
      <sheetName val="data existing_do not delete"/>
      <sheetName val="hdpe-rates"/>
      <sheetName val="pvc-rates"/>
      <sheetName val="Plant &amp;  Machinery"/>
      <sheetName val="MRMECADAMoad data"/>
      <sheetName val="Rates"/>
      <sheetName val="C-data"/>
      <sheetName val="Design"/>
      <sheetName val="P "/>
      <sheetName val="Grand Abstract  (3)"/>
      <sheetName val="Bridges"/>
      <sheetName val="CBF (2)"/>
      <sheetName val="555555555555555555555555CBF BC "/>
      <sheetName val="CBF SC"/>
      <sheetName val="SDF 2016-17"/>
      <sheetName val="Fisheries Comminuty Halls"/>
      <sheetName val="MPLADS "/>
      <sheetName val="333333333333333333MPP Buildings"/>
      <sheetName val="RGPSA proforma"/>
      <sheetName val="22222222222CRR 2017-18 proforma"/>
      <sheetName val="PUMP_DATA"/>
      <sheetName val="nodes"/>
      <sheetName val="int-Dia"/>
      <sheetName val="habs-list"/>
      <sheetName val="JAWAHAR-hyd-original"/>
      <sheetName val="data-WC"/>
      <sheetName val="Abstract of Wargal"/>
      <sheetName val="Factory_rates"/>
      <sheetName val="Specification"/>
      <sheetName val="SSR 2014-15 Rates"/>
      <sheetName val="well"/>
      <sheetName val="Detail In Door Stad"/>
      <sheetName val="(Road-Project)"/>
      <sheetName val="p&amp;m"/>
      <sheetName val="BALAN1"/>
      <sheetName val="Class_IV_Qtr__Ele"/>
      <sheetName val="Data_F8_BTR"/>
      <sheetName val="Lead_statement"/>
      <sheetName val="C_D_Abs_Est_"/>
      <sheetName val="Rates_SSR_2008-09"/>
      <sheetName val="Specification_report"/>
      <sheetName val="2ABC_R+U_Sector_wise_2008_09"/>
      <sheetName val="Road_Detail_Est_"/>
      <sheetName val="MRoad_data"/>
      <sheetName val="pumping_main"/>
      <sheetName val="GM&amp;PM_EST-_final_"/>
      <sheetName val="K_AV-HDPE"/>
      <sheetName val="DI-AV-HDPE-_Final_"/>
      <sheetName val="DI-_Final"/>
      <sheetName val="DI_SV_on_DI-final_"/>
      <sheetName val="DI_Sluice_HDPE"/>
      <sheetName val="HDPE-Final_"/>
      <sheetName val="hdpe_weights1"/>
      <sheetName val="PVC_weights1"/>
      <sheetName val="Mp-team 1"/>
      <sheetName val="Habcodes"/>
      <sheetName val="Sheet3"/>
      <sheetName val="Works"/>
      <sheetName val="General"/>
      <sheetName val="SSR 2010-11 Rates"/>
      <sheetName val="PROCTOR"/>
      <sheetName val="Bridge Data 2005-06"/>
      <sheetName val="pt-cw"/>
      <sheetName val="Trunk Main"/>
      <sheetName val="DIgate_PVC"/>
      <sheetName val="MS "/>
      <sheetName val="Line estimates"/>
      <sheetName val="Basis"/>
      <sheetName val="zone-8"/>
      <sheetName val="MHNO_LEV"/>
      <sheetName val="HS 30.04.2015.Final"/>
      <sheetName val="Bed Class"/>
      <sheetName val="Cd"/>
      <sheetName val="CAT_5"/>
      <sheetName val="SPT vs PHI"/>
      <sheetName val="co_5"/>
      <sheetName val="DATA SHEET"/>
      <sheetName val="Sheet5"/>
      <sheetName val="ewst"/>
      <sheetName val="MEXICO-C"/>
      <sheetName val="mas_hab"/>
      <sheetName val="HDPE-pipe-rates"/>
      <sheetName val="pvc-pipe-rates"/>
      <sheetName val="Leads Entry"/>
      <sheetName val="BTR"/>
      <sheetName val="est"/>
      <sheetName val="1v_1000_PC"/>
      <sheetName val="CD abs"/>
      <sheetName val="2v_1000_PC"/>
      <sheetName val="GenAbst"/>
      <sheetName val="Road-furniture"/>
      <sheetName val="1v_600_PC"/>
      <sheetName val="Retaining-wall"/>
      <sheetName val="6v_1000_RDVENTS"/>
      <sheetName val="road est"/>
      <sheetName val="MTC-estimate"/>
      <sheetName val="Gen Abs"/>
      <sheetName val="other rates"/>
      <sheetName val="GN-ST-10"/>
      <sheetName val="PRECAST lightconc-II"/>
      <sheetName val="CIV INV&amp;EXP"/>
      <sheetName val="PH data"/>
    </sheetNames>
    <sheetDataSet>
      <sheetData sheetId="0" refreshError="1">
        <row r="1">
          <cell r="A1" t="str">
            <v>Table A5 - Feeder Road Sections</v>
          </cell>
          <cell r="E1" t="str">
            <v>RS 722</v>
          </cell>
          <cell r="F1">
            <v>544</v>
          </cell>
          <cell r="G1" t="str">
            <v>S</v>
          </cell>
          <cell r="H1" t="str">
            <v>F</v>
          </cell>
          <cell r="I1" t="str">
            <v>Shire North TC - Kasangale (junction S139)</v>
          </cell>
          <cell r="J1" t="str">
            <v>T400</v>
          </cell>
          <cell r="K1">
            <v>4</v>
          </cell>
          <cell r="L1">
            <v>10.199999999999999</v>
          </cell>
        </row>
        <row r="2">
          <cell r="A2" t="str">
            <v>Road Section No.</v>
          </cell>
          <cell r="B2" t="str">
            <v>MOWS Project No.</v>
          </cell>
          <cell r="C2" t="str">
            <v>Region</v>
          </cell>
          <cell r="D2" t="str">
            <v>Road class</v>
          </cell>
          <cell r="E2" t="str">
            <v>Road section</v>
          </cell>
          <cell r="F2" t="str">
            <v>Designation</v>
          </cell>
          <cell r="G2" t="str">
            <v>Sequence</v>
          </cell>
          <cell r="H2" t="str">
            <v>Length (km)</v>
          </cell>
          <cell r="I2" t="str">
            <v>Trrrain</v>
          </cell>
          <cell r="J2" t="str">
            <v>District</v>
          </cell>
          <cell r="K2" t="str">
            <v>Map sheet No.</v>
          </cell>
          <cell r="L2" t="str">
            <v>Location comments</v>
          </cell>
        </row>
        <row r="3">
          <cell r="A3" t="str">
            <v>RS 443</v>
          </cell>
          <cell r="B3">
            <v>265</v>
          </cell>
          <cell r="C3" t="str">
            <v>N</v>
          </cell>
          <cell r="D3" t="str">
            <v>F</v>
          </cell>
          <cell r="E3" t="str">
            <v>Davide Kameme - James Kameme</v>
          </cell>
          <cell r="F3" t="str">
            <v>T300</v>
          </cell>
          <cell r="G3">
            <v>1</v>
          </cell>
          <cell r="H3">
            <v>15.2</v>
          </cell>
          <cell r="I3" t="str">
            <v>R</v>
          </cell>
          <cell r="J3" t="str">
            <v>CHITIPA</v>
          </cell>
          <cell r="K3">
            <v>1</v>
          </cell>
        </row>
        <row r="4">
          <cell r="A4" t="str">
            <v>RS 444</v>
          </cell>
          <cell r="B4">
            <v>266</v>
          </cell>
          <cell r="C4" t="str">
            <v>N</v>
          </cell>
          <cell r="D4" t="str">
            <v>F</v>
          </cell>
          <cell r="E4" t="str">
            <v>Fikolo Mkisi - Winston Kmeme</v>
          </cell>
          <cell r="F4" t="str">
            <v>T301</v>
          </cell>
          <cell r="G4">
            <v>1</v>
          </cell>
          <cell r="H4">
            <v>24.8</v>
          </cell>
          <cell r="I4" t="str">
            <v>R</v>
          </cell>
          <cell r="J4" t="str">
            <v>CHITIPA</v>
          </cell>
          <cell r="K4">
            <v>1</v>
          </cell>
        </row>
        <row r="5">
          <cell r="A5" t="str">
            <v>RS 445</v>
          </cell>
          <cell r="B5">
            <v>267</v>
          </cell>
          <cell r="C5" t="str">
            <v>N</v>
          </cell>
          <cell r="D5" t="str">
            <v>F</v>
          </cell>
          <cell r="E5" t="str">
            <v>Namatandala - Mwenichinga</v>
          </cell>
          <cell r="F5" t="str">
            <v>T302</v>
          </cell>
          <cell r="G5">
            <v>1</v>
          </cell>
          <cell r="H5">
            <v>22.4</v>
          </cell>
          <cell r="I5" t="str">
            <v>F</v>
          </cell>
          <cell r="J5" t="str">
            <v>CHITIPA</v>
          </cell>
          <cell r="K5">
            <v>1</v>
          </cell>
        </row>
        <row r="6">
          <cell r="A6" t="str">
            <v>RS 446</v>
          </cell>
          <cell r="B6">
            <v>268</v>
          </cell>
          <cell r="C6" t="str">
            <v>N</v>
          </cell>
          <cell r="D6" t="str">
            <v>F</v>
          </cell>
          <cell r="E6" t="str">
            <v>Pinda River - Mwenitete</v>
          </cell>
          <cell r="F6" t="str">
            <v>T303</v>
          </cell>
          <cell r="G6">
            <v>1</v>
          </cell>
          <cell r="H6">
            <v>22.1</v>
          </cell>
          <cell r="I6" t="str">
            <v>R</v>
          </cell>
          <cell r="J6" t="str">
            <v>KARONGA</v>
          </cell>
          <cell r="K6">
            <v>1</v>
          </cell>
        </row>
        <row r="7">
          <cell r="A7" t="str">
            <v>RS 447</v>
          </cell>
          <cell r="B7">
            <v>269</v>
          </cell>
          <cell r="C7" t="str">
            <v>N</v>
          </cell>
          <cell r="D7" t="str">
            <v>F</v>
          </cell>
          <cell r="E7" t="str">
            <v>Wovwe - Uliwa</v>
          </cell>
          <cell r="F7" t="str">
            <v>T304</v>
          </cell>
          <cell r="G7">
            <v>1</v>
          </cell>
          <cell r="H7">
            <v>28.3</v>
          </cell>
          <cell r="I7" t="str">
            <v>F</v>
          </cell>
          <cell r="J7" t="str">
            <v>KARONGA</v>
          </cell>
          <cell r="K7">
            <v>2</v>
          </cell>
        </row>
        <row r="8">
          <cell r="A8" t="str">
            <v>RS 448</v>
          </cell>
          <cell r="B8">
            <v>270</v>
          </cell>
          <cell r="C8" t="str">
            <v>N</v>
          </cell>
          <cell r="D8" t="str">
            <v>F</v>
          </cell>
          <cell r="E8" t="str">
            <v>Hananiya - Chipoka Bawoli</v>
          </cell>
          <cell r="F8" t="str">
            <v>T305</v>
          </cell>
          <cell r="G8">
            <v>1</v>
          </cell>
          <cell r="H8">
            <v>47</v>
          </cell>
          <cell r="I8" t="str">
            <v>R</v>
          </cell>
          <cell r="J8" t="str">
            <v>RUMPHI</v>
          </cell>
          <cell r="K8" t="str">
            <v>2,3</v>
          </cell>
        </row>
        <row r="9">
          <cell r="A9" t="str">
            <v>RS 450</v>
          </cell>
          <cell r="B9">
            <v>272</v>
          </cell>
          <cell r="C9" t="str">
            <v>N</v>
          </cell>
          <cell r="D9" t="str">
            <v>F</v>
          </cell>
          <cell r="E9" t="str">
            <v>Phwamphwa - Uzumara - Usowoya - Malongowe River</v>
          </cell>
          <cell r="F9" t="str">
            <v>T306</v>
          </cell>
          <cell r="G9">
            <v>1</v>
          </cell>
          <cell r="H9">
            <v>42.1</v>
          </cell>
          <cell r="I9" t="str">
            <v>H</v>
          </cell>
          <cell r="J9" t="str">
            <v>RUMPHI</v>
          </cell>
          <cell r="K9">
            <v>3</v>
          </cell>
        </row>
        <row r="10">
          <cell r="A10" t="str">
            <v>RS 449</v>
          </cell>
          <cell r="B10">
            <v>271</v>
          </cell>
          <cell r="C10" t="str">
            <v>N</v>
          </cell>
          <cell r="D10" t="str">
            <v>F</v>
          </cell>
          <cell r="E10" t="str">
            <v>Malongowe River - Bula</v>
          </cell>
          <cell r="F10" t="str">
            <v>T306</v>
          </cell>
          <cell r="G10">
            <v>2</v>
          </cell>
          <cell r="H10">
            <v>19.5</v>
          </cell>
          <cell r="I10" t="str">
            <v>H</v>
          </cell>
          <cell r="J10" t="str">
            <v>MZIMBA</v>
          </cell>
          <cell r="K10">
            <v>3</v>
          </cell>
        </row>
        <row r="11">
          <cell r="A11" t="str">
            <v>RS 451</v>
          </cell>
          <cell r="B11">
            <v>273</v>
          </cell>
          <cell r="C11" t="str">
            <v>N</v>
          </cell>
          <cell r="D11" t="str">
            <v>F</v>
          </cell>
          <cell r="E11" t="str">
            <v>Njakwa - Mthwalo</v>
          </cell>
          <cell r="F11" t="str">
            <v>T308</v>
          </cell>
          <cell r="G11">
            <v>1</v>
          </cell>
          <cell r="H11">
            <v>44</v>
          </cell>
          <cell r="I11" t="str">
            <v>R</v>
          </cell>
          <cell r="J11" t="str">
            <v>MZIMBA</v>
          </cell>
          <cell r="K11">
            <v>3</v>
          </cell>
        </row>
        <row r="12">
          <cell r="A12" t="str">
            <v>RS 452</v>
          </cell>
          <cell r="B12">
            <v>274</v>
          </cell>
          <cell r="C12" t="str">
            <v>N</v>
          </cell>
          <cell r="D12" t="str">
            <v>F</v>
          </cell>
          <cell r="E12" t="str">
            <v>Chesamu - Engucwini</v>
          </cell>
          <cell r="F12" t="str">
            <v>T309</v>
          </cell>
          <cell r="G12">
            <v>1</v>
          </cell>
          <cell r="H12">
            <v>30.7</v>
          </cell>
          <cell r="I12" t="str">
            <v>R</v>
          </cell>
          <cell r="J12" t="str">
            <v>MZIMBA</v>
          </cell>
          <cell r="K12">
            <v>3</v>
          </cell>
        </row>
        <row r="13">
          <cell r="A13" t="str">
            <v>RS 454</v>
          </cell>
          <cell r="B13">
            <v>276</v>
          </cell>
          <cell r="C13" t="str">
            <v>N</v>
          </cell>
          <cell r="D13" t="str">
            <v>F</v>
          </cell>
          <cell r="E13" t="str">
            <v>Hewe - Vwaza Game Camp</v>
          </cell>
          <cell r="F13" t="str">
            <v>T310</v>
          </cell>
          <cell r="G13">
            <v>1</v>
          </cell>
          <cell r="H13">
            <v>41.5</v>
          </cell>
          <cell r="I13" t="str">
            <v>F</v>
          </cell>
          <cell r="J13" t="str">
            <v>RUMPHI</v>
          </cell>
          <cell r="K13" t="str">
            <v>2,3</v>
          </cell>
        </row>
        <row r="14">
          <cell r="A14" t="str">
            <v>RS 453</v>
          </cell>
          <cell r="B14">
            <v>275</v>
          </cell>
          <cell r="C14" t="str">
            <v>N</v>
          </cell>
          <cell r="D14" t="str">
            <v>F</v>
          </cell>
          <cell r="E14" t="str">
            <v>Vwaza Game Camp - Munyanja</v>
          </cell>
          <cell r="F14" t="str">
            <v>T310</v>
          </cell>
          <cell r="G14">
            <v>2</v>
          </cell>
          <cell r="H14">
            <v>22.1</v>
          </cell>
          <cell r="I14" t="str">
            <v>F</v>
          </cell>
          <cell r="J14" t="str">
            <v>MZIMBA</v>
          </cell>
          <cell r="K14">
            <v>3</v>
          </cell>
        </row>
        <row r="15">
          <cell r="A15" t="str">
            <v>RS 455</v>
          </cell>
          <cell r="B15">
            <v>277</v>
          </cell>
          <cell r="C15" t="str">
            <v>N</v>
          </cell>
          <cell r="D15" t="str">
            <v>F</v>
          </cell>
          <cell r="E15" t="str">
            <v>Munyanja - Sokopo Chinura</v>
          </cell>
          <cell r="F15" t="str">
            <v>T311</v>
          </cell>
          <cell r="G15">
            <v>1</v>
          </cell>
          <cell r="H15">
            <v>29.5</v>
          </cell>
          <cell r="I15" t="str">
            <v>F</v>
          </cell>
          <cell r="J15" t="str">
            <v>MZIMBA</v>
          </cell>
          <cell r="K15">
            <v>3</v>
          </cell>
        </row>
        <row r="16">
          <cell r="A16" t="str">
            <v>RS 456</v>
          </cell>
          <cell r="B16">
            <v>278</v>
          </cell>
          <cell r="C16" t="str">
            <v>N</v>
          </cell>
          <cell r="D16" t="str">
            <v>F</v>
          </cell>
          <cell r="E16" t="str">
            <v>Yesaya Nkosi - Magodi Nyirenda</v>
          </cell>
          <cell r="F16" t="str">
            <v>T312</v>
          </cell>
          <cell r="G16">
            <v>1</v>
          </cell>
          <cell r="H16">
            <v>22</v>
          </cell>
          <cell r="I16" t="str">
            <v>R</v>
          </cell>
          <cell r="J16" t="str">
            <v>MZIMBA</v>
          </cell>
          <cell r="K16">
            <v>3</v>
          </cell>
        </row>
        <row r="17">
          <cell r="A17" t="str">
            <v>RS 457</v>
          </cell>
          <cell r="B17">
            <v>279</v>
          </cell>
          <cell r="C17" t="str">
            <v>N</v>
          </cell>
          <cell r="D17" t="str">
            <v>F</v>
          </cell>
          <cell r="E17" t="str">
            <v>Eswazini - Kamchocho Banda</v>
          </cell>
          <cell r="F17" t="str">
            <v>T313</v>
          </cell>
          <cell r="G17">
            <v>1</v>
          </cell>
          <cell r="H17">
            <v>31.1</v>
          </cell>
          <cell r="I17" t="str">
            <v>R</v>
          </cell>
          <cell r="J17" t="str">
            <v>MZIMBA</v>
          </cell>
          <cell r="K17">
            <v>3</v>
          </cell>
        </row>
        <row r="18">
          <cell r="A18" t="str">
            <v>RS 458</v>
          </cell>
          <cell r="B18">
            <v>280</v>
          </cell>
          <cell r="C18" t="str">
            <v>N</v>
          </cell>
          <cell r="D18" t="str">
            <v>F</v>
          </cell>
          <cell r="E18" t="str">
            <v>Emvuyeni - Emoneni</v>
          </cell>
          <cell r="F18" t="str">
            <v>T314</v>
          </cell>
          <cell r="G18">
            <v>1</v>
          </cell>
          <cell r="H18">
            <v>47</v>
          </cell>
          <cell r="I18" t="str">
            <v>R</v>
          </cell>
          <cell r="J18" t="str">
            <v>MZIMBA</v>
          </cell>
          <cell r="K18">
            <v>3</v>
          </cell>
        </row>
        <row r="19">
          <cell r="A19" t="str">
            <v>RS 459</v>
          </cell>
          <cell r="B19">
            <v>281</v>
          </cell>
          <cell r="C19" t="str">
            <v>N</v>
          </cell>
          <cell r="D19" t="str">
            <v>F</v>
          </cell>
          <cell r="E19" t="str">
            <v>Mbowe - Mazamba Hill</v>
          </cell>
          <cell r="F19" t="str">
            <v>T315</v>
          </cell>
          <cell r="G19">
            <v>1</v>
          </cell>
          <cell r="H19">
            <v>19.8</v>
          </cell>
          <cell r="I19" t="str">
            <v>R</v>
          </cell>
          <cell r="J19" t="str">
            <v>MZIMBA</v>
          </cell>
          <cell r="K19">
            <v>3</v>
          </cell>
        </row>
        <row r="20">
          <cell r="A20" t="str">
            <v>RS 460</v>
          </cell>
          <cell r="B20">
            <v>282</v>
          </cell>
          <cell r="C20" t="str">
            <v>N</v>
          </cell>
          <cell r="D20" t="str">
            <v>F</v>
          </cell>
          <cell r="E20" t="str">
            <v>Choma - Chikwina</v>
          </cell>
          <cell r="F20" t="str">
            <v>T316</v>
          </cell>
          <cell r="G20">
            <v>1</v>
          </cell>
          <cell r="H20">
            <v>12.6</v>
          </cell>
          <cell r="I20" t="str">
            <v>R</v>
          </cell>
          <cell r="J20" t="str">
            <v>NKHATA BAY</v>
          </cell>
          <cell r="K20">
            <v>3</v>
          </cell>
        </row>
        <row r="21">
          <cell r="A21" t="str">
            <v>RS 461</v>
          </cell>
          <cell r="B21">
            <v>283</v>
          </cell>
          <cell r="C21" t="str">
            <v>N</v>
          </cell>
          <cell r="D21" t="str">
            <v>F</v>
          </cell>
          <cell r="E21" t="str">
            <v>Mzenga - Lwazi</v>
          </cell>
          <cell r="F21" t="str">
            <v>T317</v>
          </cell>
          <cell r="G21">
            <v>1</v>
          </cell>
          <cell r="H21">
            <v>23.6</v>
          </cell>
          <cell r="I21" t="str">
            <v>R</v>
          </cell>
          <cell r="J21" t="str">
            <v>NKHATA BAY</v>
          </cell>
          <cell r="K21">
            <v>3</v>
          </cell>
        </row>
        <row r="22">
          <cell r="A22" t="str">
            <v>RS 463</v>
          </cell>
          <cell r="B22">
            <v>285</v>
          </cell>
          <cell r="C22" t="str">
            <v>N</v>
          </cell>
          <cell r="D22" t="str">
            <v>F</v>
          </cell>
          <cell r="E22" t="str">
            <v>Manyamula - Mbawa</v>
          </cell>
          <cell r="F22" t="str">
            <v>T321</v>
          </cell>
          <cell r="G22">
            <v>1</v>
          </cell>
          <cell r="H22">
            <v>19.100000000000001</v>
          </cell>
          <cell r="I22" t="str">
            <v>F</v>
          </cell>
          <cell r="J22" t="str">
            <v>MZIMBA</v>
          </cell>
          <cell r="K22">
            <v>4</v>
          </cell>
        </row>
        <row r="23">
          <cell r="A23" t="str">
            <v>RS 524</v>
          </cell>
          <cell r="B23">
            <v>346</v>
          </cell>
          <cell r="C23" t="str">
            <v>C</v>
          </cell>
          <cell r="D23" t="str">
            <v>F</v>
          </cell>
          <cell r="E23" t="str">
            <v>Kamtuwale - Chimaliro Police</v>
          </cell>
          <cell r="F23" t="str">
            <v>T323</v>
          </cell>
          <cell r="G23">
            <v>1</v>
          </cell>
          <cell r="H23">
            <v>36.1</v>
          </cell>
          <cell r="I23" t="str">
            <v>F</v>
          </cell>
          <cell r="J23" t="str">
            <v>KASUNGU</v>
          </cell>
          <cell r="K23">
            <v>5</v>
          </cell>
        </row>
        <row r="24">
          <cell r="A24" t="str">
            <v>RS 525</v>
          </cell>
          <cell r="B24">
            <v>347</v>
          </cell>
          <cell r="C24" t="str">
            <v>C</v>
          </cell>
          <cell r="D24" t="str">
            <v>F</v>
          </cell>
          <cell r="E24" t="str">
            <v>Mphomwa - Kamtuwale</v>
          </cell>
          <cell r="F24" t="str">
            <v>T324</v>
          </cell>
          <cell r="G24">
            <v>1</v>
          </cell>
          <cell r="H24">
            <v>11.3</v>
          </cell>
          <cell r="I24" t="str">
            <v>F</v>
          </cell>
          <cell r="J24" t="str">
            <v>KASUNGU</v>
          </cell>
          <cell r="K24">
            <v>5</v>
          </cell>
        </row>
        <row r="25">
          <cell r="A25" t="str">
            <v>RS 528</v>
          </cell>
          <cell r="B25">
            <v>350</v>
          </cell>
          <cell r="C25" t="str">
            <v>C</v>
          </cell>
          <cell r="D25" t="str">
            <v>F</v>
          </cell>
          <cell r="E25" t="str">
            <v>Chasato - General Farming Estate</v>
          </cell>
          <cell r="F25" t="str">
            <v>T325</v>
          </cell>
          <cell r="G25">
            <v>1</v>
          </cell>
          <cell r="H25">
            <v>13.6</v>
          </cell>
          <cell r="I25" t="str">
            <v>F</v>
          </cell>
          <cell r="J25" t="str">
            <v>KASUNGU</v>
          </cell>
          <cell r="K25">
            <v>5</v>
          </cell>
        </row>
        <row r="26">
          <cell r="A26" t="str">
            <v>RS 526</v>
          </cell>
          <cell r="B26">
            <v>348</v>
          </cell>
          <cell r="C26" t="str">
            <v>C</v>
          </cell>
          <cell r="D26" t="str">
            <v>F</v>
          </cell>
          <cell r="E26" t="str">
            <v>General Farming Estate - Dwangwa River</v>
          </cell>
          <cell r="F26" t="str">
            <v>T325</v>
          </cell>
          <cell r="G26">
            <v>2</v>
          </cell>
          <cell r="H26">
            <v>15.5</v>
          </cell>
          <cell r="I26" t="str">
            <v>R</v>
          </cell>
          <cell r="J26" t="str">
            <v>KASUNGU</v>
          </cell>
          <cell r="K26">
            <v>5</v>
          </cell>
        </row>
        <row r="27">
          <cell r="A27" t="str">
            <v>RS 527</v>
          </cell>
          <cell r="B27">
            <v>349</v>
          </cell>
          <cell r="C27" t="str">
            <v>C</v>
          </cell>
          <cell r="D27" t="str">
            <v>F</v>
          </cell>
          <cell r="E27" t="str">
            <v>Dwangwa River - Mkanakhoti</v>
          </cell>
          <cell r="F27" t="str">
            <v>T325</v>
          </cell>
          <cell r="G27">
            <v>3</v>
          </cell>
          <cell r="H27">
            <v>16.2</v>
          </cell>
          <cell r="I27" t="str">
            <v>R</v>
          </cell>
          <cell r="J27" t="str">
            <v>KASUNGU</v>
          </cell>
          <cell r="K27">
            <v>5</v>
          </cell>
        </row>
        <row r="28">
          <cell r="A28" t="str">
            <v>RS 464</v>
          </cell>
          <cell r="B28">
            <v>286</v>
          </cell>
          <cell r="C28" t="str">
            <v>N</v>
          </cell>
          <cell r="D28" t="str">
            <v>F</v>
          </cell>
          <cell r="E28" t="str">
            <v>Chimaliro Forest-Mabulabo-Chiwandauka -Chombe</v>
          </cell>
          <cell r="F28" t="str">
            <v>T326</v>
          </cell>
          <cell r="G28">
            <v>1</v>
          </cell>
          <cell r="H28">
            <v>41</v>
          </cell>
          <cell r="I28" t="str">
            <v>R</v>
          </cell>
          <cell r="J28" t="str">
            <v>MZIMBA</v>
          </cell>
          <cell r="K28" t="str">
            <v>4,5</v>
          </cell>
        </row>
        <row r="29">
          <cell r="A29" t="str">
            <v>RS 529</v>
          </cell>
          <cell r="B29">
            <v>351</v>
          </cell>
          <cell r="C29" t="str">
            <v>C</v>
          </cell>
          <cell r="D29" t="str">
            <v>F</v>
          </cell>
          <cell r="E29" t="str">
            <v>Kalula - Mabulabo</v>
          </cell>
          <cell r="F29" t="str">
            <v>T327</v>
          </cell>
          <cell r="G29">
            <v>1</v>
          </cell>
          <cell r="H29">
            <v>12.5</v>
          </cell>
          <cell r="I29" t="str">
            <v>R</v>
          </cell>
          <cell r="J29" t="str">
            <v>KASUNGU/MZIMBA</v>
          </cell>
          <cell r="K29">
            <v>4</v>
          </cell>
        </row>
        <row r="30">
          <cell r="A30" t="str">
            <v>RS 534</v>
          </cell>
          <cell r="B30">
            <v>356</v>
          </cell>
          <cell r="C30" t="str">
            <v>C</v>
          </cell>
          <cell r="D30" t="str">
            <v>F</v>
          </cell>
          <cell r="E30" t="str">
            <v>Simlemba - Dwangwa River</v>
          </cell>
          <cell r="F30" t="str">
            <v>T328</v>
          </cell>
          <cell r="G30">
            <v>1</v>
          </cell>
          <cell r="H30">
            <v>7</v>
          </cell>
          <cell r="I30" t="str">
            <v>R</v>
          </cell>
          <cell r="J30" t="str">
            <v>KASUNGU</v>
          </cell>
          <cell r="K30">
            <v>5</v>
          </cell>
        </row>
        <row r="31">
          <cell r="A31" t="str">
            <v>RS 531</v>
          </cell>
          <cell r="B31">
            <v>353</v>
          </cell>
          <cell r="C31" t="str">
            <v>C</v>
          </cell>
          <cell r="D31" t="str">
            <v>F</v>
          </cell>
          <cell r="E31" t="str">
            <v>Dwangwa River - Mwimwila</v>
          </cell>
          <cell r="F31" t="str">
            <v>T328</v>
          </cell>
          <cell r="G31">
            <v>2</v>
          </cell>
          <cell r="H31">
            <v>11</v>
          </cell>
          <cell r="I31" t="str">
            <v>R</v>
          </cell>
          <cell r="J31" t="str">
            <v>KASUNGU</v>
          </cell>
          <cell r="K31">
            <v>5</v>
          </cell>
        </row>
        <row r="32">
          <cell r="A32" t="str">
            <v>RS 532</v>
          </cell>
          <cell r="B32">
            <v>354</v>
          </cell>
          <cell r="C32" t="str">
            <v>C</v>
          </cell>
          <cell r="D32" t="str">
            <v>F</v>
          </cell>
          <cell r="E32" t="str">
            <v>Mwimwila - Kapwaye</v>
          </cell>
          <cell r="F32" t="str">
            <v>T328</v>
          </cell>
          <cell r="G32">
            <v>3</v>
          </cell>
          <cell r="H32">
            <v>9.6999999999999993</v>
          </cell>
          <cell r="I32" t="str">
            <v>F</v>
          </cell>
          <cell r="J32" t="str">
            <v>KASUNGU</v>
          </cell>
          <cell r="K32">
            <v>5</v>
          </cell>
        </row>
        <row r="33">
          <cell r="A33" t="str">
            <v>RS 530</v>
          </cell>
          <cell r="B33">
            <v>352</v>
          </cell>
          <cell r="C33" t="str">
            <v>C</v>
          </cell>
          <cell r="D33" t="str">
            <v>F</v>
          </cell>
          <cell r="E33" t="str">
            <v>Kapwaye - Mphepo</v>
          </cell>
          <cell r="F33" t="str">
            <v>T328</v>
          </cell>
          <cell r="G33">
            <v>4</v>
          </cell>
          <cell r="H33">
            <v>21.7</v>
          </cell>
          <cell r="I33" t="str">
            <v>F</v>
          </cell>
          <cell r="J33" t="str">
            <v>KASUNGU</v>
          </cell>
          <cell r="K33">
            <v>5</v>
          </cell>
        </row>
        <row r="34">
          <cell r="A34" t="str">
            <v>RS 533</v>
          </cell>
          <cell r="B34">
            <v>355</v>
          </cell>
          <cell r="C34" t="str">
            <v>C</v>
          </cell>
          <cell r="D34" t="str">
            <v>F</v>
          </cell>
          <cell r="E34" t="str">
            <v>Mphepo - Chasato</v>
          </cell>
          <cell r="F34" t="str">
            <v>T328</v>
          </cell>
          <cell r="G34">
            <v>5</v>
          </cell>
          <cell r="H34">
            <v>8.3000000000000007</v>
          </cell>
          <cell r="I34" t="str">
            <v>F</v>
          </cell>
          <cell r="J34" t="str">
            <v>KASUNGU</v>
          </cell>
          <cell r="K34">
            <v>5</v>
          </cell>
        </row>
        <row r="35">
          <cell r="A35" t="str">
            <v>RS 466</v>
          </cell>
          <cell r="B35">
            <v>288</v>
          </cell>
          <cell r="C35" t="str">
            <v>N</v>
          </cell>
          <cell r="D35" t="str">
            <v>F</v>
          </cell>
          <cell r="E35" t="str">
            <v>Nthalire - Zambia border</v>
          </cell>
          <cell r="F35" t="str">
            <v>T331</v>
          </cell>
          <cell r="G35">
            <v>1</v>
          </cell>
          <cell r="H35">
            <v>10</v>
          </cell>
          <cell r="I35" t="str">
            <v>R</v>
          </cell>
          <cell r="J35" t="str">
            <v>CHITIPA</v>
          </cell>
          <cell r="K35">
            <v>2</v>
          </cell>
        </row>
        <row r="36">
          <cell r="A36" t="str">
            <v>RS 535</v>
          </cell>
          <cell r="B36">
            <v>357</v>
          </cell>
          <cell r="C36" t="str">
            <v>C</v>
          </cell>
          <cell r="D36" t="str">
            <v>F</v>
          </cell>
          <cell r="E36" t="str">
            <v>Mkanda - General Farming Estate 68</v>
          </cell>
          <cell r="F36" t="str">
            <v>T333</v>
          </cell>
          <cell r="G36">
            <v>1</v>
          </cell>
          <cell r="H36">
            <v>16.5</v>
          </cell>
          <cell r="I36" t="str">
            <v>F</v>
          </cell>
          <cell r="J36" t="str">
            <v>MCHINJI</v>
          </cell>
          <cell r="K36">
            <v>5</v>
          </cell>
        </row>
        <row r="37">
          <cell r="A37" t="str">
            <v>RS 536</v>
          </cell>
          <cell r="B37">
            <v>358</v>
          </cell>
          <cell r="C37" t="str">
            <v>C</v>
          </cell>
          <cell r="D37" t="str">
            <v>F</v>
          </cell>
          <cell r="E37" t="str">
            <v>General Farming Estate 68 - Kapezi</v>
          </cell>
          <cell r="F37" t="str">
            <v>T333</v>
          </cell>
          <cell r="G37">
            <v>2</v>
          </cell>
          <cell r="H37">
            <v>20.399999999999999</v>
          </cell>
          <cell r="I37" t="str">
            <v>R</v>
          </cell>
          <cell r="J37" t="str">
            <v>MCHINJI</v>
          </cell>
          <cell r="K37">
            <v>6</v>
          </cell>
        </row>
        <row r="38">
          <cell r="A38" t="str">
            <v>RS 537</v>
          </cell>
          <cell r="B38">
            <v>259</v>
          </cell>
          <cell r="C38" t="str">
            <v>C</v>
          </cell>
          <cell r="D38" t="str">
            <v>F</v>
          </cell>
          <cell r="E38" t="str">
            <v>Chilanga - Kalolo</v>
          </cell>
          <cell r="F38" t="str">
            <v>T335</v>
          </cell>
          <cell r="G38">
            <v>1</v>
          </cell>
          <cell r="H38">
            <v>8.1999999999999993</v>
          </cell>
          <cell r="I38" t="str">
            <v>F</v>
          </cell>
          <cell r="J38" t="str">
            <v>KASUNGU</v>
          </cell>
          <cell r="K38">
            <v>5</v>
          </cell>
          <cell r="L38" t="str">
            <v>Changed to trunk</v>
          </cell>
        </row>
        <row r="39">
          <cell r="A39" t="str">
            <v>RS 538</v>
          </cell>
          <cell r="B39">
            <v>360</v>
          </cell>
          <cell r="C39" t="str">
            <v>C</v>
          </cell>
          <cell r="D39" t="str">
            <v>F</v>
          </cell>
          <cell r="E39" t="str">
            <v>Plaka Estate - Kapiri</v>
          </cell>
          <cell r="F39" t="str">
            <v>T336</v>
          </cell>
          <cell r="G39">
            <v>1</v>
          </cell>
          <cell r="H39">
            <v>28.2</v>
          </cell>
          <cell r="I39" t="str">
            <v>F</v>
          </cell>
          <cell r="J39" t="str">
            <v>MCHINJI</v>
          </cell>
          <cell r="K39">
            <v>5</v>
          </cell>
        </row>
        <row r="40">
          <cell r="A40" t="str">
            <v>RS 539</v>
          </cell>
          <cell r="B40">
            <v>361</v>
          </cell>
          <cell r="C40" t="str">
            <v>C</v>
          </cell>
          <cell r="D40" t="str">
            <v>F</v>
          </cell>
          <cell r="E40" t="str">
            <v>Malipela - Misozi</v>
          </cell>
          <cell r="F40" t="str">
            <v>T337</v>
          </cell>
          <cell r="G40">
            <v>1</v>
          </cell>
          <cell r="H40">
            <v>9.1</v>
          </cell>
          <cell r="I40" t="str">
            <v>F</v>
          </cell>
          <cell r="J40" t="str">
            <v>KASUNGU</v>
          </cell>
          <cell r="K40">
            <v>5</v>
          </cell>
        </row>
        <row r="41">
          <cell r="A41" t="str">
            <v>RS 659</v>
          </cell>
          <cell r="B41">
            <v>481</v>
          </cell>
          <cell r="C41" t="str">
            <v>C</v>
          </cell>
          <cell r="D41" t="str">
            <v>F</v>
          </cell>
          <cell r="E41" t="str">
            <v>Misozi - Kasela</v>
          </cell>
          <cell r="F41" t="str">
            <v>T337</v>
          </cell>
          <cell r="G41">
            <v>2</v>
          </cell>
          <cell r="H41">
            <v>14.9</v>
          </cell>
          <cell r="I41" t="str">
            <v>F</v>
          </cell>
          <cell r="J41" t="str">
            <v>KASUNGU</v>
          </cell>
          <cell r="K41">
            <v>5</v>
          </cell>
          <cell r="L41" t="str">
            <v>Changed designation from D194 to T337</v>
          </cell>
        </row>
        <row r="42">
          <cell r="A42" t="str">
            <v>RS 541</v>
          </cell>
          <cell r="B42">
            <v>363</v>
          </cell>
          <cell r="C42" t="str">
            <v>C</v>
          </cell>
          <cell r="D42" t="str">
            <v>F</v>
          </cell>
          <cell r="E42" t="str">
            <v>Mponela - Chososo</v>
          </cell>
          <cell r="F42" t="str">
            <v>T339</v>
          </cell>
          <cell r="G42">
            <v>1</v>
          </cell>
          <cell r="H42">
            <v>26.8</v>
          </cell>
          <cell r="I42" t="str">
            <v>F</v>
          </cell>
          <cell r="J42" t="str">
            <v>NTCHISI</v>
          </cell>
          <cell r="K42">
            <v>5</v>
          </cell>
        </row>
        <row r="43">
          <cell r="A43" t="str">
            <v>RS 540</v>
          </cell>
          <cell r="B43">
            <v>362</v>
          </cell>
          <cell r="C43" t="str">
            <v>C</v>
          </cell>
          <cell r="D43" t="str">
            <v>F</v>
          </cell>
          <cell r="E43" t="str">
            <v>Guma - Bua River</v>
          </cell>
          <cell r="F43" t="str">
            <v>T339</v>
          </cell>
          <cell r="G43">
            <v>2</v>
          </cell>
          <cell r="H43">
            <v>15</v>
          </cell>
          <cell r="I43" t="str">
            <v>F</v>
          </cell>
          <cell r="J43" t="str">
            <v>NTCHISI</v>
          </cell>
          <cell r="K43">
            <v>5</v>
          </cell>
        </row>
        <row r="44">
          <cell r="A44" t="str">
            <v>RS 542</v>
          </cell>
          <cell r="B44">
            <v>364</v>
          </cell>
          <cell r="C44" t="str">
            <v>C</v>
          </cell>
          <cell r="D44" t="str">
            <v>F</v>
          </cell>
          <cell r="E44" t="str">
            <v>Bua River - Chambwe</v>
          </cell>
          <cell r="F44" t="str">
            <v>T339</v>
          </cell>
          <cell r="G44">
            <v>3</v>
          </cell>
          <cell r="H44">
            <v>1.6</v>
          </cell>
          <cell r="I44" t="str">
            <v>F</v>
          </cell>
          <cell r="J44" t="str">
            <v>KASUNGU</v>
          </cell>
          <cell r="K44">
            <v>5</v>
          </cell>
        </row>
        <row r="45">
          <cell r="A45" t="str">
            <v>RS 545</v>
          </cell>
          <cell r="B45">
            <v>367</v>
          </cell>
          <cell r="C45" t="str">
            <v>C</v>
          </cell>
          <cell r="D45" t="str">
            <v>F</v>
          </cell>
          <cell r="E45" t="str">
            <v>junction M7 - Ngombe</v>
          </cell>
          <cell r="F45" t="str">
            <v>T340</v>
          </cell>
          <cell r="G45">
            <v>1</v>
          </cell>
          <cell r="H45">
            <v>11.1</v>
          </cell>
          <cell r="I45" t="str">
            <v>F</v>
          </cell>
          <cell r="J45" t="str">
            <v>NTCHISI</v>
          </cell>
          <cell r="K45">
            <v>5</v>
          </cell>
        </row>
        <row r="46">
          <cell r="A46" t="str">
            <v>RS 544</v>
          </cell>
          <cell r="B46">
            <v>366</v>
          </cell>
          <cell r="C46" t="str">
            <v>C</v>
          </cell>
          <cell r="D46" t="str">
            <v>F</v>
          </cell>
          <cell r="E46" t="str">
            <v>Ngombe - Kamsonga</v>
          </cell>
          <cell r="F46" t="str">
            <v>T340</v>
          </cell>
          <cell r="G46">
            <v>2</v>
          </cell>
          <cell r="H46">
            <v>9.8000000000000007</v>
          </cell>
          <cell r="I46" t="str">
            <v>F</v>
          </cell>
          <cell r="J46" t="str">
            <v>NTCHISI</v>
          </cell>
          <cell r="K46">
            <v>5</v>
          </cell>
        </row>
        <row r="47">
          <cell r="A47" t="str">
            <v>RS 546</v>
          </cell>
          <cell r="B47">
            <v>368</v>
          </cell>
          <cell r="C47" t="str">
            <v>C</v>
          </cell>
          <cell r="D47" t="str">
            <v>F</v>
          </cell>
          <cell r="E47" t="str">
            <v>Kamsonga - Chungu (junction M18)</v>
          </cell>
          <cell r="F47" t="str">
            <v>T340</v>
          </cell>
          <cell r="G47">
            <v>3</v>
          </cell>
          <cell r="H47">
            <v>17.899999999999999</v>
          </cell>
          <cell r="I47" t="str">
            <v>F</v>
          </cell>
          <cell r="J47" t="str">
            <v>NTCHISI</v>
          </cell>
          <cell r="K47">
            <v>5</v>
          </cell>
        </row>
        <row r="48">
          <cell r="A48" t="str">
            <v>RS 553</v>
          </cell>
          <cell r="B48">
            <v>375</v>
          </cell>
          <cell r="C48" t="str">
            <v>C</v>
          </cell>
          <cell r="D48" t="str">
            <v>F</v>
          </cell>
          <cell r="E48" t="str">
            <v>Malenga (junction M18) - Mpamantha</v>
          </cell>
          <cell r="F48" t="str">
            <v>T341</v>
          </cell>
          <cell r="G48">
            <v>1</v>
          </cell>
          <cell r="H48">
            <v>15.9</v>
          </cell>
          <cell r="I48" t="str">
            <v>F</v>
          </cell>
          <cell r="J48" t="str">
            <v>NKHOTA KOTA</v>
          </cell>
          <cell r="K48">
            <v>5</v>
          </cell>
        </row>
        <row r="49">
          <cell r="A49" t="str">
            <v>RS 548</v>
          </cell>
          <cell r="B49">
            <v>370</v>
          </cell>
          <cell r="C49" t="str">
            <v>C</v>
          </cell>
          <cell r="D49" t="str">
            <v>F</v>
          </cell>
          <cell r="E49" t="str">
            <v>Mpamantha - Luwi River</v>
          </cell>
          <cell r="F49" t="str">
            <v>T341</v>
          </cell>
          <cell r="G49">
            <v>2</v>
          </cell>
          <cell r="H49">
            <v>5.8</v>
          </cell>
          <cell r="I49" t="str">
            <v>F</v>
          </cell>
          <cell r="J49" t="str">
            <v>NKHOTA KOTA</v>
          </cell>
          <cell r="K49">
            <v>5</v>
          </cell>
        </row>
        <row r="50">
          <cell r="A50" t="str">
            <v>RS 555</v>
          </cell>
          <cell r="B50">
            <v>377</v>
          </cell>
          <cell r="C50" t="str">
            <v>C</v>
          </cell>
          <cell r="D50" t="str">
            <v>F</v>
          </cell>
          <cell r="E50" t="str">
            <v>Luwi River - Chalunda</v>
          </cell>
          <cell r="F50" t="str">
            <v>T341</v>
          </cell>
          <cell r="G50">
            <v>3</v>
          </cell>
          <cell r="H50">
            <v>8</v>
          </cell>
          <cell r="I50" t="str">
            <v>F</v>
          </cell>
          <cell r="J50" t="str">
            <v>NKHOTA KOTA</v>
          </cell>
          <cell r="K50">
            <v>5</v>
          </cell>
        </row>
        <row r="51">
          <cell r="A51" t="str">
            <v>RS 554</v>
          </cell>
          <cell r="B51">
            <v>376</v>
          </cell>
          <cell r="C51" t="str">
            <v>C</v>
          </cell>
          <cell r="D51" t="str">
            <v>F</v>
          </cell>
          <cell r="E51" t="str">
            <v>Chalunda - Gomadzi</v>
          </cell>
          <cell r="F51" t="str">
            <v>T341</v>
          </cell>
          <cell r="G51">
            <v>4</v>
          </cell>
          <cell r="H51">
            <v>5.4</v>
          </cell>
          <cell r="I51" t="str">
            <v>F</v>
          </cell>
          <cell r="J51" t="str">
            <v>NKHOTA KOTA</v>
          </cell>
          <cell r="K51">
            <v>5</v>
          </cell>
        </row>
        <row r="52">
          <cell r="A52" t="str">
            <v>RS 549</v>
          </cell>
          <cell r="B52">
            <v>371</v>
          </cell>
          <cell r="C52" t="str">
            <v>C</v>
          </cell>
          <cell r="D52" t="str">
            <v>F</v>
          </cell>
          <cell r="E52" t="str">
            <v>Gomadzi - Kayoyo</v>
          </cell>
          <cell r="F52" t="str">
            <v>T341</v>
          </cell>
          <cell r="G52">
            <v>5</v>
          </cell>
          <cell r="H52">
            <v>8.6999999999999993</v>
          </cell>
          <cell r="I52" t="str">
            <v>F</v>
          </cell>
          <cell r="J52" t="str">
            <v>NKHOTA KOTA</v>
          </cell>
          <cell r="K52">
            <v>5</v>
          </cell>
        </row>
        <row r="53">
          <cell r="A53" t="str">
            <v>RS 551</v>
          </cell>
          <cell r="B53">
            <v>373</v>
          </cell>
          <cell r="C53" t="str">
            <v>C</v>
          </cell>
          <cell r="D53" t="str">
            <v>F</v>
          </cell>
          <cell r="E53" t="str">
            <v>Kayoyo - Mwasambo</v>
          </cell>
          <cell r="F53" t="str">
            <v>T341</v>
          </cell>
          <cell r="G53">
            <v>6</v>
          </cell>
          <cell r="H53">
            <v>15.4</v>
          </cell>
          <cell r="I53" t="str">
            <v>F</v>
          </cell>
          <cell r="J53" t="str">
            <v>NKHOTA KOTA</v>
          </cell>
          <cell r="K53">
            <v>5</v>
          </cell>
        </row>
        <row r="54">
          <cell r="A54" t="str">
            <v>RS 547</v>
          </cell>
          <cell r="B54">
            <v>369</v>
          </cell>
          <cell r="C54" t="str">
            <v>C</v>
          </cell>
          <cell r="D54" t="str">
            <v>F</v>
          </cell>
          <cell r="E54" t="str">
            <v>Mwasambo - Kasakula</v>
          </cell>
          <cell r="F54" t="str">
            <v>T341</v>
          </cell>
          <cell r="G54">
            <v>7</v>
          </cell>
          <cell r="H54">
            <v>5.0999999999999996</v>
          </cell>
          <cell r="I54" t="str">
            <v>F</v>
          </cell>
          <cell r="J54" t="str">
            <v>NKHOTA KOTA</v>
          </cell>
          <cell r="K54">
            <v>5</v>
          </cell>
        </row>
        <row r="55">
          <cell r="A55" t="str">
            <v>RS 552</v>
          </cell>
          <cell r="B55">
            <v>374</v>
          </cell>
          <cell r="C55" t="str">
            <v>C</v>
          </cell>
          <cell r="D55" t="str">
            <v>F</v>
          </cell>
          <cell r="E55" t="str">
            <v>Kasakula - Chithembwe Village</v>
          </cell>
          <cell r="F55" t="str">
            <v>T341</v>
          </cell>
          <cell r="G55">
            <v>8</v>
          </cell>
          <cell r="H55">
            <v>12.2</v>
          </cell>
          <cell r="I55" t="str">
            <v>H</v>
          </cell>
          <cell r="J55" t="str">
            <v>NICHISI</v>
          </cell>
          <cell r="K55">
            <v>5</v>
          </cell>
        </row>
        <row r="56">
          <cell r="A56" t="str">
            <v>RS 550</v>
          </cell>
          <cell r="B56">
            <v>372</v>
          </cell>
          <cell r="C56" t="str">
            <v>C</v>
          </cell>
          <cell r="D56" t="str">
            <v>F</v>
          </cell>
          <cell r="E56" t="str">
            <v>Chithembwe Village - Mbonekela (junction M7)</v>
          </cell>
          <cell r="F56" t="str">
            <v>T341</v>
          </cell>
          <cell r="G56">
            <v>9</v>
          </cell>
          <cell r="H56">
            <v>17.8</v>
          </cell>
          <cell r="I56" t="str">
            <v>H</v>
          </cell>
          <cell r="J56" t="str">
            <v>NTCHISI</v>
          </cell>
          <cell r="K56">
            <v>5</v>
          </cell>
        </row>
        <row r="57">
          <cell r="A57" t="str">
            <v>RS 556</v>
          </cell>
          <cell r="B57">
            <v>378</v>
          </cell>
          <cell r="C57" t="str">
            <v>C</v>
          </cell>
          <cell r="D57" t="str">
            <v>F</v>
          </cell>
          <cell r="E57" t="str">
            <v>Kamwendo - Chiwoshya</v>
          </cell>
          <cell r="F57" t="str">
            <v>T342</v>
          </cell>
          <cell r="G57">
            <v>1</v>
          </cell>
          <cell r="H57">
            <v>17.5</v>
          </cell>
          <cell r="I57" t="str">
            <v>F</v>
          </cell>
          <cell r="J57" t="str">
            <v>MCHINJI</v>
          </cell>
          <cell r="K57">
            <v>6</v>
          </cell>
        </row>
        <row r="58">
          <cell r="A58" t="str">
            <v>RS 557</v>
          </cell>
          <cell r="B58">
            <v>379</v>
          </cell>
          <cell r="C58" t="str">
            <v>C</v>
          </cell>
          <cell r="D58" t="str">
            <v>F</v>
          </cell>
          <cell r="E58" t="str">
            <v>Chiwoshya - Bua River (Near Mphanga)</v>
          </cell>
          <cell r="F58" t="str">
            <v>T342</v>
          </cell>
          <cell r="G58">
            <v>2</v>
          </cell>
          <cell r="H58">
            <v>8.9</v>
          </cell>
          <cell r="I58" t="str">
            <v>F</v>
          </cell>
          <cell r="J58" t="str">
            <v>MCHINJI</v>
          </cell>
          <cell r="K58">
            <v>6</v>
          </cell>
        </row>
        <row r="59">
          <cell r="A59" t="str">
            <v>RS 558</v>
          </cell>
          <cell r="B59">
            <v>380</v>
          </cell>
          <cell r="C59" t="str">
            <v>C</v>
          </cell>
          <cell r="D59" t="str">
            <v>F</v>
          </cell>
          <cell r="E59" t="str">
            <v>Kasiya - Tonde</v>
          </cell>
          <cell r="F59" t="str">
            <v>T342</v>
          </cell>
          <cell r="G59">
            <v>3</v>
          </cell>
          <cell r="H59">
            <v>11</v>
          </cell>
          <cell r="I59" t="str">
            <v>F</v>
          </cell>
          <cell r="J59" t="str">
            <v>LILONGWE</v>
          </cell>
          <cell r="K59">
            <v>6</v>
          </cell>
        </row>
        <row r="60">
          <cell r="A60" t="str">
            <v>RS 560</v>
          </cell>
          <cell r="B60">
            <v>382</v>
          </cell>
          <cell r="C60" t="str">
            <v>C</v>
          </cell>
          <cell r="D60" t="str">
            <v>F</v>
          </cell>
          <cell r="E60" t="str">
            <v>Mung'ona - Chiwoshya</v>
          </cell>
          <cell r="F60" t="str">
            <v>T343</v>
          </cell>
          <cell r="G60">
            <v>1</v>
          </cell>
          <cell r="H60">
            <v>18</v>
          </cell>
          <cell r="I60" t="str">
            <v>F</v>
          </cell>
          <cell r="J60" t="str">
            <v>MCHINJI</v>
          </cell>
          <cell r="K60">
            <v>6</v>
          </cell>
        </row>
        <row r="61">
          <cell r="A61" t="str">
            <v>RS 559</v>
          </cell>
          <cell r="B61">
            <v>381</v>
          </cell>
          <cell r="C61" t="str">
            <v>C</v>
          </cell>
          <cell r="D61" t="str">
            <v>F</v>
          </cell>
          <cell r="E61" t="str">
            <v>Chiwoshya - Mavwere</v>
          </cell>
          <cell r="F61" t="str">
            <v>T343</v>
          </cell>
          <cell r="G61">
            <v>2</v>
          </cell>
          <cell r="H61">
            <v>15</v>
          </cell>
          <cell r="I61" t="str">
            <v>F</v>
          </cell>
          <cell r="J61" t="str">
            <v>MCHINJI</v>
          </cell>
          <cell r="K61">
            <v>6</v>
          </cell>
        </row>
        <row r="62">
          <cell r="A62" t="str">
            <v>RS 561</v>
          </cell>
          <cell r="B62">
            <v>383</v>
          </cell>
          <cell r="C62" t="str">
            <v>C</v>
          </cell>
          <cell r="D62" t="str">
            <v>F</v>
          </cell>
          <cell r="E62" t="str">
            <v>Mavwere - Msitu</v>
          </cell>
          <cell r="F62" t="str">
            <v>T343</v>
          </cell>
          <cell r="G62">
            <v>3</v>
          </cell>
          <cell r="H62">
            <v>8.3000000000000007</v>
          </cell>
          <cell r="I62" t="str">
            <v>F</v>
          </cell>
          <cell r="J62" t="str">
            <v>MCHINJI</v>
          </cell>
          <cell r="K62">
            <v>6</v>
          </cell>
        </row>
        <row r="63">
          <cell r="A63" t="str">
            <v>RS 562</v>
          </cell>
          <cell r="B63">
            <v>384</v>
          </cell>
          <cell r="C63" t="str">
            <v>C</v>
          </cell>
          <cell r="D63" t="str">
            <v>F</v>
          </cell>
          <cell r="E63" t="str">
            <v>Majiga - Daminga - junction D187</v>
          </cell>
          <cell r="F63" t="str">
            <v>T344</v>
          </cell>
          <cell r="G63">
            <v>1</v>
          </cell>
          <cell r="H63">
            <v>26</v>
          </cell>
          <cell r="I63" t="str">
            <v>F</v>
          </cell>
          <cell r="J63" t="str">
            <v>LILONGWE</v>
          </cell>
          <cell r="K63">
            <v>6</v>
          </cell>
        </row>
        <row r="64">
          <cell r="A64" t="str">
            <v>RS 563</v>
          </cell>
          <cell r="B64">
            <v>385</v>
          </cell>
          <cell r="C64" t="str">
            <v>C</v>
          </cell>
          <cell r="D64" t="str">
            <v>F</v>
          </cell>
          <cell r="E64" t="str">
            <v>Chileka (junction M12) - Mingondo T. C.</v>
          </cell>
          <cell r="F64" t="str">
            <v>T345</v>
          </cell>
          <cell r="G64">
            <v>1</v>
          </cell>
          <cell r="H64">
            <v>10.199999999999999</v>
          </cell>
          <cell r="I64" t="str">
            <v>F</v>
          </cell>
          <cell r="J64" t="str">
            <v>LILONGWE</v>
          </cell>
          <cell r="K64">
            <v>6</v>
          </cell>
        </row>
        <row r="65">
          <cell r="A65" t="str">
            <v>RS 567</v>
          </cell>
          <cell r="B65">
            <v>389</v>
          </cell>
          <cell r="C65" t="str">
            <v>C</v>
          </cell>
          <cell r="D65" t="str">
            <v>F</v>
          </cell>
          <cell r="E65" t="str">
            <v>Mingondo T. C. - Likuni River</v>
          </cell>
          <cell r="F65" t="str">
            <v>T345</v>
          </cell>
          <cell r="G65">
            <v>2</v>
          </cell>
          <cell r="H65">
            <v>7.9</v>
          </cell>
          <cell r="I65" t="str">
            <v>F</v>
          </cell>
          <cell r="J65" t="str">
            <v>LILONGWE</v>
          </cell>
          <cell r="K65">
            <v>6</v>
          </cell>
        </row>
        <row r="66">
          <cell r="A66" t="str">
            <v>RS 565</v>
          </cell>
          <cell r="B66">
            <v>387</v>
          </cell>
          <cell r="C66" t="str">
            <v>C</v>
          </cell>
          <cell r="D66" t="str">
            <v>F</v>
          </cell>
          <cell r="E66" t="str">
            <v>Likuni River - Njoka</v>
          </cell>
          <cell r="F66" t="str">
            <v>T345</v>
          </cell>
          <cell r="G66">
            <v>3</v>
          </cell>
          <cell r="H66">
            <v>8.4</v>
          </cell>
          <cell r="I66" t="str">
            <v>F</v>
          </cell>
          <cell r="J66" t="str">
            <v>LILONGWE</v>
          </cell>
          <cell r="K66">
            <v>6</v>
          </cell>
        </row>
        <row r="67">
          <cell r="A67" t="str">
            <v>RS 566</v>
          </cell>
          <cell r="B67">
            <v>388</v>
          </cell>
          <cell r="C67" t="str">
            <v>C</v>
          </cell>
          <cell r="D67" t="str">
            <v>F</v>
          </cell>
          <cell r="E67" t="str">
            <v>Njoka - Malingunde (junction S124)</v>
          </cell>
          <cell r="F67" t="str">
            <v>T345</v>
          </cell>
          <cell r="G67">
            <v>4</v>
          </cell>
          <cell r="H67">
            <v>9.6999999999999993</v>
          </cell>
          <cell r="I67" t="str">
            <v>F</v>
          </cell>
          <cell r="J67" t="str">
            <v>LILONGWE</v>
          </cell>
          <cell r="K67">
            <v>6</v>
          </cell>
        </row>
        <row r="68">
          <cell r="A68" t="str">
            <v>RS 569</v>
          </cell>
          <cell r="B68">
            <v>391</v>
          </cell>
          <cell r="C68" t="str">
            <v>C</v>
          </cell>
          <cell r="D68" t="str">
            <v>F</v>
          </cell>
          <cell r="E68" t="str">
            <v>Kayabwa - Badwa River</v>
          </cell>
          <cell r="F68" t="str">
            <v>T346</v>
          </cell>
          <cell r="G68">
            <v>1</v>
          </cell>
          <cell r="H68">
            <v>7.3</v>
          </cell>
          <cell r="I68" t="str">
            <v>F</v>
          </cell>
          <cell r="J68" t="str">
            <v>LILONGWE</v>
          </cell>
          <cell r="K68">
            <v>6</v>
          </cell>
        </row>
        <row r="69">
          <cell r="A69" t="str">
            <v>RS 568</v>
          </cell>
          <cell r="B69">
            <v>390</v>
          </cell>
          <cell r="C69" t="str">
            <v>C</v>
          </cell>
          <cell r="D69" t="str">
            <v>F</v>
          </cell>
          <cell r="E69" t="str">
            <v>Badwa River - Mika</v>
          </cell>
          <cell r="F69" t="str">
            <v>T346</v>
          </cell>
          <cell r="G69">
            <v>2</v>
          </cell>
          <cell r="H69">
            <v>7.3</v>
          </cell>
          <cell r="I69" t="str">
            <v>F</v>
          </cell>
          <cell r="J69" t="str">
            <v>LILONGWE</v>
          </cell>
          <cell r="K69">
            <v>6</v>
          </cell>
        </row>
        <row r="70">
          <cell r="A70" t="str">
            <v>RS 570</v>
          </cell>
          <cell r="B70">
            <v>382</v>
          </cell>
          <cell r="C70" t="str">
            <v>C</v>
          </cell>
          <cell r="D70" t="str">
            <v>F</v>
          </cell>
          <cell r="E70" t="str">
            <v xml:space="preserve">Mika - Kalonga </v>
          </cell>
          <cell r="F70" t="str">
            <v>T346</v>
          </cell>
          <cell r="G70">
            <v>3</v>
          </cell>
          <cell r="H70">
            <v>2.8</v>
          </cell>
          <cell r="I70" t="str">
            <v>F</v>
          </cell>
          <cell r="J70" t="str">
            <v>LILONGWE</v>
          </cell>
          <cell r="K70">
            <v>6</v>
          </cell>
        </row>
        <row r="71">
          <cell r="A71" t="str">
            <v>RS 571</v>
          </cell>
          <cell r="B71">
            <v>393</v>
          </cell>
          <cell r="C71" t="str">
            <v>C</v>
          </cell>
          <cell r="D71" t="str">
            <v>F</v>
          </cell>
          <cell r="E71" t="str">
            <v>Mutu - Mwalilakwacha</v>
          </cell>
          <cell r="F71" t="str">
            <v>T347</v>
          </cell>
          <cell r="G71">
            <v>1</v>
          </cell>
          <cell r="H71">
            <v>26</v>
          </cell>
          <cell r="I71" t="str">
            <v>F</v>
          </cell>
          <cell r="J71" t="str">
            <v>LILONGWE</v>
          </cell>
          <cell r="K71">
            <v>6</v>
          </cell>
        </row>
        <row r="72">
          <cell r="A72" t="str">
            <v>RS 572</v>
          </cell>
          <cell r="B72">
            <v>394</v>
          </cell>
          <cell r="C72" t="str">
            <v>C</v>
          </cell>
          <cell r="D72" t="str">
            <v>F</v>
          </cell>
          <cell r="E72" t="str">
            <v>Mponela - Mkulumimba</v>
          </cell>
          <cell r="F72" t="str">
            <v>T348</v>
          </cell>
          <cell r="G72">
            <v>1</v>
          </cell>
          <cell r="H72">
            <v>23.7</v>
          </cell>
          <cell r="I72" t="str">
            <v>F</v>
          </cell>
          <cell r="J72" t="str">
            <v>DOWA</v>
          </cell>
          <cell r="K72">
            <v>6</v>
          </cell>
        </row>
        <row r="73">
          <cell r="A73" t="str">
            <v>RS 258</v>
          </cell>
          <cell r="B73">
            <v>80</v>
          </cell>
          <cell r="C73" t="str">
            <v>C</v>
          </cell>
          <cell r="D73" t="str">
            <v>F</v>
          </cell>
          <cell r="E73" t="str">
            <v>Kasuntha - Mkulumimba</v>
          </cell>
          <cell r="F73" t="str">
            <v>T349</v>
          </cell>
          <cell r="G73">
            <v>1</v>
          </cell>
          <cell r="H73">
            <v>11.6</v>
          </cell>
          <cell r="I73" t="str">
            <v>FL</v>
          </cell>
          <cell r="J73" t="str">
            <v>DOWA</v>
          </cell>
          <cell r="K73" t="str">
            <v>5,6</v>
          </cell>
          <cell r="L73" t="str">
            <v>Changed designation from S120 to T349</v>
          </cell>
        </row>
        <row r="74">
          <cell r="A74" t="str">
            <v>RS 573</v>
          </cell>
          <cell r="B74">
            <v>395</v>
          </cell>
          <cell r="C74" t="str">
            <v>C</v>
          </cell>
          <cell r="D74" t="str">
            <v>F</v>
          </cell>
          <cell r="E74" t="str">
            <v>Mponera - Ntchisi</v>
          </cell>
          <cell r="F74" t="str">
            <v>T350</v>
          </cell>
          <cell r="G74">
            <v>1</v>
          </cell>
          <cell r="H74">
            <v>40</v>
          </cell>
          <cell r="I74" t="str">
            <v>FL</v>
          </cell>
          <cell r="J74" t="str">
            <v>DOWA</v>
          </cell>
          <cell r="K74">
            <v>5</v>
          </cell>
        </row>
        <row r="75">
          <cell r="A75" t="str">
            <v>RS 576</v>
          </cell>
          <cell r="B75">
            <v>398</v>
          </cell>
          <cell r="C75" t="str">
            <v>C</v>
          </cell>
          <cell r="D75" t="str">
            <v>F</v>
          </cell>
          <cell r="E75" t="str">
            <v>Mchinji Customs (junction M12) - Chikoka</v>
          </cell>
          <cell r="F75" t="str">
            <v>T351</v>
          </cell>
          <cell r="G75">
            <v>1</v>
          </cell>
          <cell r="H75">
            <v>9</v>
          </cell>
          <cell r="I75" t="str">
            <v>FL</v>
          </cell>
          <cell r="J75" t="str">
            <v>MCHINJI</v>
          </cell>
          <cell r="K75">
            <v>6</v>
          </cell>
        </row>
        <row r="76">
          <cell r="A76" t="str">
            <v>RS 574</v>
          </cell>
          <cell r="B76">
            <v>396</v>
          </cell>
          <cell r="C76" t="str">
            <v>C</v>
          </cell>
          <cell r="D76" t="str">
            <v>F</v>
          </cell>
          <cell r="E76" t="str">
            <v>Chikoka - Likawe</v>
          </cell>
          <cell r="F76" t="str">
            <v>T351</v>
          </cell>
          <cell r="G76">
            <v>2</v>
          </cell>
          <cell r="H76">
            <v>6.5</v>
          </cell>
          <cell r="I76" t="str">
            <v>FL</v>
          </cell>
          <cell r="J76" t="str">
            <v>MCHINJI</v>
          </cell>
          <cell r="K76">
            <v>6</v>
          </cell>
        </row>
        <row r="77">
          <cell r="A77" t="str">
            <v>RS 577</v>
          </cell>
          <cell r="B77">
            <v>399</v>
          </cell>
          <cell r="C77" t="str">
            <v>C</v>
          </cell>
          <cell r="D77" t="str">
            <v>F</v>
          </cell>
          <cell r="E77" t="str">
            <v>Likawe - Ulele</v>
          </cell>
          <cell r="F77" t="str">
            <v>T351</v>
          </cell>
          <cell r="G77">
            <v>3</v>
          </cell>
          <cell r="H77">
            <v>39.6</v>
          </cell>
          <cell r="I77" t="str">
            <v>FL</v>
          </cell>
          <cell r="J77" t="str">
            <v>MCHINJI</v>
          </cell>
          <cell r="K77">
            <v>6</v>
          </cell>
        </row>
        <row r="78">
          <cell r="A78" t="str">
            <v>RS 575</v>
          </cell>
          <cell r="B78">
            <v>397</v>
          </cell>
          <cell r="C78" t="str">
            <v>C</v>
          </cell>
          <cell r="D78" t="str">
            <v>F</v>
          </cell>
          <cell r="E78" t="str">
            <v>Ulele - Kamwendo (junction M12)</v>
          </cell>
          <cell r="F78" t="str">
            <v>T351</v>
          </cell>
          <cell r="G78">
            <v>4</v>
          </cell>
          <cell r="H78">
            <v>14.8</v>
          </cell>
          <cell r="I78" t="str">
            <v>FL</v>
          </cell>
          <cell r="J78" t="str">
            <v>MCHINJI</v>
          </cell>
          <cell r="K78">
            <v>6</v>
          </cell>
        </row>
        <row r="79">
          <cell r="A79" t="str">
            <v>RS 578</v>
          </cell>
          <cell r="B79">
            <v>400</v>
          </cell>
          <cell r="C79" t="str">
            <v>C</v>
          </cell>
          <cell r="D79" t="str">
            <v>F</v>
          </cell>
          <cell r="E79" t="str">
            <v>Benga (junction M5) - Juma</v>
          </cell>
          <cell r="F79" t="str">
            <v>T355</v>
          </cell>
          <cell r="G79">
            <v>1</v>
          </cell>
          <cell r="H79">
            <v>2.8</v>
          </cell>
          <cell r="I79" t="str">
            <v>FL</v>
          </cell>
          <cell r="J79" t="str">
            <v>NKHOTA KOTA</v>
          </cell>
          <cell r="K79">
            <v>5</v>
          </cell>
        </row>
        <row r="80">
          <cell r="A80" t="str">
            <v>RS 579</v>
          </cell>
          <cell r="B80">
            <v>401</v>
          </cell>
          <cell r="C80" t="str">
            <v>C</v>
          </cell>
          <cell r="D80" t="str">
            <v>F</v>
          </cell>
          <cell r="E80" t="str">
            <v>Juma - Suluwi</v>
          </cell>
          <cell r="F80" t="str">
            <v>T355</v>
          </cell>
          <cell r="G80">
            <v>2</v>
          </cell>
          <cell r="H80">
            <v>8</v>
          </cell>
          <cell r="I80" t="str">
            <v>FL</v>
          </cell>
          <cell r="J80" t="str">
            <v>NKHOTA KOTA</v>
          </cell>
          <cell r="K80">
            <v>5</v>
          </cell>
        </row>
        <row r="81">
          <cell r="A81" t="str">
            <v>RS 591</v>
          </cell>
          <cell r="B81">
            <v>413</v>
          </cell>
          <cell r="C81" t="str">
            <v>C</v>
          </cell>
          <cell r="D81" t="str">
            <v>F</v>
          </cell>
          <cell r="E81" t="str">
            <v>Suluwi - Kachisoka (junction M5)</v>
          </cell>
          <cell r="F81" t="str">
            <v>T355</v>
          </cell>
          <cell r="G81">
            <v>3</v>
          </cell>
          <cell r="H81">
            <v>9.5</v>
          </cell>
          <cell r="I81" t="str">
            <v>FL</v>
          </cell>
          <cell r="J81" t="str">
            <v>NKHOTA KOTA</v>
          </cell>
          <cell r="K81">
            <v>7</v>
          </cell>
          <cell r="L81" t="str">
            <v>Changed designation from T358 to T355</v>
          </cell>
        </row>
        <row r="82">
          <cell r="A82" t="str">
            <v>RS 580</v>
          </cell>
          <cell r="B82">
            <v>402</v>
          </cell>
          <cell r="C82" t="str">
            <v>C</v>
          </cell>
          <cell r="D82" t="str">
            <v>F</v>
          </cell>
          <cell r="E82" t="str">
            <v>Kanyenyeva (junction M14) - Chitala River Bridge</v>
          </cell>
          <cell r="F82" t="str">
            <v>T356</v>
          </cell>
          <cell r="G82">
            <v>1</v>
          </cell>
          <cell r="H82">
            <v>8.1999999999999993</v>
          </cell>
          <cell r="I82" t="str">
            <v>FL</v>
          </cell>
          <cell r="J82" t="str">
            <v>DOWA</v>
          </cell>
          <cell r="K82">
            <v>6</v>
          </cell>
        </row>
        <row r="83">
          <cell r="A83" t="str">
            <v>RS 581</v>
          </cell>
          <cell r="B83">
            <v>403</v>
          </cell>
          <cell r="C83" t="str">
            <v>C</v>
          </cell>
          <cell r="D83" t="str">
            <v>F</v>
          </cell>
          <cell r="E83" t="str">
            <v>Chitala River Bridge - Sambo</v>
          </cell>
          <cell r="F83" t="str">
            <v>T356</v>
          </cell>
          <cell r="G83">
            <v>2</v>
          </cell>
          <cell r="H83">
            <v>12</v>
          </cell>
          <cell r="I83" t="str">
            <v>FL</v>
          </cell>
          <cell r="J83" t="str">
            <v>SALIMA</v>
          </cell>
          <cell r="K83">
            <v>6</v>
          </cell>
        </row>
        <row r="84">
          <cell r="A84" t="str">
            <v>RS 582</v>
          </cell>
          <cell r="B84">
            <v>404</v>
          </cell>
          <cell r="C84" t="str">
            <v>C</v>
          </cell>
          <cell r="D84" t="str">
            <v>F</v>
          </cell>
          <cell r="E84" t="str">
            <v>Sambo - Nkhombedza (junction M5)</v>
          </cell>
          <cell r="F84" t="str">
            <v>T356</v>
          </cell>
          <cell r="G84">
            <v>3</v>
          </cell>
          <cell r="H84">
            <v>5.9</v>
          </cell>
          <cell r="I84" t="str">
            <v>FL</v>
          </cell>
          <cell r="J84" t="str">
            <v>SALIMA</v>
          </cell>
          <cell r="K84">
            <v>6</v>
          </cell>
        </row>
        <row r="85">
          <cell r="A85" t="str">
            <v>RS 585</v>
          </cell>
          <cell r="B85">
            <v>407</v>
          </cell>
          <cell r="C85" t="str">
            <v>C</v>
          </cell>
          <cell r="D85" t="str">
            <v>F</v>
          </cell>
          <cell r="E85" t="str">
            <v>Chipemedza - Salima railway crossing</v>
          </cell>
          <cell r="F85" t="str">
            <v>T357</v>
          </cell>
          <cell r="G85">
            <v>1</v>
          </cell>
          <cell r="H85">
            <v>1.6</v>
          </cell>
          <cell r="I85" t="str">
            <v>FL</v>
          </cell>
          <cell r="J85" t="str">
            <v>SALIMA</v>
          </cell>
          <cell r="K85">
            <v>7</v>
          </cell>
        </row>
        <row r="86">
          <cell r="A86" t="str">
            <v>RS 583</v>
          </cell>
          <cell r="B86">
            <v>405</v>
          </cell>
          <cell r="C86" t="str">
            <v>C</v>
          </cell>
          <cell r="D86" t="str">
            <v>F</v>
          </cell>
          <cell r="E86" t="str">
            <v>Salima railway crossing - Cherani</v>
          </cell>
          <cell r="F86" t="str">
            <v>T357</v>
          </cell>
          <cell r="G86">
            <v>2</v>
          </cell>
          <cell r="H86">
            <v>8.3000000000000007</v>
          </cell>
          <cell r="I86" t="str">
            <v>FL</v>
          </cell>
          <cell r="J86" t="str">
            <v>SALIMA</v>
          </cell>
          <cell r="K86">
            <v>7</v>
          </cell>
        </row>
        <row r="87">
          <cell r="A87" t="str">
            <v>RS 584</v>
          </cell>
          <cell r="B87">
            <v>406</v>
          </cell>
          <cell r="C87" t="str">
            <v>C</v>
          </cell>
          <cell r="D87" t="str">
            <v>F</v>
          </cell>
          <cell r="E87" t="str">
            <v>Cherani - Kachulu</v>
          </cell>
          <cell r="F87" t="str">
            <v>T357</v>
          </cell>
          <cell r="G87">
            <v>3</v>
          </cell>
          <cell r="H87">
            <v>10.4</v>
          </cell>
          <cell r="I87" t="str">
            <v>FL</v>
          </cell>
          <cell r="J87" t="str">
            <v>SALIMA</v>
          </cell>
          <cell r="K87">
            <v>7</v>
          </cell>
        </row>
        <row r="88">
          <cell r="A88" t="str">
            <v>RS 663</v>
          </cell>
          <cell r="B88">
            <v>485</v>
          </cell>
          <cell r="C88" t="str">
            <v>C</v>
          </cell>
          <cell r="D88" t="str">
            <v>F</v>
          </cell>
          <cell r="E88" t="str">
            <v>Kachulu - Lifuwu</v>
          </cell>
          <cell r="F88" t="str">
            <v>T357</v>
          </cell>
          <cell r="G88">
            <v>3</v>
          </cell>
          <cell r="H88">
            <v>7</v>
          </cell>
          <cell r="I88" t="str">
            <v>FL</v>
          </cell>
          <cell r="J88" t="str">
            <v>SALIMA</v>
          </cell>
          <cell r="K88">
            <v>7</v>
          </cell>
          <cell r="L88" t="str">
            <v>Changed designation from D276 to T357</v>
          </cell>
        </row>
        <row r="89">
          <cell r="A89" t="str">
            <v>RS 587</v>
          </cell>
          <cell r="B89">
            <v>409</v>
          </cell>
          <cell r="C89" t="str">
            <v>C</v>
          </cell>
          <cell r="D89" t="str">
            <v>F</v>
          </cell>
          <cell r="E89" t="str">
            <v>Lifuwu - Mikute</v>
          </cell>
          <cell r="F89" t="str">
            <v>T357</v>
          </cell>
          <cell r="G89">
            <v>5</v>
          </cell>
          <cell r="H89">
            <v>9.6</v>
          </cell>
          <cell r="I89" t="str">
            <v>FL</v>
          </cell>
          <cell r="J89" t="str">
            <v>SALIMA</v>
          </cell>
          <cell r="K89">
            <v>7</v>
          </cell>
          <cell r="L89" t="str">
            <v>Changed designation from T358 to T357</v>
          </cell>
        </row>
        <row r="90">
          <cell r="A90" t="str">
            <v>RS 586</v>
          </cell>
          <cell r="B90">
            <v>408</v>
          </cell>
          <cell r="C90" t="str">
            <v>C</v>
          </cell>
          <cell r="D90" t="str">
            <v>F</v>
          </cell>
          <cell r="E90" t="str">
            <v>Mikute - Nafulu</v>
          </cell>
          <cell r="F90" t="str">
            <v>T358</v>
          </cell>
          <cell r="G90">
            <v>1</v>
          </cell>
          <cell r="H90">
            <v>2.7</v>
          </cell>
          <cell r="I90" t="str">
            <v>FL</v>
          </cell>
          <cell r="J90" t="str">
            <v>SALIMA</v>
          </cell>
          <cell r="K90">
            <v>7</v>
          </cell>
        </row>
        <row r="91">
          <cell r="A91" t="str">
            <v>RS 590</v>
          </cell>
          <cell r="B91">
            <v>412</v>
          </cell>
          <cell r="C91" t="str">
            <v>C</v>
          </cell>
          <cell r="D91" t="str">
            <v>F</v>
          </cell>
          <cell r="E91" t="str">
            <v>Nafulu - Kachule</v>
          </cell>
          <cell r="F91" t="str">
            <v>T358</v>
          </cell>
          <cell r="G91">
            <v>2</v>
          </cell>
          <cell r="H91">
            <v>10.5</v>
          </cell>
          <cell r="I91" t="str">
            <v>FL</v>
          </cell>
          <cell r="J91" t="str">
            <v>SALIMA</v>
          </cell>
          <cell r="K91">
            <v>7</v>
          </cell>
        </row>
        <row r="92">
          <cell r="A92" t="str">
            <v>RS 589</v>
          </cell>
          <cell r="B92">
            <v>411</v>
          </cell>
          <cell r="C92" t="str">
            <v>C</v>
          </cell>
          <cell r="D92" t="str">
            <v>F</v>
          </cell>
          <cell r="E92" t="str">
            <v>Kachule - Maganga</v>
          </cell>
          <cell r="F92" t="str">
            <v>T358</v>
          </cell>
          <cell r="G92">
            <v>3</v>
          </cell>
          <cell r="H92">
            <v>2.4</v>
          </cell>
          <cell r="I92" t="str">
            <v>FL</v>
          </cell>
          <cell r="J92" t="str">
            <v>SALIMA</v>
          </cell>
          <cell r="K92">
            <v>7</v>
          </cell>
        </row>
        <row r="93">
          <cell r="A93" t="str">
            <v>RS 588</v>
          </cell>
          <cell r="B93">
            <v>410</v>
          </cell>
          <cell r="C93" t="str">
            <v>C</v>
          </cell>
          <cell r="D93" t="str">
            <v>F</v>
          </cell>
          <cell r="E93" t="str">
            <v>Kachule - Chipemedza</v>
          </cell>
          <cell r="F93" t="str">
            <v>T358</v>
          </cell>
          <cell r="G93">
            <v>4</v>
          </cell>
          <cell r="H93">
            <v>10.8</v>
          </cell>
          <cell r="I93" t="str">
            <v>FL</v>
          </cell>
          <cell r="J93" t="str">
            <v>SALIMA</v>
          </cell>
          <cell r="K93">
            <v>7</v>
          </cell>
        </row>
        <row r="94">
          <cell r="A94" t="str">
            <v>RS 594</v>
          </cell>
          <cell r="B94">
            <v>416</v>
          </cell>
          <cell r="C94" t="str">
            <v>C</v>
          </cell>
          <cell r="D94" t="str">
            <v>F</v>
          </cell>
          <cell r="E94" t="str">
            <v>Mpeya T.C - Kalembera</v>
          </cell>
          <cell r="F94" t="str">
            <v>T363</v>
          </cell>
          <cell r="G94">
            <v>1</v>
          </cell>
          <cell r="H94">
            <v>9.1999999999999993</v>
          </cell>
          <cell r="I94" t="str">
            <v>R</v>
          </cell>
          <cell r="J94" t="str">
            <v>LILONGWE</v>
          </cell>
          <cell r="K94">
            <v>6</v>
          </cell>
        </row>
        <row r="95">
          <cell r="A95" t="str">
            <v>RS 593</v>
          </cell>
          <cell r="B95">
            <v>415</v>
          </cell>
          <cell r="C95" t="str">
            <v>C</v>
          </cell>
          <cell r="D95" t="str">
            <v>F</v>
          </cell>
          <cell r="E95" t="str">
            <v>Kalembera - Lundu</v>
          </cell>
          <cell r="F95" t="str">
            <v>T363</v>
          </cell>
          <cell r="G95">
            <v>2</v>
          </cell>
          <cell r="H95">
            <v>5.8</v>
          </cell>
          <cell r="I95" t="str">
            <v>R</v>
          </cell>
          <cell r="J95" t="str">
            <v>LILONGWE</v>
          </cell>
          <cell r="K95">
            <v>6</v>
          </cell>
        </row>
        <row r="96">
          <cell r="A96" t="str">
            <v>RS 596</v>
          </cell>
          <cell r="B96">
            <v>418</v>
          </cell>
          <cell r="C96" t="str">
            <v>C</v>
          </cell>
          <cell r="D96" t="str">
            <v>F</v>
          </cell>
          <cell r="E96" t="str">
            <v>Samu (junction M12) - Kanyelele</v>
          </cell>
          <cell r="F96" t="str">
            <v>T364</v>
          </cell>
          <cell r="G96">
            <v>1</v>
          </cell>
          <cell r="H96">
            <v>5.7</v>
          </cell>
          <cell r="I96" t="str">
            <v>FL</v>
          </cell>
          <cell r="J96" t="str">
            <v>LILONGWE</v>
          </cell>
          <cell r="K96">
            <v>6</v>
          </cell>
        </row>
        <row r="97">
          <cell r="A97" t="str">
            <v>RS 595</v>
          </cell>
          <cell r="B97">
            <v>417</v>
          </cell>
          <cell r="C97" t="str">
            <v>C</v>
          </cell>
          <cell r="D97" t="str">
            <v>F</v>
          </cell>
          <cell r="E97" t="str">
            <v>Kanyelele - Nakura</v>
          </cell>
          <cell r="F97" t="str">
            <v>T364</v>
          </cell>
          <cell r="G97">
            <v>2</v>
          </cell>
          <cell r="H97">
            <v>5.9</v>
          </cell>
          <cell r="I97" t="str">
            <v>FL</v>
          </cell>
          <cell r="J97" t="str">
            <v>LILONGWE</v>
          </cell>
          <cell r="K97">
            <v>6</v>
          </cell>
        </row>
        <row r="98">
          <cell r="A98" t="str">
            <v>RS 669</v>
          </cell>
          <cell r="B98">
            <v>491</v>
          </cell>
          <cell r="C98" t="str">
            <v>C</v>
          </cell>
          <cell r="D98" t="str">
            <v>F</v>
          </cell>
          <cell r="E98" t="str">
            <v>Nakula - Kakoma</v>
          </cell>
          <cell r="F98" t="str">
            <v>T364</v>
          </cell>
          <cell r="G98">
            <v>3</v>
          </cell>
          <cell r="H98">
            <v>8.4</v>
          </cell>
          <cell r="I98" t="str">
            <v>FL</v>
          </cell>
          <cell r="J98" t="str">
            <v>LILONGWE</v>
          </cell>
          <cell r="K98">
            <v>6</v>
          </cell>
          <cell r="L98" t="str">
            <v>Changed designation from UDX to T364</v>
          </cell>
        </row>
        <row r="99">
          <cell r="A99" t="str">
            <v>RS 597</v>
          </cell>
          <cell r="B99">
            <v>419</v>
          </cell>
          <cell r="C99" t="str">
            <v>C</v>
          </cell>
          <cell r="D99" t="str">
            <v>F</v>
          </cell>
          <cell r="E99" t="str">
            <v>Kakoma - Njoka</v>
          </cell>
          <cell r="F99" t="str">
            <v>T364</v>
          </cell>
          <cell r="G99">
            <v>4</v>
          </cell>
          <cell r="H99">
            <v>11.9</v>
          </cell>
          <cell r="I99" t="str">
            <v>FL</v>
          </cell>
          <cell r="J99" t="str">
            <v>LILONGWE</v>
          </cell>
          <cell r="K99">
            <v>6</v>
          </cell>
        </row>
        <row r="100">
          <cell r="A100" t="str">
            <v>RS 604</v>
          </cell>
          <cell r="B100">
            <v>426</v>
          </cell>
          <cell r="C100" t="str">
            <v>C</v>
          </cell>
          <cell r="D100" t="str">
            <v>F</v>
          </cell>
          <cell r="E100" t="str">
            <v>Kbyzala Village - Chizandu</v>
          </cell>
          <cell r="F100" t="str">
            <v>T366</v>
          </cell>
          <cell r="G100">
            <v>1</v>
          </cell>
          <cell r="H100">
            <v>12.1</v>
          </cell>
          <cell r="I100" t="str">
            <v>FL</v>
          </cell>
          <cell r="J100" t="str">
            <v>LILONGWE</v>
          </cell>
          <cell r="K100">
            <v>6</v>
          </cell>
        </row>
        <row r="101">
          <cell r="A101" t="str">
            <v>RS 603</v>
          </cell>
          <cell r="B101">
            <v>425</v>
          </cell>
          <cell r="C101" t="str">
            <v>C</v>
          </cell>
          <cell r="D101" t="str">
            <v>F</v>
          </cell>
          <cell r="E101" t="str">
            <v>Chizandu - Kambanizithe</v>
          </cell>
          <cell r="F101" t="str">
            <v>T366</v>
          </cell>
          <cell r="G101">
            <v>2</v>
          </cell>
          <cell r="H101">
            <v>8.6999999999999993</v>
          </cell>
          <cell r="I101" t="str">
            <v>FL</v>
          </cell>
          <cell r="J101" t="str">
            <v>LILONGWE</v>
          </cell>
          <cell r="K101">
            <v>6</v>
          </cell>
        </row>
        <row r="102">
          <cell r="A102" t="str">
            <v>RS 601</v>
          </cell>
          <cell r="B102">
            <v>423</v>
          </cell>
          <cell r="C102" t="str">
            <v>C</v>
          </cell>
          <cell r="D102" t="str">
            <v>F</v>
          </cell>
          <cell r="E102" t="str">
            <v>Kambanizithe - Diamphwe River bridge</v>
          </cell>
          <cell r="F102" t="str">
            <v>T366</v>
          </cell>
          <cell r="G102">
            <v>3</v>
          </cell>
          <cell r="H102">
            <v>7.7</v>
          </cell>
          <cell r="I102" t="str">
            <v>FL</v>
          </cell>
          <cell r="J102" t="str">
            <v>LILONGWE</v>
          </cell>
          <cell r="K102">
            <v>6</v>
          </cell>
        </row>
        <row r="103">
          <cell r="A103" t="str">
            <v>RS 598</v>
          </cell>
          <cell r="B103">
            <v>420</v>
          </cell>
          <cell r="C103" t="str">
            <v>C</v>
          </cell>
          <cell r="D103" t="str">
            <v>F</v>
          </cell>
          <cell r="E103" t="str">
            <v>Diamphwe River bridge - Kafere</v>
          </cell>
          <cell r="F103" t="str">
            <v>T366</v>
          </cell>
          <cell r="G103">
            <v>4</v>
          </cell>
          <cell r="H103">
            <v>12.2</v>
          </cell>
          <cell r="I103" t="str">
            <v>FL</v>
          </cell>
          <cell r="J103" t="str">
            <v>DEDZA</v>
          </cell>
          <cell r="K103">
            <v>6</v>
          </cell>
        </row>
        <row r="104">
          <cell r="A104" t="str">
            <v>RS 602</v>
          </cell>
          <cell r="B104">
            <v>424</v>
          </cell>
          <cell r="C104" t="str">
            <v>C</v>
          </cell>
          <cell r="D104" t="str">
            <v>F</v>
          </cell>
          <cell r="E104" t="str">
            <v>Kafere - Dzalanyama</v>
          </cell>
          <cell r="F104" t="str">
            <v>T366</v>
          </cell>
          <cell r="G104">
            <v>5</v>
          </cell>
          <cell r="H104">
            <v>3.3</v>
          </cell>
          <cell r="I104" t="str">
            <v>FL</v>
          </cell>
          <cell r="J104" t="str">
            <v>DEDZA</v>
          </cell>
          <cell r="K104">
            <v>6</v>
          </cell>
        </row>
        <row r="105">
          <cell r="A105" t="str">
            <v>RS 599</v>
          </cell>
          <cell r="B105">
            <v>421</v>
          </cell>
          <cell r="C105" t="str">
            <v>C</v>
          </cell>
          <cell r="D105" t="str">
            <v>F</v>
          </cell>
          <cell r="E105" t="str">
            <v>Dzalanyama - Mtengowagwa</v>
          </cell>
          <cell r="F105" t="str">
            <v>T366</v>
          </cell>
          <cell r="G105">
            <v>6</v>
          </cell>
          <cell r="H105">
            <v>31.3</v>
          </cell>
          <cell r="I105" t="str">
            <v>FL</v>
          </cell>
          <cell r="J105" t="str">
            <v>DEDZA</v>
          </cell>
          <cell r="K105">
            <v>6</v>
          </cell>
        </row>
        <row r="106">
          <cell r="A106" t="str">
            <v>RS 662</v>
          </cell>
          <cell r="B106">
            <v>484</v>
          </cell>
          <cell r="C106" t="str">
            <v>C</v>
          </cell>
          <cell r="D106" t="str">
            <v>F</v>
          </cell>
          <cell r="E106" t="str">
            <v>Mtengowagwa - Mikonde</v>
          </cell>
          <cell r="F106" t="str">
            <v>T366</v>
          </cell>
          <cell r="G106">
            <v>7</v>
          </cell>
          <cell r="H106">
            <v>2.8</v>
          </cell>
          <cell r="I106" t="str">
            <v>FL</v>
          </cell>
          <cell r="J106" t="str">
            <v>DEDZA</v>
          </cell>
          <cell r="K106">
            <v>6</v>
          </cell>
          <cell r="L106" t="str">
            <v>Changed designation from D209 to T366</v>
          </cell>
        </row>
        <row r="107">
          <cell r="A107" t="str">
            <v>RS 600</v>
          </cell>
          <cell r="B107">
            <v>422</v>
          </cell>
          <cell r="C107" t="str">
            <v>C</v>
          </cell>
          <cell r="D107" t="str">
            <v>F</v>
          </cell>
          <cell r="E107" t="str">
            <v>Mikonde - Njonja</v>
          </cell>
          <cell r="F107" t="str">
            <v>T366</v>
          </cell>
          <cell r="G107">
            <v>8</v>
          </cell>
          <cell r="H107">
            <v>6.2</v>
          </cell>
          <cell r="I107" t="str">
            <v>FL</v>
          </cell>
          <cell r="J107" t="str">
            <v>DEDZA</v>
          </cell>
          <cell r="K107">
            <v>6</v>
          </cell>
        </row>
        <row r="108">
          <cell r="A108" t="str">
            <v>RS 668</v>
          </cell>
          <cell r="B108">
            <v>490</v>
          </cell>
          <cell r="C108" t="str">
            <v>C</v>
          </cell>
          <cell r="D108" t="str">
            <v>F</v>
          </cell>
          <cell r="E108" t="str">
            <v>Mbala - Kambanizithe</v>
          </cell>
          <cell r="F108" t="str">
            <v>T367</v>
          </cell>
          <cell r="G108">
            <v>1</v>
          </cell>
          <cell r="H108">
            <v>8.1999999999999993</v>
          </cell>
          <cell r="I108" t="str">
            <v>FL</v>
          </cell>
          <cell r="J108" t="str">
            <v>LILONGWE</v>
          </cell>
          <cell r="K108">
            <v>6</v>
          </cell>
          <cell r="L108" t="str">
            <v>Changed designation from UD to T367.</v>
          </cell>
        </row>
        <row r="109">
          <cell r="A109" t="str">
            <v>RS 605</v>
          </cell>
          <cell r="B109">
            <v>427</v>
          </cell>
          <cell r="C109" t="str">
            <v>C</v>
          </cell>
          <cell r="D109" t="str">
            <v>F</v>
          </cell>
          <cell r="E109" t="str">
            <v>Diamphwe River - Mtengowangwa</v>
          </cell>
          <cell r="F109" t="str">
            <v>T368</v>
          </cell>
          <cell r="G109">
            <v>1</v>
          </cell>
          <cell r="H109">
            <v>18.600000000000001</v>
          </cell>
          <cell r="I109" t="str">
            <v>FL</v>
          </cell>
          <cell r="J109" t="str">
            <v>DEDZA</v>
          </cell>
          <cell r="K109">
            <v>6</v>
          </cell>
        </row>
        <row r="110">
          <cell r="A110" t="str">
            <v>RS 608</v>
          </cell>
          <cell r="B110">
            <v>430</v>
          </cell>
          <cell r="C110" t="str">
            <v>C</v>
          </cell>
          <cell r="D110" t="str">
            <v>F</v>
          </cell>
          <cell r="E110" t="str">
            <v>Chalendewa - Nanjiri River</v>
          </cell>
          <cell r="F110" t="str">
            <v>T369</v>
          </cell>
          <cell r="G110">
            <v>1</v>
          </cell>
          <cell r="H110">
            <v>6.3</v>
          </cell>
          <cell r="I110" t="str">
            <v>FL</v>
          </cell>
          <cell r="J110" t="str">
            <v>LILONGWE</v>
          </cell>
          <cell r="K110">
            <v>6</v>
          </cell>
        </row>
        <row r="111">
          <cell r="A111" t="str">
            <v>RS 607</v>
          </cell>
          <cell r="B111">
            <v>429</v>
          </cell>
          <cell r="C111" t="str">
            <v>C</v>
          </cell>
          <cell r="D111" t="str">
            <v>F</v>
          </cell>
          <cell r="E111" t="str">
            <v>Nanjiri River - Perete</v>
          </cell>
          <cell r="F111" t="str">
            <v>T369</v>
          </cell>
          <cell r="G111">
            <v>2</v>
          </cell>
          <cell r="H111">
            <v>9</v>
          </cell>
          <cell r="I111" t="str">
            <v>FL</v>
          </cell>
          <cell r="J111" t="str">
            <v>LILONGWE</v>
          </cell>
          <cell r="K111">
            <v>6</v>
          </cell>
        </row>
        <row r="112">
          <cell r="A112" t="str">
            <v>RS 606</v>
          </cell>
          <cell r="B112">
            <v>428</v>
          </cell>
          <cell r="C112" t="str">
            <v>C</v>
          </cell>
          <cell r="D112" t="str">
            <v>F</v>
          </cell>
          <cell r="E112" t="str">
            <v>Perete - Chiwoko</v>
          </cell>
          <cell r="F112" t="str">
            <v>T369</v>
          </cell>
          <cell r="G112">
            <v>3</v>
          </cell>
          <cell r="H112">
            <v>5.9</v>
          </cell>
          <cell r="I112" t="str">
            <v>FL</v>
          </cell>
          <cell r="J112" t="str">
            <v>LILONGWE</v>
          </cell>
          <cell r="K112">
            <v>6</v>
          </cell>
        </row>
        <row r="113">
          <cell r="A113" t="str">
            <v>RS 664</v>
          </cell>
          <cell r="B113">
            <v>486</v>
          </cell>
          <cell r="C113" t="str">
            <v>C</v>
          </cell>
          <cell r="D113" t="str">
            <v>F</v>
          </cell>
          <cell r="E113" t="str">
            <v>Kalumba T/Off (junction M1) - Chikhombe</v>
          </cell>
          <cell r="F113" t="str">
            <v>T370</v>
          </cell>
          <cell r="G113">
            <v>1</v>
          </cell>
          <cell r="H113">
            <v>10.5</v>
          </cell>
          <cell r="I113" t="str">
            <v>C</v>
          </cell>
          <cell r="J113" t="str">
            <v>LILONGWE</v>
          </cell>
          <cell r="K113">
            <v>8</v>
          </cell>
          <cell r="L113" t="str">
            <v>Changed designation from D370 to T370</v>
          </cell>
        </row>
        <row r="114">
          <cell r="A114" t="str">
            <v>RS 665</v>
          </cell>
          <cell r="B114">
            <v>487</v>
          </cell>
          <cell r="C114" t="str">
            <v>C</v>
          </cell>
          <cell r="D114" t="str">
            <v>F</v>
          </cell>
          <cell r="E114" t="str">
            <v>Chikhombe - Chiwoko</v>
          </cell>
          <cell r="F114" t="str">
            <v>T370</v>
          </cell>
          <cell r="G114">
            <v>2</v>
          </cell>
          <cell r="H114">
            <v>10.4</v>
          </cell>
          <cell r="I114" t="str">
            <v>C</v>
          </cell>
          <cell r="J114" t="str">
            <v>LILONGWE</v>
          </cell>
          <cell r="K114">
            <v>8</v>
          </cell>
          <cell r="L114" t="str">
            <v>Changed designation from D370 to T370</v>
          </cell>
        </row>
        <row r="115">
          <cell r="A115" t="str">
            <v>RS 609</v>
          </cell>
          <cell r="B115">
            <v>431</v>
          </cell>
          <cell r="C115" t="str">
            <v>C</v>
          </cell>
          <cell r="D115" t="str">
            <v>F</v>
          </cell>
          <cell r="E115" t="str">
            <v>Chiwoko - Chisendera</v>
          </cell>
          <cell r="F115" t="str">
            <v>T370</v>
          </cell>
          <cell r="G115">
            <v>3</v>
          </cell>
          <cell r="H115">
            <v>8</v>
          </cell>
          <cell r="I115" t="str">
            <v>FL</v>
          </cell>
          <cell r="J115" t="str">
            <v>LILONGWE</v>
          </cell>
          <cell r="K115">
            <v>6</v>
          </cell>
        </row>
        <row r="116">
          <cell r="A116" t="str">
            <v>RS 614</v>
          </cell>
          <cell r="B116">
            <v>436</v>
          </cell>
          <cell r="C116" t="str">
            <v>C</v>
          </cell>
          <cell r="D116" t="str">
            <v>F</v>
          </cell>
          <cell r="E116" t="str">
            <v>junction M1 - Kakolo</v>
          </cell>
          <cell r="F116" t="str">
            <v>T372</v>
          </cell>
          <cell r="G116">
            <v>1</v>
          </cell>
          <cell r="H116">
            <v>7.7</v>
          </cell>
          <cell r="I116" t="str">
            <v>FL</v>
          </cell>
          <cell r="J116" t="str">
            <v>DEDZA</v>
          </cell>
          <cell r="K116">
            <v>6</v>
          </cell>
        </row>
        <row r="117">
          <cell r="A117" t="str">
            <v>RS 616</v>
          </cell>
          <cell r="B117">
            <v>438</v>
          </cell>
          <cell r="C117" t="str">
            <v>C</v>
          </cell>
          <cell r="D117" t="str">
            <v>F</v>
          </cell>
          <cell r="E117" t="str">
            <v>Kakolo - Nkhonga</v>
          </cell>
          <cell r="F117" t="str">
            <v>T372</v>
          </cell>
          <cell r="G117">
            <v>2</v>
          </cell>
          <cell r="H117">
            <v>5.4</v>
          </cell>
          <cell r="I117" t="str">
            <v>FL</v>
          </cell>
          <cell r="J117" t="str">
            <v>DEDZA</v>
          </cell>
          <cell r="K117">
            <v>6</v>
          </cell>
        </row>
        <row r="118">
          <cell r="A118" t="str">
            <v>RS 610</v>
          </cell>
          <cell r="B118">
            <v>432</v>
          </cell>
          <cell r="C118" t="str">
            <v>C</v>
          </cell>
          <cell r="D118" t="str">
            <v>F</v>
          </cell>
          <cell r="E118" t="str">
            <v>Mpatamilonde - Mpalale</v>
          </cell>
          <cell r="F118" t="str">
            <v>T372</v>
          </cell>
          <cell r="G118">
            <v>3</v>
          </cell>
          <cell r="H118">
            <v>20.3</v>
          </cell>
          <cell r="I118" t="str">
            <v>H</v>
          </cell>
          <cell r="J118" t="str">
            <v>DEDZA</v>
          </cell>
          <cell r="K118">
            <v>6</v>
          </cell>
        </row>
        <row r="119">
          <cell r="A119" t="str">
            <v>RS 612</v>
          </cell>
          <cell r="B119">
            <v>434</v>
          </cell>
          <cell r="C119" t="str">
            <v>C</v>
          </cell>
          <cell r="D119" t="str">
            <v>F</v>
          </cell>
          <cell r="E119" t="str">
            <v>Mpalale - Dedza</v>
          </cell>
          <cell r="F119" t="str">
            <v>T372</v>
          </cell>
          <cell r="G119">
            <v>4</v>
          </cell>
          <cell r="H119">
            <v>7.5</v>
          </cell>
          <cell r="I119" t="str">
            <v>H</v>
          </cell>
          <cell r="J119" t="str">
            <v>DEDZA</v>
          </cell>
          <cell r="K119">
            <v>6</v>
          </cell>
        </row>
        <row r="120">
          <cell r="A120" t="str">
            <v>RS 265</v>
          </cell>
          <cell r="B120">
            <v>87</v>
          </cell>
          <cell r="C120" t="str">
            <v>C</v>
          </cell>
          <cell r="D120" t="str">
            <v>F</v>
          </cell>
          <cell r="E120" t="str">
            <v>Chamadenga - Katete River</v>
          </cell>
          <cell r="F120" t="str">
            <v>T373</v>
          </cell>
          <cell r="G120">
            <v>1</v>
          </cell>
          <cell r="H120">
            <v>6.3</v>
          </cell>
          <cell r="I120" t="str">
            <v>FL</v>
          </cell>
          <cell r="J120" t="str">
            <v>LILONGWE</v>
          </cell>
          <cell r="K120">
            <v>6</v>
          </cell>
          <cell r="L120" t="str">
            <v>Changed designation from S121 to T373</v>
          </cell>
        </row>
        <row r="121">
          <cell r="A121" t="str">
            <v>RS 266</v>
          </cell>
          <cell r="B121">
            <v>88</v>
          </cell>
          <cell r="C121" t="str">
            <v>C</v>
          </cell>
          <cell r="D121" t="str">
            <v>F</v>
          </cell>
          <cell r="E121" t="str">
            <v>Katete River - Linthipe River Bridge</v>
          </cell>
          <cell r="F121" t="str">
            <v>T373</v>
          </cell>
          <cell r="G121">
            <v>2</v>
          </cell>
          <cell r="H121">
            <v>2.8</v>
          </cell>
          <cell r="I121" t="str">
            <v>R</v>
          </cell>
          <cell r="J121" t="str">
            <v>LILONGWE</v>
          </cell>
          <cell r="K121">
            <v>6</v>
          </cell>
          <cell r="L121" t="str">
            <v>Changed designation from S121 to T373</v>
          </cell>
        </row>
        <row r="122">
          <cell r="A122" t="str">
            <v>RS 619</v>
          </cell>
          <cell r="B122">
            <v>441</v>
          </cell>
          <cell r="C122" t="str">
            <v>C</v>
          </cell>
          <cell r="D122" t="str">
            <v>F</v>
          </cell>
          <cell r="E122" t="str">
            <v>Linthipe River River - Livuwadzi River (North)</v>
          </cell>
          <cell r="F122" t="str">
            <v>T373</v>
          </cell>
          <cell r="G122">
            <v>3</v>
          </cell>
          <cell r="H122">
            <v>5.6</v>
          </cell>
          <cell r="I122" t="str">
            <v>FL</v>
          </cell>
          <cell r="J122" t="str">
            <v>DEDZA</v>
          </cell>
          <cell r="K122">
            <v>6</v>
          </cell>
        </row>
        <row r="123">
          <cell r="A123" t="str">
            <v>RS 620</v>
          </cell>
          <cell r="B123">
            <v>442</v>
          </cell>
          <cell r="C123" t="str">
            <v>C</v>
          </cell>
          <cell r="D123" t="str">
            <v>F</v>
          </cell>
          <cell r="E123" t="str">
            <v>Livuwadzi River (North) - Chilanga</v>
          </cell>
          <cell r="F123" t="str">
            <v>T373</v>
          </cell>
          <cell r="G123">
            <v>4</v>
          </cell>
          <cell r="H123">
            <v>4.7</v>
          </cell>
          <cell r="I123" t="str">
            <v>FL</v>
          </cell>
          <cell r="J123" t="str">
            <v>DEDZA</v>
          </cell>
          <cell r="K123">
            <v>6</v>
          </cell>
        </row>
        <row r="124">
          <cell r="A124" t="str">
            <v>RS 618</v>
          </cell>
          <cell r="B124">
            <v>440</v>
          </cell>
          <cell r="C124" t="str">
            <v>C</v>
          </cell>
          <cell r="D124" t="str">
            <v>F</v>
          </cell>
          <cell r="E124" t="str">
            <v>Nkhonga - Livuwadzi river (South)</v>
          </cell>
          <cell r="F124" t="str">
            <v>T373</v>
          </cell>
          <cell r="G124">
            <v>5</v>
          </cell>
          <cell r="H124">
            <v>5.7</v>
          </cell>
          <cell r="I124" t="str">
            <v>R</v>
          </cell>
          <cell r="J124" t="str">
            <v>DEDZA</v>
          </cell>
          <cell r="K124">
            <v>6</v>
          </cell>
        </row>
        <row r="125">
          <cell r="A125" t="str">
            <v>RS 617</v>
          </cell>
          <cell r="B125">
            <v>439</v>
          </cell>
          <cell r="C125" t="str">
            <v>C</v>
          </cell>
          <cell r="D125" t="str">
            <v>F</v>
          </cell>
          <cell r="E125" t="str">
            <v>Kapesi (junction M1) - Mlunduni</v>
          </cell>
          <cell r="F125" t="str">
            <v>T374</v>
          </cell>
          <cell r="G125">
            <v>1</v>
          </cell>
          <cell r="H125">
            <v>9.1999999999999993</v>
          </cell>
          <cell r="I125" t="str">
            <v>R</v>
          </cell>
          <cell r="J125" t="str">
            <v>DEDZA</v>
          </cell>
          <cell r="K125">
            <v>6</v>
          </cell>
          <cell r="L125" t="str">
            <v>Changed designation from D226 to T374</v>
          </cell>
        </row>
        <row r="126">
          <cell r="A126" t="str">
            <v>RS 627</v>
          </cell>
          <cell r="B126">
            <v>449</v>
          </cell>
          <cell r="C126" t="str">
            <v>C</v>
          </cell>
          <cell r="D126" t="str">
            <v>F</v>
          </cell>
          <cell r="E126" t="str">
            <v>Mlunduni - Namilulu</v>
          </cell>
          <cell r="F126" t="str">
            <v>T374</v>
          </cell>
          <cell r="G126">
            <v>2</v>
          </cell>
          <cell r="H126">
            <v>4.5</v>
          </cell>
          <cell r="I126" t="str">
            <v>R</v>
          </cell>
          <cell r="J126" t="str">
            <v>DEDZA</v>
          </cell>
          <cell r="K126">
            <v>6</v>
          </cell>
        </row>
        <row r="127">
          <cell r="A127" t="str">
            <v>RS 622</v>
          </cell>
          <cell r="B127">
            <v>444</v>
          </cell>
          <cell r="C127" t="str">
            <v>C</v>
          </cell>
          <cell r="D127" t="str">
            <v>F</v>
          </cell>
          <cell r="E127" t="str">
            <v>Namilulu - Kumayani</v>
          </cell>
          <cell r="F127" t="str">
            <v>T374</v>
          </cell>
          <cell r="G127">
            <v>3</v>
          </cell>
          <cell r="H127">
            <v>10.199999999999999</v>
          </cell>
          <cell r="I127" t="str">
            <v>H</v>
          </cell>
          <cell r="J127" t="str">
            <v>DEDZA</v>
          </cell>
          <cell r="K127">
            <v>6</v>
          </cell>
        </row>
        <row r="128">
          <cell r="A128" t="str">
            <v>RS 623</v>
          </cell>
          <cell r="B128">
            <v>445</v>
          </cell>
          <cell r="C128" t="str">
            <v>C</v>
          </cell>
          <cell r="D128" t="str">
            <v>F</v>
          </cell>
          <cell r="E128" t="str">
            <v>Kumayani - Tembwe</v>
          </cell>
          <cell r="F128" t="str">
            <v>T374</v>
          </cell>
          <cell r="G128">
            <v>4</v>
          </cell>
          <cell r="H128">
            <v>2.2000000000000002</v>
          </cell>
          <cell r="I128" t="str">
            <v>M</v>
          </cell>
          <cell r="J128" t="str">
            <v>DEDZA</v>
          </cell>
          <cell r="K128">
            <v>6</v>
          </cell>
        </row>
        <row r="129">
          <cell r="A129" t="str">
            <v>RS 626</v>
          </cell>
          <cell r="B129">
            <v>448</v>
          </cell>
          <cell r="C129" t="str">
            <v>C</v>
          </cell>
          <cell r="D129" t="str">
            <v>F</v>
          </cell>
          <cell r="E129" t="str">
            <v>Tembwe - Mlulu River</v>
          </cell>
          <cell r="F129" t="str">
            <v>T374</v>
          </cell>
          <cell r="G129">
            <v>5</v>
          </cell>
          <cell r="H129">
            <v>5.6</v>
          </cell>
          <cell r="I129" t="str">
            <v>M</v>
          </cell>
          <cell r="J129" t="str">
            <v>DEDZA</v>
          </cell>
          <cell r="K129">
            <v>6</v>
          </cell>
        </row>
        <row r="130">
          <cell r="A130" t="str">
            <v>RS 624</v>
          </cell>
          <cell r="B130">
            <v>446</v>
          </cell>
          <cell r="C130" t="str">
            <v>C</v>
          </cell>
          <cell r="D130" t="str">
            <v>F</v>
          </cell>
          <cell r="E130" t="str">
            <v>Mlulu River - Kuntawanga</v>
          </cell>
          <cell r="F130" t="str">
            <v>T374</v>
          </cell>
          <cell r="G130">
            <v>6</v>
          </cell>
          <cell r="H130">
            <v>6.7</v>
          </cell>
          <cell r="I130" t="str">
            <v>H</v>
          </cell>
          <cell r="J130" t="str">
            <v>DEDZA</v>
          </cell>
          <cell r="K130">
            <v>6</v>
          </cell>
        </row>
        <row r="131">
          <cell r="A131" t="str">
            <v>RS 621</v>
          </cell>
          <cell r="B131">
            <v>443</v>
          </cell>
          <cell r="C131" t="str">
            <v>C</v>
          </cell>
          <cell r="D131" t="str">
            <v>F</v>
          </cell>
          <cell r="E131" t="str">
            <v>Kuntawanga - Mayani</v>
          </cell>
          <cell r="F131" t="str">
            <v>T374</v>
          </cell>
          <cell r="G131">
            <v>7</v>
          </cell>
          <cell r="H131">
            <v>3.6</v>
          </cell>
          <cell r="I131" t="str">
            <v>FL</v>
          </cell>
          <cell r="J131" t="str">
            <v>DEDZA</v>
          </cell>
          <cell r="K131">
            <v>6</v>
          </cell>
        </row>
        <row r="132">
          <cell r="A132" t="str">
            <v>RS 631</v>
          </cell>
          <cell r="B132">
            <v>453</v>
          </cell>
          <cell r="C132" t="str">
            <v>C</v>
          </cell>
          <cell r="D132" t="str">
            <v>F</v>
          </cell>
          <cell r="E132" t="str">
            <v>Linthipe River Bridge- Chaseta</v>
          </cell>
          <cell r="F132" t="str">
            <v>T375</v>
          </cell>
          <cell r="G132">
            <v>1</v>
          </cell>
          <cell r="H132">
            <v>12.3</v>
          </cell>
          <cell r="I132" t="str">
            <v>H</v>
          </cell>
          <cell r="J132" t="str">
            <v>SALIMA</v>
          </cell>
          <cell r="K132">
            <v>6</v>
          </cell>
        </row>
        <row r="133">
          <cell r="A133" t="str">
            <v>RS 629</v>
          </cell>
          <cell r="B133">
            <v>451</v>
          </cell>
          <cell r="C133" t="str">
            <v>C</v>
          </cell>
          <cell r="D133" t="str">
            <v>F</v>
          </cell>
          <cell r="E133" t="str">
            <v>Chaseta - Mponde</v>
          </cell>
          <cell r="F133" t="str">
            <v>T375</v>
          </cell>
          <cell r="G133">
            <v>2</v>
          </cell>
          <cell r="H133">
            <v>11</v>
          </cell>
          <cell r="I133" t="str">
            <v>M</v>
          </cell>
          <cell r="J133" t="str">
            <v>DEDZA</v>
          </cell>
          <cell r="K133">
            <v>6</v>
          </cell>
        </row>
        <row r="134">
          <cell r="A134" t="str">
            <v>RS 632</v>
          </cell>
          <cell r="B134">
            <v>454</v>
          </cell>
          <cell r="C134" t="str">
            <v>C</v>
          </cell>
          <cell r="D134" t="str">
            <v>F</v>
          </cell>
          <cell r="E134" t="str">
            <v>Mponde - Gwengwe</v>
          </cell>
          <cell r="F134" t="str">
            <v>T375</v>
          </cell>
          <cell r="G134">
            <v>3</v>
          </cell>
          <cell r="H134">
            <v>8</v>
          </cell>
          <cell r="I134" t="str">
            <v>R</v>
          </cell>
          <cell r="J134" t="str">
            <v>DEDZA</v>
          </cell>
          <cell r="K134">
            <v>6</v>
          </cell>
        </row>
        <row r="135">
          <cell r="A135" t="str">
            <v>RS 628</v>
          </cell>
          <cell r="B135">
            <v>450</v>
          </cell>
          <cell r="C135" t="str">
            <v>C</v>
          </cell>
          <cell r="D135" t="str">
            <v>F</v>
          </cell>
          <cell r="E135" t="str">
            <v>Gwengwe - Ngombe</v>
          </cell>
          <cell r="F135" t="str">
            <v>T375</v>
          </cell>
          <cell r="G135">
            <v>4</v>
          </cell>
          <cell r="H135">
            <v>3.9</v>
          </cell>
          <cell r="I135" t="str">
            <v>R</v>
          </cell>
          <cell r="J135" t="str">
            <v>DEDZA</v>
          </cell>
          <cell r="K135">
            <v>6</v>
          </cell>
        </row>
        <row r="136">
          <cell r="A136" t="str">
            <v>RS 630</v>
          </cell>
          <cell r="B136">
            <v>452</v>
          </cell>
          <cell r="C136" t="str">
            <v>C</v>
          </cell>
          <cell r="D136" t="str">
            <v>F</v>
          </cell>
          <cell r="E136" t="str">
            <v>Ngombe - Mayani</v>
          </cell>
          <cell r="F136" t="str">
            <v>T375</v>
          </cell>
          <cell r="G136">
            <v>5</v>
          </cell>
          <cell r="H136">
            <v>4.8</v>
          </cell>
          <cell r="I136" t="str">
            <v>R</v>
          </cell>
          <cell r="J136" t="str">
            <v>DEDZA</v>
          </cell>
          <cell r="K136">
            <v>6</v>
          </cell>
        </row>
        <row r="137">
          <cell r="A137" t="str">
            <v>RS 625</v>
          </cell>
          <cell r="B137">
            <v>447</v>
          </cell>
          <cell r="C137" t="str">
            <v>C</v>
          </cell>
          <cell r="D137" t="str">
            <v>F</v>
          </cell>
          <cell r="E137" t="str">
            <v>Mayani - Livuwadzi River</v>
          </cell>
          <cell r="F137" t="str">
            <v>T375</v>
          </cell>
          <cell r="G137">
            <v>6</v>
          </cell>
          <cell r="H137">
            <v>9.9</v>
          </cell>
          <cell r="I137" t="str">
            <v>FL</v>
          </cell>
          <cell r="J137" t="str">
            <v>DEDZA</v>
          </cell>
          <cell r="K137">
            <v>6</v>
          </cell>
          <cell r="L137" t="str">
            <v>Changed designation from T374 to T375</v>
          </cell>
        </row>
        <row r="138">
          <cell r="A138" t="str">
            <v>RS 613</v>
          </cell>
          <cell r="B138">
            <v>435</v>
          </cell>
          <cell r="C138" t="str">
            <v>C</v>
          </cell>
          <cell r="D138" t="str">
            <v>F</v>
          </cell>
          <cell r="E138" t="str">
            <v>Bembeke turnoff (junction M1) - Bembeke</v>
          </cell>
          <cell r="F138" t="str">
            <v>T376</v>
          </cell>
          <cell r="G138">
            <v>1</v>
          </cell>
          <cell r="H138">
            <v>9.8000000000000007</v>
          </cell>
          <cell r="I138" t="str">
            <v>R</v>
          </cell>
          <cell r="J138" t="str">
            <v>DEDZA</v>
          </cell>
          <cell r="K138">
            <v>7</v>
          </cell>
          <cell r="L138" t="str">
            <v>Changed designation from T372 to T376</v>
          </cell>
        </row>
        <row r="139">
          <cell r="A139" t="str">
            <v>RS 615</v>
          </cell>
          <cell r="B139">
            <v>437</v>
          </cell>
          <cell r="C139" t="str">
            <v>C</v>
          </cell>
          <cell r="D139" t="str">
            <v>F</v>
          </cell>
          <cell r="E139" t="str">
            <v>Bembeke - Chinkwita</v>
          </cell>
          <cell r="F139" t="str">
            <v>T376</v>
          </cell>
          <cell r="G139">
            <v>2</v>
          </cell>
          <cell r="H139">
            <v>4.5</v>
          </cell>
          <cell r="I139" t="str">
            <v>R</v>
          </cell>
          <cell r="J139" t="str">
            <v>DEDZA</v>
          </cell>
          <cell r="K139">
            <v>7</v>
          </cell>
          <cell r="L139" t="str">
            <v>Changed designation from T372 to T376</v>
          </cell>
        </row>
        <row r="140">
          <cell r="A140" t="str">
            <v>RS 674</v>
          </cell>
          <cell r="B140">
            <v>496</v>
          </cell>
          <cell r="C140" t="str">
            <v>S</v>
          </cell>
          <cell r="D140" t="str">
            <v>F</v>
          </cell>
          <cell r="E140" t="str">
            <v>Nsandu - Chimphamba</v>
          </cell>
          <cell r="F140" t="str">
            <v>T379</v>
          </cell>
          <cell r="G140">
            <v>1</v>
          </cell>
          <cell r="H140">
            <v>3.8</v>
          </cell>
          <cell r="I140" t="str">
            <v>R</v>
          </cell>
          <cell r="J140" t="str">
            <v>MANGOCHI</v>
          </cell>
          <cell r="K140">
            <v>7</v>
          </cell>
          <cell r="L140" t="str">
            <v>Changed designation from T378 to T379</v>
          </cell>
        </row>
        <row r="141">
          <cell r="A141" t="str">
            <v>RS 795</v>
          </cell>
          <cell r="B141">
            <v>617</v>
          </cell>
          <cell r="C141" t="str">
            <v>S</v>
          </cell>
          <cell r="D141" t="str">
            <v>F</v>
          </cell>
          <cell r="E141" t="str">
            <v>Chimphamba - Malembo</v>
          </cell>
          <cell r="F141" t="str">
            <v>T379</v>
          </cell>
          <cell r="G141">
            <v>2</v>
          </cell>
          <cell r="H141">
            <v>19</v>
          </cell>
          <cell r="I141" t="str">
            <v>FL</v>
          </cell>
          <cell r="J141" t="str">
            <v>MANGOCHI</v>
          </cell>
          <cell r="K141">
            <v>7</v>
          </cell>
          <cell r="L141" t="str">
            <v>Changed designation from D231 to T379</v>
          </cell>
        </row>
        <row r="142">
          <cell r="A142" t="str">
            <v>RS 796</v>
          </cell>
          <cell r="B142">
            <v>618</v>
          </cell>
          <cell r="C142" t="str">
            <v>S</v>
          </cell>
          <cell r="D142" t="str">
            <v>F</v>
          </cell>
          <cell r="E142" t="str">
            <v>Malembo - Kuchilipa</v>
          </cell>
          <cell r="F142" t="str">
            <v>T379</v>
          </cell>
          <cell r="G142">
            <v>3</v>
          </cell>
          <cell r="H142">
            <v>2.6</v>
          </cell>
          <cell r="I142" t="str">
            <v>FL</v>
          </cell>
          <cell r="J142" t="str">
            <v>MANGOCHI</v>
          </cell>
          <cell r="K142">
            <v>7</v>
          </cell>
          <cell r="L142" t="str">
            <v>Changed designation from D231 to T379</v>
          </cell>
        </row>
        <row r="143">
          <cell r="A143" t="str">
            <v>RS 634</v>
          </cell>
          <cell r="B143">
            <v>456</v>
          </cell>
          <cell r="C143" t="str">
            <v>C</v>
          </cell>
          <cell r="D143" t="str">
            <v>F</v>
          </cell>
          <cell r="E143" t="str">
            <v>Bemvu - Thumbi River</v>
          </cell>
          <cell r="F143" t="str">
            <v>T380</v>
          </cell>
          <cell r="G143">
            <v>1</v>
          </cell>
          <cell r="H143">
            <v>8.3000000000000007</v>
          </cell>
          <cell r="I143" t="str">
            <v>R</v>
          </cell>
          <cell r="J143" t="str">
            <v>NTCHEU</v>
          </cell>
          <cell r="K143">
            <v>8</v>
          </cell>
        </row>
        <row r="144">
          <cell r="A144" t="str">
            <v>RS 633</v>
          </cell>
          <cell r="B144">
            <v>455</v>
          </cell>
          <cell r="C144" t="str">
            <v>C</v>
          </cell>
          <cell r="D144" t="str">
            <v>F</v>
          </cell>
          <cell r="E144" t="str">
            <v>Thumbi River - Matale</v>
          </cell>
          <cell r="F144" t="str">
            <v>T380</v>
          </cell>
          <cell r="G144">
            <v>2</v>
          </cell>
          <cell r="H144">
            <v>12.6</v>
          </cell>
          <cell r="I144" t="str">
            <v>R</v>
          </cell>
          <cell r="J144" t="str">
            <v>NTCHEU</v>
          </cell>
          <cell r="K144">
            <v>8</v>
          </cell>
        </row>
        <row r="145">
          <cell r="A145" t="str">
            <v>RS 677</v>
          </cell>
          <cell r="B145">
            <v>499</v>
          </cell>
          <cell r="C145" t="str">
            <v>S</v>
          </cell>
          <cell r="D145" t="str">
            <v>F</v>
          </cell>
          <cell r="E145" t="str">
            <v>Chamba - Kungwa River</v>
          </cell>
          <cell r="F145" t="str">
            <v>T381</v>
          </cell>
          <cell r="G145">
            <v>1</v>
          </cell>
          <cell r="H145">
            <v>23.8</v>
          </cell>
          <cell r="I145" t="str">
            <v>FL</v>
          </cell>
          <cell r="J145" t="str">
            <v>MANGOCHI</v>
          </cell>
          <cell r="K145">
            <v>7</v>
          </cell>
        </row>
        <row r="146">
          <cell r="A146" t="str">
            <v>RS 676</v>
          </cell>
          <cell r="B146">
            <v>498</v>
          </cell>
          <cell r="C146" t="str">
            <v>S</v>
          </cell>
          <cell r="D146" t="str">
            <v>F</v>
          </cell>
          <cell r="E146" t="str">
            <v>Kungira River - Nsonde</v>
          </cell>
          <cell r="F146" t="str">
            <v>T381</v>
          </cell>
          <cell r="G146">
            <v>2</v>
          </cell>
          <cell r="H146">
            <v>19.3</v>
          </cell>
          <cell r="I146" t="str">
            <v>R</v>
          </cell>
          <cell r="J146" t="str">
            <v>MANGOCHI &amp; MACHINGA</v>
          </cell>
          <cell r="K146">
            <v>8</v>
          </cell>
        </row>
        <row r="147">
          <cell r="A147" t="str">
            <v>RS 794</v>
          </cell>
          <cell r="B147">
            <v>616</v>
          </cell>
          <cell r="C147" t="str">
            <v>S</v>
          </cell>
          <cell r="D147" t="str">
            <v>F</v>
          </cell>
          <cell r="E147" t="str">
            <v>Nsonde - Kapire</v>
          </cell>
          <cell r="F147" t="str">
            <v>T381</v>
          </cell>
          <cell r="G147">
            <v>3</v>
          </cell>
          <cell r="H147">
            <v>14.7</v>
          </cell>
          <cell r="I147" t="str">
            <v>H</v>
          </cell>
          <cell r="J147" t="str">
            <v>MANGOCHI</v>
          </cell>
          <cell r="K147">
            <v>8</v>
          </cell>
          <cell r="L147" t="str">
            <v>Changed designation from D226 to T381</v>
          </cell>
        </row>
        <row r="148">
          <cell r="A148" t="str">
            <v>RS 673</v>
          </cell>
          <cell r="B148">
            <v>495</v>
          </cell>
          <cell r="C148" t="str">
            <v>S</v>
          </cell>
          <cell r="D148" t="str">
            <v>F</v>
          </cell>
          <cell r="E148" t="str">
            <v>Kapire - Mbela (junction S133)</v>
          </cell>
          <cell r="F148" t="str">
            <v>T381</v>
          </cell>
          <cell r="G148">
            <v>4</v>
          </cell>
          <cell r="H148">
            <v>16.5</v>
          </cell>
          <cell r="I148" t="str">
            <v>H</v>
          </cell>
          <cell r="J148" t="str">
            <v>MACHINGA</v>
          </cell>
          <cell r="K148">
            <v>8</v>
          </cell>
          <cell r="L148" t="str">
            <v>Changed designation from S133  to T381</v>
          </cell>
        </row>
        <row r="149">
          <cell r="A149" t="str">
            <v>RS 675</v>
          </cell>
          <cell r="B149">
            <v>497</v>
          </cell>
          <cell r="C149" t="str">
            <v>S</v>
          </cell>
          <cell r="D149" t="str">
            <v>F</v>
          </cell>
          <cell r="E149" t="str">
            <v xml:space="preserve"> Chantulo (junction M10) - Bwanje </v>
          </cell>
          <cell r="F149" t="str">
            <v>T382</v>
          </cell>
          <cell r="G149">
            <v>1</v>
          </cell>
          <cell r="H149">
            <v>17.899999999999999</v>
          </cell>
          <cell r="I149" t="str">
            <v>FL</v>
          </cell>
          <cell r="J149" t="str">
            <v>MANGOCHI</v>
          </cell>
          <cell r="K149">
            <v>7</v>
          </cell>
          <cell r="L149" t="str">
            <v>Changed designation from T381 toT382</v>
          </cell>
        </row>
        <row r="150">
          <cell r="A150" t="str">
            <v>RS 635</v>
          </cell>
          <cell r="B150">
            <v>457</v>
          </cell>
          <cell r="C150" t="str">
            <v>C</v>
          </cell>
          <cell r="D150" t="str">
            <v>F</v>
          </cell>
          <cell r="E150" t="str">
            <v>Namwiri - Kasinje (junction M5)</v>
          </cell>
          <cell r="F150" t="str">
            <v>T382</v>
          </cell>
          <cell r="G150">
            <v>2</v>
          </cell>
          <cell r="H150">
            <v>14.4</v>
          </cell>
          <cell r="I150" t="str">
            <v>FL</v>
          </cell>
          <cell r="J150" t="str">
            <v>NTCHEU</v>
          </cell>
          <cell r="K150">
            <v>8</v>
          </cell>
          <cell r="L150" t="str">
            <v>Changed designation from T381 toT382</v>
          </cell>
        </row>
        <row r="151">
          <cell r="A151" t="str">
            <v>RS 637</v>
          </cell>
          <cell r="B151">
            <v>459</v>
          </cell>
          <cell r="C151" t="str">
            <v>C</v>
          </cell>
          <cell r="D151" t="str">
            <v>F</v>
          </cell>
          <cell r="E151" t="str">
            <v>Khwekhwelele (junction (S127) - Nkhulo</v>
          </cell>
          <cell r="F151" t="str">
            <v>T383</v>
          </cell>
          <cell r="G151">
            <v>1</v>
          </cell>
          <cell r="H151">
            <v>12.2</v>
          </cell>
          <cell r="I151" t="str">
            <v>R</v>
          </cell>
          <cell r="J151" t="str">
            <v>NTCHEU</v>
          </cell>
          <cell r="K151">
            <v>8</v>
          </cell>
        </row>
        <row r="152">
          <cell r="A152" t="str">
            <v>RS 636</v>
          </cell>
          <cell r="B152">
            <v>458</v>
          </cell>
          <cell r="C152" t="str">
            <v>C</v>
          </cell>
          <cell r="D152" t="str">
            <v>F</v>
          </cell>
          <cell r="E152" t="str">
            <v>Nkhulo - Musso</v>
          </cell>
          <cell r="F152" t="str">
            <v>T383</v>
          </cell>
          <cell r="G152">
            <v>2</v>
          </cell>
          <cell r="H152">
            <v>6.9</v>
          </cell>
          <cell r="I152" t="str">
            <v>R</v>
          </cell>
          <cell r="J152" t="str">
            <v>NTCHEU</v>
          </cell>
          <cell r="K152">
            <v>8</v>
          </cell>
        </row>
        <row r="153">
          <cell r="A153" t="str">
            <v>RS 638</v>
          </cell>
          <cell r="B153">
            <v>460</v>
          </cell>
          <cell r="C153" t="str">
            <v>C</v>
          </cell>
          <cell r="D153" t="str">
            <v>F</v>
          </cell>
          <cell r="E153" t="str">
            <v>Musso - Kandeu (junction S134)</v>
          </cell>
          <cell r="F153" t="str">
            <v>T383</v>
          </cell>
          <cell r="G153">
            <v>3</v>
          </cell>
          <cell r="H153">
            <v>4.5</v>
          </cell>
          <cell r="I153" t="str">
            <v>R</v>
          </cell>
          <cell r="J153" t="str">
            <v>NTCHEU</v>
          </cell>
          <cell r="K153">
            <v>8</v>
          </cell>
        </row>
        <row r="154">
          <cell r="A154" t="str">
            <v>RS 641</v>
          </cell>
          <cell r="B154">
            <v>463</v>
          </cell>
          <cell r="C154" t="str">
            <v>C</v>
          </cell>
          <cell r="D154" t="str">
            <v>F</v>
          </cell>
          <cell r="E154" t="str">
            <v>Bilila (junction M5) - Linengwe River</v>
          </cell>
          <cell r="F154" t="str">
            <v>T384</v>
          </cell>
          <cell r="G154">
            <v>1</v>
          </cell>
          <cell r="H154">
            <v>5</v>
          </cell>
          <cell r="I154" t="str">
            <v>FL</v>
          </cell>
          <cell r="J154" t="str">
            <v>NTCHEU</v>
          </cell>
          <cell r="K154">
            <v>8</v>
          </cell>
        </row>
        <row r="155">
          <cell r="A155" t="str">
            <v>RS 643</v>
          </cell>
          <cell r="B155">
            <v>465</v>
          </cell>
          <cell r="C155" t="str">
            <v>C</v>
          </cell>
          <cell r="D155" t="str">
            <v>F</v>
          </cell>
          <cell r="E155" t="str">
            <v>Linengwe River - Njereza</v>
          </cell>
          <cell r="F155" t="str">
            <v>T384</v>
          </cell>
          <cell r="G155">
            <v>2</v>
          </cell>
          <cell r="H155">
            <v>6.8</v>
          </cell>
          <cell r="I155" t="str">
            <v>FL</v>
          </cell>
          <cell r="J155" t="str">
            <v>NTCHEU</v>
          </cell>
          <cell r="K155">
            <v>8</v>
          </cell>
        </row>
        <row r="156">
          <cell r="A156" t="str">
            <v>RS 645</v>
          </cell>
          <cell r="B156">
            <v>467</v>
          </cell>
          <cell r="C156" t="str">
            <v>C</v>
          </cell>
          <cell r="D156" t="str">
            <v>F</v>
          </cell>
          <cell r="E156" t="str">
            <v>Njereza - Chauya</v>
          </cell>
          <cell r="F156" t="str">
            <v>T384</v>
          </cell>
          <cell r="G156">
            <v>3</v>
          </cell>
          <cell r="H156">
            <v>4.9000000000000004</v>
          </cell>
          <cell r="I156" t="str">
            <v>R</v>
          </cell>
          <cell r="J156" t="str">
            <v>NTCHEU</v>
          </cell>
          <cell r="K156">
            <v>8</v>
          </cell>
        </row>
        <row r="157">
          <cell r="A157" t="str">
            <v>RS 640</v>
          </cell>
          <cell r="B157">
            <v>462</v>
          </cell>
          <cell r="C157" t="str">
            <v>C</v>
          </cell>
          <cell r="D157" t="str">
            <v>F</v>
          </cell>
          <cell r="E157" t="str">
            <v>Chauya - Chirigwalo</v>
          </cell>
          <cell r="F157" t="str">
            <v>T384</v>
          </cell>
          <cell r="G157">
            <v>4</v>
          </cell>
          <cell r="H157">
            <v>8.8000000000000007</v>
          </cell>
          <cell r="I157" t="str">
            <v>R</v>
          </cell>
          <cell r="J157" t="str">
            <v>NTCHEU</v>
          </cell>
          <cell r="K157">
            <v>8</v>
          </cell>
        </row>
        <row r="158">
          <cell r="A158" t="str">
            <v>RS 639</v>
          </cell>
          <cell r="B158">
            <v>461</v>
          </cell>
          <cell r="C158" t="str">
            <v>C</v>
          </cell>
          <cell r="D158" t="str">
            <v>F</v>
          </cell>
          <cell r="E158" t="str">
            <v>Chirigwalo - Kansapato (junction S134)</v>
          </cell>
          <cell r="F158" t="str">
            <v>T384</v>
          </cell>
          <cell r="G158">
            <v>5</v>
          </cell>
          <cell r="H158">
            <v>8.9</v>
          </cell>
          <cell r="I158" t="str">
            <v>FL</v>
          </cell>
          <cell r="J158" t="str">
            <v>NTCHEU</v>
          </cell>
          <cell r="K158">
            <v>8</v>
          </cell>
        </row>
        <row r="159">
          <cell r="A159" t="str">
            <v>RS 680</v>
          </cell>
          <cell r="B159">
            <v>502</v>
          </cell>
          <cell r="C159" t="str">
            <v>S</v>
          </cell>
          <cell r="D159" t="str">
            <v>F</v>
          </cell>
          <cell r="E159" t="str">
            <v>Mangochi - Issa</v>
          </cell>
          <cell r="F159" t="str">
            <v>T385</v>
          </cell>
          <cell r="G159">
            <v>1</v>
          </cell>
          <cell r="H159">
            <v>13</v>
          </cell>
          <cell r="I159" t="str">
            <v>FL</v>
          </cell>
          <cell r="J159" t="str">
            <v>MANGOCHI</v>
          </cell>
          <cell r="K159">
            <v>8</v>
          </cell>
        </row>
        <row r="160">
          <cell r="A160" t="str">
            <v>RS 678</v>
          </cell>
          <cell r="B160">
            <v>500</v>
          </cell>
          <cell r="C160" t="str">
            <v>S</v>
          </cell>
          <cell r="D160" t="str">
            <v>F</v>
          </cell>
          <cell r="E160" t="str">
            <v>Issa - Katete River</v>
          </cell>
          <cell r="F160" t="str">
            <v>T385</v>
          </cell>
          <cell r="G160">
            <v>2</v>
          </cell>
          <cell r="H160">
            <v>15.4</v>
          </cell>
          <cell r="I160" t="str">
            <v>R</v>
          </cell>
          <cell r="J160" t="str">
            <v>MANGOCHI</v>
          </cell>
          <cell r="K160">
            <v>8</v>
          </cell>
        </row>
        <row r="161">
          <cell r="A161" t="str">
            <v>RS 679</v>
          </cell>
          <cell r="B161">
            <v>501</v>
          </cell>
          <cell r="C161" t="str">
            <v>S</v>
          </cell>
          <cell r="D161" t="str">
            <v>F</v>
          </cell>
          <cell r="E161" t="str">
            <v>Katete River - Nsonde</v>
          </cell>
          <cell r="F161" t="str">
            <v>T385</v>
          </cell>
          <cell r="G161">
            <v>3</v>
          </cell>
          <cell r="H161">
            <v>23.4</v>
          </cell>
          <cell r="I161" t="str">
            <v>R</v>
          </cell>
          <cell r="J161" t="str">
            <v>MACHINGA</v>
          </cell>
          <cell r="K161">
            <v>8</v>
          </cell>
        </row>
        <row r="162">
          <cell r="A162" t="str">
            <v>RS 681</v>
          </cell>
          <cell r="B162">
            <v>503</v>
          </cell>
          <cell r="C162" t="str">
            <v>S</v>
          </cell>
          <cell r="D162" t="str">
            <v>F</v>
          </cell>
          <cell r="E162" t="str">
            <v>Nsonde - Nankulukuti</v>
          </cell>
          <cell r="F162" t="str">
            <v>T385</v>
          </cell>
          <cell r="G162">
            <v>4</v>
          </cell>
          <cell r="H162">
            <v>8.5</v>
          </cell>
          <cell r="I162" t="str">
            <v>R</v>
          </cell>
          <cell r="J162" t="str">
            <v>MANGOCHI</v>
          </cell>
          <cell r="K162">
            <v>8</v>
          </cell>
        </row>
        <row r="163">
          <cell r="A163" t="str">
            <v>RS 646</v>
          </cell>
          <cell r="B163">
            <v>468</v>
          </cell>
          <cell r="C163" t="str">
            <v>C</v>
          </cell>
          <cell r="D163" t="str">
            <v>F</v>
          </cell>
          <cell r="E163" t="str">
            <v>Nankulukuti - Nampoya</v>
          </cell>
          <cell r="F163" t="str">
            <v>T385</v>
          </cell>
          <cell r="G163">
            <v>5</v>
          </cell>
          <cell r="H163">
            <v>8.1999999999999993</v>
          </cell>
          <cell r="I163" t="str">
            <v>FL</v>
          </cell>
          <cell r="J163" t="str">
            <v>NTCHEU</v>
          </cell>
          <cell r="K163">
            <v>8</v>
          </cell>
        </row>
        <row r="164">
          <cell r="A164" t="str">
            <v>RS 647</v>
          </cell>
          <cell r="B164">
            <v>469</v>
          </cell>
          <cell r="C164" t="str">
            <v>C</v>
          </cell>
          <cell r="D164" t="str">
            <v>F</v>
          </cell>
          <cell r="E164" t="str">
            <v>Nampoya - Linengwe River</v>
          </cell>
          <cell r="F164" t="str">
            <v>T385</v>
          </cell>
          <cell r="G164">
            <v>6</v>
          </cell>
          <cell r="H164">
            <v>9</v>
          </cell>
          <cell r="I164" t="str">
            <v>FL</v>
          </cell>
          <cell r="J164" t="str">
            <v>NTCHEU</v>
          </cell>
          <cell r="K164">
            <v>8</v>
          </cell>
        </row>
        <row r="165">
          <cell r="A165" t="str">
            <v>RS 684</v>
          </cell>
          <cell r="B165">
            <v>506</v>
          </cell>
          <cell r="C165" t="str">
            <v>S</v>
          </cell>
          <cell r="D165" t="str">
            <v>F</v>
          </cell>
          <cell r="E165" t="str">
            <v>Idulusi (junction M3) - Itunji</v>
          </cell>
          <cell r="F165" t="str">
            <v>T386</v>
          </cell>
          <cell r="G165">
            <v>1</v>
          </cell>
          <cell r="H165">
            <v>16</v>
          </cell>
          <cell r="I165" t="str">
            <v>R</v>
          </cell>
          <cell r="J165" t="str">
            <v>MANGOCHI</v>
          </cell>
          <cell r="K165">
            <v>7</v>
          </cell>
        </row>
        <row r="166">
          <cell r="A166" t="str">
            <v>RS 682</v>
          </cell>
          <cell r="B166">
            <v>504</v>
          </cell>
          <cell r="C166" t="str">
            <v>S</v>
          </cell>
          <cell r="D166" t="str">
            <v>F</v>
          </cell>
          <cell r="E166" t="str">
            <v>Itunji - Mpita</v>
          </cell>
          <cell r="F166" t="str">
            <v>T386</v>
          </cell>
          <cell r="G166">
            <v>2</v>
          </cell>
          <cell r="H166">
            <v>13.9</v>
          </cell>
          <cell r="I166" t="str">
            <v>R</v>
          </cell>
          <cell r="J166" t="str">
            <v>MANGOCHI</v>
          </cell>
          <cell r="K166">
            <v>7</v>
          </cell>
        </row>
        <row r="167">
          <cell r="A167" t="str">
            <v>RS 683</v>
          </cell>
          <cell r="B167">
            <v>505</v>
          </cell>
          <cell r="C167" t="str">
            <v>S</v>
          </cell>
          <cell r="D167" t="str">
            <v>F</v>
          </cell>
          <cell r="E167" t="str">
            <v>Mpita - Kwisimba</v>
          </cell>
          <cell r="F167" t="str">
            <v>T386</v>
          </cell>
          <cell r="G167">
            <v>3</v>
          </cell>
          <cell r="H167">
            <v>8.8000000000000007</v>
          </cell>
          <cell r="I167" t="str">
            <v>R</v>
          </cell>
          <cell r="J167" t="str">
            <v>MANGOCHI</v>
          </cell>
          <cell r="K167">
            <v>7</v>
          </cell>
        </row>
        <row r="168">
          <cell r="A168" t="str">
            <v>RS 797</v>
          </cell>
          <cell r="B168">
            <v>619</v>
          </cell>
          <cell r="C168" t="str">
            <v>S</v>
          </cell>
          <cell r="D168" t="str">
            <v>F</v>
          </cell>
          <cell r="E168" t="str">
            <v>Namwera - Chithumba</v>
          </cell>
          <cell r="F168" t="str">
            <v>T387</v>
          </cell>
          <cell r="G168">
            <v>1</v>
          </cell>
          <cell r="H168">
            <v>9.3000000000000007</v>
          </cell>
          <cell r="I168" t="str">
            <v>FL</v>
          </cell>
          <cell r="J168" t="str">
            <v>MANGOCHI</v>
          </cell>
          <cell r="K168">
            <v>7</v>
          </cell>
          <cell r="L168" t="str">
            <v>Changed designation from D232 to T387</v>
          </cell>
        </row>
        <row r="169">
          <cell r="A169" t="str">
            <v>RS 798</v>
          </cell>
          <cell r="B169">
            <v>620</v>
          </cell>
          <cell r="C169" t="str">
            <v>S</v>
          </cell>
          <cell r="D169" t="str">
            <v>F</v>
          </cell>
          <cell r="E169" t="str">
            <v>Chithumba - ID/Y</v>
          </cell>
          <cell r="F169" t="str">
            <v>T387</v>
          </cell>
          <cell r="G169">
            <v>2</v>
          </cell>
          <cell r="H169">
            <v>21.4</v>
          </cell>
          <cell r="I169" t="str">
            <v>FL</v>
          </cell>
          <cell r="J169" t="str">
            <v>MANGOCHI</v>
          </cell>
          <cell r="K169">
            <v>7</v>
          </cell>
          <cell r="L169" t="str">
            <v>Changed designation from D232 to T387</v>
          </cell>
        </row>
        <row r="170">
          <cell r="A170" t="str">
            <v>RS 688</v>
          </cell>
          <cell r="B170">
            <v>510</v>
          </cell>
          <cell r="C170" t="str">
            <v>S</v>
          </cell>
          <cell r="D170" t="str">
            <v>F</v>
          </cell>
          <cell r="E170" t="str">
            <v>Mbalula - Lingamadzi River</v>
          </cell>
          <cell r="F170" t="str">
            <v>T388</v>
          </cell>
          <cell r="G170">
            <v>1</v>
          </cell>
          <cell r="H170">
            <v>11.7</v>
          </cell>
          <cell r="I170" t="str">
            <v>R</v>
          </cell>
          <cell r="J170" t="str">
            <v>MANGOCHI</v>
          </cell>
          <cell r="K170">
            <v>8</v>
          </cell>
        </row>
        <row r="171">
          <cell r="A171" t="str">
            <v>RS 689</v>
          </cell>
          <cell r="B171">
            <v>511</v>
          </cell>
          <cell r="C171" t="str">
            <v>S</v>
          </cell>
          <cell r="D171" t="str">
            <v>F</v>
          </cell>
          <cell r="E171" t="str">
            <v>Lingamadzi River - Malombe</v>
          </cell>
          <cell r="F171" t="str">
            <v>T388</v>
          </cell>
          <cell r="G171">
            <v>2</v>
          </cell>
          <cell r="H171">
            <v>16.399999999999999</v>
          </cell>
          <cell r="I171" t="str">
            <v>FL</v>
          </cell>
          <cell r="J171" t="str">
            <v>MANGOCHI</v>
          </cell>
          <cell r="K171">
            <v>8</v>
          </cell>
        </row>
        <row r="172">
          <cell r="A172" t="str">
            <v>RS 687</v>
          </cell>
          <cell r="B172">
            <v>509</v>
          </cell>
          <cell r="C172" t="str">
            <v>S</v>
          </cell>
          <cell r="D172" t="str">
            <v>F</v>
          </cell>
          <cell r="E172" t="str">
            <v>Malombe - Masanje River</v>
          </cell>
          <cell r="F172" t="str">
            <v>T388</v>
          </cell>
          <cell r="G172">
            <v>3</v>
          </cell>
          <cell r="H172">
            <v>25.4</v>
          </cell>
          <cell r="I172" t="str">
            <v>R</v>
          </cell>
          <cell r="J172" t="str">
            <v>MANGOCHI</v>
          </cell>
          <cell r="K172">
            <v>8</v>
          </cell>
        </row>
        <row r="173">
          <cell r="A173" t="str">
            <v>RS 686</v>
          </cell>
          <cell r="B173">
            <v>508</v>
          </cell>
          <cell r="C173" t="str">
            <v>S</v>
          </cell>
          <cell r="D173" t="str">
            <v>F</v>
          </cell>
          <cell r="E173" t="str">
            <v>Masanje River - Namandanje River</v>
          </cell>
          <cell r="F173" t="str">
            <v>T388</v>
          </cell>
          <cell r="G173">
            <v>4</v>
          </cell>
          <cell r="H173">
            <v>12.1</v>
          </cell>
          <cell r="I173" t="str">
            <v>R</v>
          </cell>
          <cell r="J173" t="str">
            <v>MANGOCHI &amp; MACHINGA</v>
          </cell>
          <cell r="K173">
            <v>8</v>
          </cell>
        </row>
        <row r="174">
          <cell r="A174" t="str">
            <v>RS 694</v>
          </cell>
          <cell r="B174">
            <v>516</v>
          </cell>
          <cell r="C174" t="str">
            <v>S</v>
          </cell>
          <cell r="D174" t="str">
            <v>F</v>
          </cell>
          <cell r="E174" t="str">
            <v>Masuku (junction S131) - Nakapa</v>
          </cell>
          <cell r="F174" t="str">
            <v>T389</v>
          </cell>
          <cell r="G174">
            <v>1</v>
          </cell>
          <cell r="H174">
            <v>7.9</v>
          </cell>
          <cell r="I174" t="str">
            <v>R</v>
          </cell>
          <cell r="J174" t="str">
            <v>MANGOCHI</v>
          </cell>
          <cell r="K174">
            <v>8</v>
          </cell>
        </row>
        <row r="175">
          <cell r="A175" t="str">
            <v>RS 690</v>
          </cell>
          <cell r="B175">
            <v>512</v>
          </cell>
          <cell r="C175" t="str">
            <v>S</v>
          </cell>
          <cell r="D175" t="str">
            <v>F</v>
          </cell>
          <cell r="E175" t="str">
            <v>Nakapa - Lisimba Estate</v>
          </cell>
          <cell r="F175" t="str">
            <v>T389</v>
          </cell>
          <cell r="G175">
            <v>2</v>
          </cell>
          <cell r="H175">
            <v>4.4000000000000004</v>
          </cell>
          <cell r="I175" t="str">
            <v>R</v>
          </cell>
          <cell r="J175" t="str">
            <v>MANGOCHI</v>
          </cell>
          <cell r="K175">
            <v>8</v>
          </cell>
        </row>
        <row r="176">
          <cell r="A176" t="str">
            <v>RS 692</v>
          </cell>
          <cell r="B176">
            <v>514</v>
          </cell>
          <cell r="C176" t="str">
            <v>S</v>
          </cell>
          <cell r="D176" t="str">
            <v>F</v>
          </cell>
          <cell r="E176" t="str">
            <v>Lisimba Estate - Nyenyezi River</v>
          </cell>
          <cell r="F176" t="str">
            <v>T389</v>
          </cell>
          <cell r="G176">
            <v>3</v>
          </cell>
          <cell r="H176">
            <v>8.9</v>
          </cell>
          <cell r="I176" t="str">
            <v>R</v>
          </cell>
          <cell r="J176" t="str">
            <v>MANGOCHI</v>
          </cell>
          <cell r="K176">
            <v>8</v>
          </cell>
        </row>
        <row r="177">
          <cell r="A177" t="str">
            <v>RS 693</v>
          </cell>
          <cell r="B177">
            <v>515</v>
          </cell>
          <cell r="C177" t="str">
            <v>S</v>
          </cell>
          <cell r="D177" t="str">
            <v>F</v>
          </cell>
          <cell r="E177" t="str">
            <v>Nyenyezi River - Nkwepere ADMARC</v>
          </cell>
          <cell r="F177" t="str">
            <v>T389</v>
          </cell>
          <cell r="G177">
            <v>4</v>
          </cell>
          <cell r="H177">
            <v>5.0999999999999996</v>
          </cell>
          <cell r="I177" t="str">
            <v>R</v>
          </cell>
          <cell r="J177" t="str">
            <v>MANGOCHI</v>
          </cell>
          <cell r="K177">
            <v>8</v>
          </cell>
        </row>
        <row r="178">
          <cell r="A178" t="str">
            <v>RS 691</v>
          </cell>
          <cell r="B178">
            <v>513</v>
          </cell>
          <cell r="C178" t="str">
            <v>S</v>
          </cell>
          <cell r="D178" t="str">
            <v>F</v>
          </cell>
          <cell r="E178" t="str">
            <v>Nkwepele ADMARC - Nantwe</v>
          </cell>
          <cell r="F178" t="str">
            <v>T389</v>
          </cell>
          <cell r="G178">
            <v>5</v>
          </cell>
          <cell r="H178">
            <v>19.100000000000001</v>
          </cell>
          <cell r="I178" t="str">
            <v>R</v>
          </cell>
          <cell r="J178" t="str">
            <v>MANGOCHI</v>
          </cell>
          <cell r="K178">
            <v>8</v>
          </cell>
        </row>
        <row r="179">
          <cell r="A179" t="str">
            <v>RS 695</v>
          </cell>
          <cell r="B179">
            <v>517</v>
          </cell>
          <cell r="C179" t="str">
            <v>S</v>
          </cell>
          <cell r="D179" t="str">
            <v>F</v>
          </cell>
          <cell r="E179" t="str">
            <v>Ntaja - Nanyumbu</v>
          </cell>
          <cell r="F179" t="str">
            <v>T390</v>
          </cell>
          <cell r="G179">
            <v>5</v>
          </cell>
          <cell r="H179">
            <v>5.8</v>
          </cell>
          <cell r="I179" t="str">
            <v>R</v>
          </cell>
          <cell r="J179" t="str">
            <v>MACHINGA</v>
          </cell>
          <cell r="K179">
            <v>8</v>
          </cell>
        </row>
        <row r="180">
          <cell r="A180" t="str">
            <v>RS 701</v>
          </cell>
          <cell r="B180">
            <v>523</v>
          </cell>
          <cell r="C180" t="str">
            <v>S</v>
          </cell>
          <cell r="D180" t="str">
            <v>F</v>
          </cell>
          <cell r="E180" t="str">
            <v>Machina - Nkhokwe</v>
          </cell>
          <cell r="F180" t="str">
            <v>T391</v>
          </cell>
          <cell r="G180">
            <v>1</v>
          </cell>
          <cell r="H180">
            <v>16.399999999999999</v>
          </cell>
          <cell r="I180" t="str">
            <v>FL</v>
          </cell>
          <cell r="J180" t="str">
            <v>MACHINGA</v>
          </cell>
          <cell r="K180">
            <v>8</v>
          </cell>
          <cell r="L180" t="str">
            <v>Changed designation from T392 to T391</v>
          </cell>
        </row>
        <row r="181">
          <cell r="A181" t="str">
            <v>RS 702</v>
          </cell>
          <cell r="B181">
            <v>524</v>
          </cell>
          <cell r="C181" t="str">
            <v>S</v>
          </cell>
          <cell r="D181" t="str">
            <v>F</v>
          </cell>
          <cell r="E181" t="str">
            <v>Nkhokwe - Mpakaka</v>
          </cell>
          <cell r="F181" t="str">
            <v>T391</v>
          </cell>
          <cell r="G181">
            <v>2</v>
          </cell>
          <cell r="H181">
            <v>6.8</v>
          </cell>
          <cell r="I181" t="str">
            <v>FL</v>
          </cell>
          <cell r="J181" t="str">
            <v>MACHINGA</v>
          </cell>
          <cell r="K181">
            <v>8</v>
          </cell>
          <cell r="L181" t="str">
            <v>Changed designation from T392 to T391</v>
          </cell>
        </row>
        <row r="182">
          <cell r="A182" t="str">
            <v>RS 700</v>
          </cell>
          <cell r="B182">
            <v>522</v>
          </cell>
          <cell r="C182" t="str">
            <v>S</v>
          </cell>
          <cell r="D182" t="str">
            <v>F</v>
          </cell>
          <cell r="E182" t="str">
            <v>Nantwe - Maundani</v>
          </cell>
          <cell r="F182" t="str">
            <v>T392</v>
          </cell>
          <cell r="G182">
            <v>1</v>
          </cell>
          <cell r="H182">
            <v>3.9</v>
          </cell>
          <cell r="I182" t="str">
            <v>R</v>
          </cell>
          <cell r="J182" t="str">
            <v>MANGOCHI</v>
          </cell>
          <cell r="K182">
            <v>8</v>
          </cell>
        </row>
        <row r="183">
          <cell r="A183" t="str">
            <v>RS 696</v>
          </cell>
          <cell r="B183">
            <v>518</v>
          </cell>
          <cell r="C183" t="str">
            <v>S</v>
          </cell>
          <cell r="D183" t="str">
            <v>F</v>
          </cell>
          <cell r="E183" t="str">
            <v>Maundani - Machina</v>
          </cell>
          <cell r="F183" t="str">
            <v>T392</v>
          </cell>
          <cell r="G183">
            <v>2</v>
          </cell>
          <cell r="H183">
            <v>17</v>
          </cell>
          <cell r="I183" t="str">
            <v>H</v>
          </cell>
          <cell r="J183" t="str">
            <v>MANGOCHI</v>
          </cell>
          <cell r="K183">
            <v>8</v>
          </cell>
        </row>
        <row r="184">
          <cell r="A184" t="str">
            <v>RS 699</v>
          </cell>
          <cell r="B184">
            <v>521</v>
          </cell>
          <cell r="C184" t="str">
            <v>S</v>
          </cell>
          <cell r="D184" t="str">
            <v>F</v>
          </cell>
          <cell r="E184" t="str">
            <v>Chikwewo - Beyadi</v>
          </cell>
          <cell r="F184" t="str">
            <v>T392</v>
          </cell>
          <cell r="G184">
            <v>3</v>
          </cell>
          <cell r="H184">
            <v>10.6</v>
          </cell>
          <cell r="I184" t="str">
            <v>FL</v>
          </cell>
          <cell r="J184" t="str">
            <v>MACHINGA</v>
          </cell>
          <cell r="K184">
            <v>8</v>
          </cell>
        </row>
        <row r="185">
          <cell r="A185" t="str">
            <v>RS 697</v>
          </cell>
          <cell r="B185">
            <v>519</v>
          </cell>
          <cell r="C185" t="str">
            <v>S</v>
          </cell>
          <cell r="D185" t="str">
            <v>F</v>
          </cell>
          <cell r="E185" t="str">
            <v>Beyadi - Nanyumbu</v>
          </cell>
          <cell r="F185" t="str">
            <v>T392</v>
          </cell>
          <cell r="G185">
            <v>4</v>
          </cell>
          <cell r="H185">
            <v>13.7</v>
          </cell>
          <cell r="I185" t="str">
            <v>FL</v>
          </cell>
          <cell r="J185" t="str">
            <v>MANGOCHI</v>
          </cell>
          <cell r="K185">
            <v>8</v>
          </cell>
        </row>
        <row r="186">
          <cell r="A186" t="str">
            <v>RS 705</v>
          </cell>
          <cell r="B186">
            <v>527</v>
          </cell>
          <cell r="C186" t="str">
            <v>S</v>
          </cell>
          <cell r="D186" t="str">
            <v>F</v>
          </cell>
          <cell r="E186" t="str">
            <v>Nsanama - Namanja Village</v>
          </cell>
          <cell r="F186" t="str">
            <v>T393</v>
          </cell>
          <cell r="G186">
            <v>1</v>
          </cell>
          <cell r="H186">
            <v>18.7</v>
          </cell>
          <cell r="I186" t="str">
            <v>FL</v>
          </cell>
          <cell r="J186" t="str">
            <v>MACHINGA</v>
          </cell>
          <cell r="K186">
            <v>8</v>
          </cell>
        </row>
        <row r="187">
          <cell r="A187" t="str">
            <v>RS 703</v>
          </cell>
          <cell r="B187">
            <v>525</v>
          </cell>
          <cell r="C187" t="str">
            <v>S</v>
          </cell>
          <cell r="D187" t="str">
            <v>F</v>
          </cell>
          <cell r="E187" t="str">
            <v>Namanja Village - Namanja Station</v>
          </cell>
          <cell r="F187" t="str">
            <v>T393</v>
          </cell>
          <cell r="G187">
            <v>2</v>
          </cell>
          <cell r="H187">
            <v>4.2</v>
          </cell>
          <cell r="I187" t="str">
            <v>FL</v>
          </cell>
          <cell r="J187" t="str">
            <v>MACHINGA</v>
          </cell>
          <cell r="K187">
            <v>8</v>
          </cell>
        </row>
        <row r="188">
          <cell r="A188" t="str">
            <v>RS 704</v>
          </cell>
          <cell r="B188">
            <v>526</v>
          </cell>
          <cell r="C188" t="str">
            <v>S</v>
          </cell>
          <cell r="D188" t="str">
            <v>F</v>
          </cell>
          <cell r="E188" t="str">
            <v>Namanja Station - Nayuchi (Mozambique border)</v>
          </cell>
          <cell r="F188" t="str">
            <v>T393</v>
          </cell>
          <cell r="G188">
            <v>3</v>
          </cell>
          <cell r="H188">
            <v>22.1</v>
          </cell>
          <cell r="I188" t="str">
            <v>FL</v>
          </cell>
          <cell r="J188" t="str">
            <v>MACHINGA</v>
          </cell>
          <cell r="K188">
            <v>8</v>
          </cell>
        </row>
        <row r="189">
          <cell r="A189" t="str">
            <v>RS 652</v>
          </cell>
          <cell r="B189">
            <v>474</v>
          </cell>
          <cell r="C189" t="str">
            <v>C</v>
          </cell>
          <cell r="D189" t="str">
            <v>F</v>
          </cell>
          <cell r="E189" t="str">
            <v>Biliate (junction S135) - Kandoma</v>
          </cell>
          <cell r="F189" t="str">
            <v>T394</v>
          </cell>
          <cell r="G189">
            <v>1</v>
          </cell>
          <cell r="H189">
            <v>8.9</v>
          </cell>
          <cell r="I189" t="str">
            <v>R</v>
          </cell>
          <cell r="J189" t="str">
            <v>NTCHEU</v>
          </cell>
          <cell r="K189">
            <v>8</v>
          </cell>
        </row>
        <row r="190">
          <cell r="A190" t="str">
            <v>RS 649</v>
          </cell>
          <cell r="B190">
            <v>471</v>
          </cell>
          <cell r="C190" t="str">
            <v>C</v>
          </cell>
          <cell r="D190" t="str">
            <v>F</v>
          </cell>
          <cell r="E190" t="str">
            <v>Kandoma - Lipangwe</v>
          </cell>
          <cell r="F190" t="str">
            <v>T394</v>
          </cell>
          <cell r="G190">
            <v>2</v>
          </cell>
          <cell r="H190">
            <v>10.8</v>
          </cell>
          <cell r="I190" t="str">
            <v>R</v>
          </cell>
          <cell r="J190" t="str">
            <v>NTCHEU</v>
          </cell>
          <cell r="K190">
            <v>8</v>
          </cell>
        </row>
        <row r="191">
          <cell r="A191" t="str">
            <v>RS 655</v>
          </cell>
          <cell r="B191">
            <v>477</v>
          </cell>
          <cell r="C191" t="str">
            <v>C</v>
          </cell>
          <cell r="D191" t="str">
            <v>F</v>
          </cell>
          <cell r="E191" t="str">
            <v>Lipangwe - Matale</v>
          </cell>
          <cell r="F191" t="str">
            <v>T394</v>
          </cell>
          <cell r="G191">
            <v>3</v>
          </cell>
          <cell r="H191">
            <v>5.7</v>
          </cell>
          <cell r="I191" t="str">
            <v>R</v>
          </cell>
          <cell r="J191" t="str">
            <v>NTCHEU</v>
          </cell>
          <cell r="K191">
            <v>8</v>
          </cell>
        </row>
        <row r="192">
          <cell r="A192" t="str">
            <v>RS 650</v>
          </cell>
          <cell r="B192">
            <v>472</v>
          </cell>
          <cell r="C192" t="str">
            <v>C</v>
          </cell>
          <cell r="D192" t="str">
            <v>F</v>
          </cell>
          <cell r="E192" t="str">
            <v>Matale - Bonongwe</v>
          </cell>
          <cell r="F192" t="str">
            <v>T394</v>
          </cell>
          <cell r="G192">
            <v>4</v>
          </cell>
          <cell r="H192">
            <v>4.8</v>
          </cell>
          <cell r="I192" t="str">
            <v>FL</v>
          </cell>
          <cell r="J192" t="str">
            <v>NTCHEU</v>
          </cell>
          <cell r="K192">
            <v>8</v>
          </cell>
        </row>
        <row r="193">
          <cell r="A193" t="str">
            <v>RS 653</v>
          </cell>
          <cell r="B193">
            <v>475</v>
          </cell>
          <cell r="C193" t="str">
            <v>C</v>
          </cell>
          <cell r="D193" t="str">
            <v>F</v>
          </cell>
          <cell r="E193" t="str">
            <v>Bonongwe - Senzani (junction M1)</v>
          </cell>
          <cell r="F193" t="str">
            <v>T394</v>
          </cell>
          <cell r="G193">
            <v>5</v>
          </cell>
          <cell r="H193">
            <v>7.1</v>
          </cell>
          <cell r="I193" t="str">
            <v>R</v>
          </cell>
          <cell r="J193" t="str">
            <v>NTCHEU</v>
          </cell>
          <cell r="K193">
            <v>8</v>
          </cell>
        </row>
        <row r="194">
          <cell r="A194" t="str">
            <v>RS 648</v>
          </cell>
          <cell r="B194">
            <v>470</v>
          </cell>
          <cell r="C194" t="str">
            <v>C</v>
          </cell>
          <cell r="D194" t="str">
            <v>F</v>
          </cell>
          <cell r="E194" t="str">
            <v>Doviko (junction S135) - Matande</v>
          </cell>
          <cell r="F194" t="str">
            <v>T395</v>
          </cell>
          <cell r="G194">
            <v>1</v>
          </cell>
          <cell r="H194">
            <v>10.8</v>
          </cell>
          <cell r="I194" t="str">
            <v>R</v>
          </cell>
          <cell r="J194" t="str">
            <v>NTCHEU</v>
          </cell>
          <cell r="K194">
            <v>8</v>
          </cell>
          <cell r="L194" t="str">
            <v>Changed designation from T394 to T395</v>
          </cell>
        </row>
        <row r="195">
          <cell r="A195" t="str">
            <v>RS 657</v>
          </cell>
          <cell r="B195">
            <v>479</v>
          </cell>
          <cell r="C195" t="str">
            <v>C</v>
          </cell>
          <cell r="D195" t="str">
            <v>F</v>
          </cell>
          <cell r="E195" t="str">
            <v>Matande - Jumbe</v>
          </cell>
          <cell r="F195" t="str">
            <v>T395</v>
          </cell>
          <cell r="G195">
            <v>2</v>
          </cell>
          <cell r="H195">
            <v>4.5999999999999996</v>
          </cell>
          <cell r="I195" t="str">
            <v>R</v>
          </cell>
          <cell r="J195" t="str">
            <v>NTCHEU</v>
          </cell>
          <cell r="K195">
            <v>8</v>
          </cell>
          <cell r="L195" t="str">
            <v>Changed designation from T394 to T395</v>
          </cell>
        </row>
        <row r="196">
          <cell r="A196" t="str">
            <v>RS 654</v>
          </cell>
          <cell r="B196">
            <v>476</v>
          </cell>
          <cell r="C196" t="str">
            <v>C</v>
          </cell>
          <cell r="D196" t="str">
            <v>F</v>
          </cell>
          <cell r="E196" t="str">
            <v>Jumbe - Bayani</v>
          </cell>
          <cell r="F196" t="str">
            <v>T395</v>
          </cell>
          <cell r="G196">
            <v>3</v>
          </cell>
          <cell r="H196">
            <v>10</v>
          </cell>
          <cell r="I196" t="str">
            <v>R</v>
          </cell>
          <cell r="J196" t="str">
            <v>NTCHEU</v>
          </cell>
          <cell r="K196">
            <v>8</v>
          </cell>
          <cell r="L196" t="str">
            <v>Changed designation from T394 to T395</v>
          </cell>
        </row>
        <row r="197">
          <cell r="A197" t="str">
            <v>RS 651</v>
          </cell>
          <cell r="B197">
            <v>473</v>
          </cell>
          <cell r="C197" t="str">
            <v>C</v>
          </cell>
          <cell r="D197" t="str">
            <v>F</v>
          </cell>
          <cell r="E197" t="str">
            <v>Bayani - Zingilizi</v>
          </cell>
          <cell r="F197" t="str">
            <v>T395</v>
          </cell>
          <cell r="G197">
            <v>4</v>
          </cell>
          <cell r="H197">
            <v>8.1</v>
          </cell>
          <cell r="I197" t="str">
            <v>R</v>
          </cell>
          <cell r="J197" t="str">
            <v>NTCHEU</v>
          </cell>
          <cell r="K197">
            <v>8</v>
          </cell>
          <cell r="L197" t="str">
            <v>Changed designation from T394 to T395</v>
          </cell>
        </row>
        <row r="198">
          <cell r="A198" t="str">
            <v>RS 656</v>
          </cell>
          <cell r="B198">
            <v>478</v>
          </cell>
          <cell r="C198" t="str">
            <v>C</v>
          </cell>
          <cell r="D198" t="str">
            <v>F</v>
          </cell>
          <cell r="E198" t="str">
            <v>Zingilizi - Chilenga (junction S135)</v>
          </cell>
          <cell r="F198" t="str">
            <v>T395</v>
          </cell>
          <cell r="G198">
            <v>5</v>
          </cell>
          <cell r="H198">
            <v>8.6</v>
          </cell>
          <cell r="I198" t="str">
            <v>R</v>
          </cell>
          <cell r="J198" t="str">
            <v>NTCHEU</v>
          </cell>
          <cell r="K198">
            <v>8</v>
          </cell>
          <cell r="L198" t="str">
            <v>Changed designation from T394 to T395</v>
          </cell>
        </row>
        <row r="199">
          <cell r="A199" t="str">
            <v>RS 709</v>
          </cell>
          <cell r="B199">
            <v>531</v>
          </cell>
          <cell r="C199" t="str">
            <v>S</v>
          </cell>
          <cell r="D199" t="str">
            <v>F</v>
          </cell>
          <cell r="E199" t="str">
            <v>Kweneza (junction S135) - Kambale Ag.Station</v>
          </cell>
          <cell r="F199" t="str">
            <v>T396</v>
          </cell>
          <cell r="G199">
            <v>1</v>
          </cell>
          <cell r="H199">
            <v>13.5</v>
          </cell>
          <cell r="I199" t="str">
            <v>H</v>
          </cell>
          <cell r="J199" t="str">
            <v>MWANZA</v>
          </cell>
          <cell r="K199">
            <v>8</v>
          </cell>
        </row>
        <row r="200">
          <cell r="A200" t="str">
            <v>RS 706</v>
          </cell>
          <cell r="B200">
            <v>528</v>
          </cell>
          <cell r="C200" t="str">
            <v>S</v>
          </cell>
          <cell r="D200" t="str">
            <v>F</v>
          </cell>
          <cell r="E200" t="str">
            <v>Kambale Ag. Station - Nkase River</v>
          </cell>
          <cell r="F200" t="str">
            <v>T396</v>
          </cell>
          <cell r="G200">
            <v>2</v>
          </cell>
          <cell r="H200">
            <v>23.3</v>
          </cell>
          <cell r="I200" t="str">
            <v>H</v>
          </cell>
          <cell r="J200" t="str">
            <v>MWANZA</v>
          </cell>
          <cell r="K200">
            <v>8</v>
          </cell>
        </row>
        <row r="201">
          <cell r="A201" t="str">
            <v>RS 707</v>
          </cell>
          <cell r="B201">
            <v>529</v>
          </cell>
          <cell r="C201" t="str">
            <v>S</v>
          </cell>
          <cell r="D201" t="str">
            <v>F</v>
          </cell>
          <cell r="E201" t="str">
            <v>Nkase River - Lisungwi River</v>
          </cell>
          <cell r="F201" t="str">
            <v>T396</v>
          </cell>
          <cell r="G201">
            <v>3</v>
          </cell>
          <cell r="H201">
            <v>8.3000000000000007</v>
          </cell>
          <cell r="I201" t="str">
            <v>R</v>
          </cell>
          <cell r="J201" t="str">
            <v>MWANZA</v>
          </cell>
          <cell r="K201">
            <v>8</v>
          </cell>
        </row>
        <row r="202">
          <cell r="A202" t="str">
            <v>RS 708</v>
          </cell>
          <cell r="B202">
            <v>530</v>
          </cell>
          <cell r="C202" t="str">
            <v>S</v>
          </cell>
          <cell r="D202" t="str">
            <v>F</v>
          </cell>
          <cell r="E202" t="str">
            <v>Lisungwi River - Kamwamba (junction M1)</v>
          </cell>
          <cell r="F202" t="str">
            <v>T396</v>
          </cell>
          <cell r="G202">
            <v>4</v>
          </cell>
          <cell r="H202">
            <v>13.7</v>
          </cell>
          <cell r="I202" t="str">
            <v>R</v>
          </cell>
          <cell r="J202" t="str">
            <v>MWANZA</v>
          </cell>
          <cell r="K202">
            <v>8</v>
          </cell>
        </row>
        <row r="203">
          <cell r="A203" t="str">
            <v>RS 713</v>
          </cell>
          <cell r="B203">
            <v>535</v>
          </cell>
          <cell r="C203" t="str">
            <v>S</v>
          </cell>
          <cell r="D203" t="str">
            <v>F</v>
          </cell>
          <cell r="E203" t="str">
            <v>Kambale Ag. Station - Neno</v>
          </cell>
          <cell r="F203" t="str">
            <v>T397</v>
          </cell>
          <cell r="G203">
            <v>1</v>
          </cell>
          <cell r="H203">
            <v>13</v>
          </cell>
          <cell r="I203" t="str">
            <v>R</v>
          </cell>
          <cell r="J203" t="str">
            <v>MWANZA</v>
          </cell>
          <cell r="K203">
            <v>9</v>
          </cell>
        </row>
        <row r="204">
          <cell r="A204" t="str">
            <v>RS 711</v>
          </cell>
          <cell r="B204">
            <v>533</v>
          </cell>
          <cell r="C204" t="str">
            <v>S</v>
          </cell>
          <cell r="D204" t="str">
            <v>F</v>
          </cell>
          <cell r="E204" t="str">
            <v>Neno - Nyakoko</v>
          </cell>
          <cell r="F204" t="str">
            <v>T397</v>
          </cell>
          <cell r="G204">
            <v>2</v>
          </cell>
          <cell r="H204">
            <v>11.3</v>
          </cell>
          <cell r="I204" t="str">
            <v>R</v>
          </cell>
          <cell r="J204" t="str">
            <v>MWANZA</v>
          </cell>
          <cell r="K204">
            <v>9</v>
          </cell>
        </row>
        <row r="205">
          <cell r="A205" t="str">
            <v>RS 712</v>
          </cell>
          <cell r="B205">
            <v>534</v>
          </cell>
          <cell r="C205" t="str">
            <v>S</v>
          </cell>
          <cell r="D205" t="str">
            <v>F</v>
          </cell>
          <cell r="E205" t="str">
            <v>Nyakoko - Butawo</v>
          </cell>
          <cell r="F205" t="str">
            <v>T397</v>
          </cell>
          <cell r="G205">
            <v>3</v>
          </cell>
          <cell r="H205">
            <v>6.5</v>
          </cell>
          <cell r="I205" t="str">
            <v>R</v>
          </cell>
          <cell r="J205" t="str">
            <v>MWANZA</v>
          </cell>
          <cell r="K205">
            <v>9</v>
          </cell>
        </row>
        <row r="206">
          <cell r="A206" t="str">
            <v>RS 710</v>
          </cell>
          <cell r="B206">
            <v>532</v>
          </cell>
          <cell r="C206" t="str">
            <v>S</v>
          </cell>
          <cell r="D206" t="str">
            <v>F</v>
          </cell>
          <cell r="E206" t="str">
            <v>Butawo - Zaka (junction M6)</v>
          </cell>
          <cell r="F206" t="str">
            <v>T397</v>
          </cell>
          <cell r="G206">
            <v>4</v>
          </cell>
          <cell r="H206">
            <v>20</v>
          </cell>
          <cell r="I206" t="str">
            <v>R</v>
          </cell>
          <cell r="J206" t="str">
            <v>MWANZA</v>
          </cell>
          <cell r="K206">
            <v>9</v>
          </cell>
        </row>
        <row r="207">
          <cell r="A207" t="str">
            <v>RS 714</v>
          </cell>
          <cell r="B207">
            <v>536</v>
          </cell>
          <cell r="C207" t="str">
            <v>S</v>
          </cell>
          <cell r="D207" t="str">
            <v>F</v>
          </cell>
          <cell r="E207" t="str">
            <v>Kanjiwa - Nyakoko</v>
          </cell>
          <cell r="F207" t="str">
            <v>T398</v>
          </cell>
          <cell r="G207">
            <v>1</v>
          </cell>
          <cell r="H207">
            <v>24.7</v>
          </cell>
          <cell r="I207" t="str">
            <v>H</v>
          </cell>
          <cell r="J207" t="str">
            <v>MWANZA</v>
          </cell>
          <cell r="K207">
            <v>9</v>
          </cell>
        </row>
        <row r="208">
          <cell r="A208" t="str">
            <v>RS 719</v>
          </cell>
          <cell r="B208">
            <v>541</v>
          </cell>
          <cell r="C208" t="str">
            <v>S</v>
          </cell>
          <cell r="D208" t="str">
            <v>F</v>
          </cell>
          <cell r="E208" t="str">
            <v>Chiendausiku (junction M8) - Maduwane</v>
          </cell>
          <cell r="F208" t="str">
            <v>T399</v>
          </cell>
          <cell r="G208">
            <v>1</v>
          </cell>
          <cell r="H208">
            <v>12.3</v>
          </cell>
          <cell r="I208" t="str">
            <v>H</v>
          </cell>
          <cell r="J208" t="str">
            <v>MWANZA</v>
          </cell>
          <cell r="K208">
            <v>8</v>
          </cell>
        </row>
        <row r="209">
          <cell r="A209" t="str">
            <v>RS 717</v>
          </cell>
          <cell r="B209">
            <v>539</v>
          </cell>
          <cell r="C209" t="str">
            <v>S</v>
          </cell>
          <cell r="D209" t="str">
            <v>F</v>
          </cell>
          <cell r="E209" t="str">
            <v>Maduwane - Utale</v>
          </cell>
          <cell r="F209" t="str">
            <v>T399</v>
          </cell>
          <cell r="G209">
            <v>2</v>
          </cell>
          <cell r="H209">
            <v>8.8000000000000007</v>
          </cell>
          <cell r="I209" t="str">
            <v>FL</v>
          </cell>
          <cell r="J209" t="str">
            <v>MACHINGA</v>
          </cell>
          <cell r="K209">
            <v>8</v>
          </cell>
        </row>
        <row r="210">
          <cell r="A210" t="str">
            <v>RS 718</v>
          </cell>
          <cell r="B210">
            <v>540</v>
          </cell>
          <cell r="C210" t="str">
            <v>S</v>
          </cell>
          <cell r="D210" t="str">
            <v>F</v>
          </cell>
          <cell r="E210" t="str">
            <v>Utale - Nyanyala (junction M1)</v>
          </cell>
          <cell r="F210" t="str">
            <v>T399</v>
          </cell>
          <cell r="G210">
            <v>3</v>
          </cell>
          <cell r="H210">
            <v>26.7</v>
          </cell>
          <cell r="I210" t="str">
            <v>FL</v>
          </cell>
          <cell r="J210" t="str">
            <v>MACHINGA</v>
          </cell>
          <cell r="K210">
            <v>8</v>
          </cell>
        </row>
        <row r="211">
          <cell r="A211" t="str">
            <v>RS 720</v>
          </cell>
          <cell r="B211">
            <v>542</v>
          </cell>
          <cell r="C211" t="str">
            <v>S</v>
          </cell>
          <cell r="D211" t="str">
            <v>F</v>
          </cell>
          <cell r="E211" t="str">
            <v>Ntalika (junction M8) - Phalula</v>
          </cell>
          <cell r="F211" t="str">
            <v>T400</v>
          </cell>
          <cell r="G211">
            <v>1</v>
          </cell>
          <cell r="H211">
            <v>5.0999999999999996</v>
          </cell>
          <cell r="I211" t="str">
            <v>FL</v>
          </cell>
          <cell r="J211" t="str">
            <v>MACHINGA</v>
          </cell>
          <cell r="K211">
            <v>8</v>
          </cell>
        </row>
        <row r="212">
          <cell r="A212" t="str">
            <v>RS 723</v>
          </cell>
          <cell r="B212">
            <v>545</v>
          </cell>
          <cell r="C212" t="str">
            <v>S</v>
          </cell>
          <cell r="D212" t="str">
            <v>F</v>
          </cell>
          <cell r="E212" t="str">
            <v>Phalula - Utale</v>
          </cell>
          <cell r="F212" t="str">
            <v>T400</v>
          </cell>
          <cell r="G212">
            <v>2</v>
          </cell>
          <cell r="H212">
            <v>17.100000000000001</v>
          </cell>
          <cell r="I212" t="str">
            <v>FL</v>
          </cell>
          <cell r="J212" t="str">
            <v>MACHINGA</v>
          </cell>
          <cell r="K212">
            <v>8</v>
          </cell>
        </row>
        <row r="213">
          <cell r="A213" t="str">
            <v>RS 721</v>
          </cell>
          <cell r="B213">
            <v>543</v>
          </cell>
          <cell r="C213" t="str">
            <v>S</v>
          </cell>
          <cell r="D213" t="str">
            <v>F</v>
          </cell>
          <cell r="E213" t="str">
            <v>Utale - Shire North T.C</v>
          </cell>
          <cell r="F213" t="str">
            <v>T400</v>
          </cell>
          <cell r="G213">
            <v>3</v>
          </cell>
          <cell r="H213">
            <v>17.5</v>
          </cell>
          <cell r="I213" t="str">
            <v>FL</v>
          </cell>
          <cell r="J213" t="str">
            <v>MACHINGA</v>
          </cell>
          <cell r="K213">
            <v>8</v>
          </cell>
        </row>
        <row r="214">
          <cell r="A214" t="str">
            <v>RS 722</v>
          </cell>
          <cell r="B214">
            <v>544</v>
          </cell>
          <cell r="C214" t="str">
            <v>S</v>
          </cell>
          <cell r="D214" t="str">
            <v>F</v>
          </cell>
          <cell r="E214" t="str">
            <v>Shire North TC - Kasangale (junction S139)</v>
          </cell>
          <cell r="F214" t="str">
            <v>T400</v>
          </cell>
          <cell r="G214">
            <v>4</v>
          </cell>
          <cell r="H214">
            <v>10.199999999999999</v>
          </cell>
          <cell r="I214" t="str">
            <v>R</v>
          </cell>
          <cell r="J214" t="str">
            <v>ZOMBA</v>
          </cell>
          <cell r="K214">
            <v>8</v>
          </cell>
        </row>
        <row r="215">
          <cell r="A215" t="str">
            <v>RS 724</v>
          </cell>
          <cell r="B215">
            <v>546</v>
          </cell>
          <cell r="C215" t="str">
            <v>S</v>
          </cell>
          <cell r="D215" t="str">
            <v>F</v>
          </cell>
          <cell r="E215" t="str">
            <v>Machinga (junction M3) - Chigwandembo Bridge</v>
          </cell>
          <cell r="F215" t="str">
            <v>T401</v>
          </cell>
          <cell r="G215">
            <v>1</v>
          </cell>
          <cell r="H215">
            <v>8.6999999999999993</v>
          </cell>
          <cell r="I215" t="str">
            <v>FL</v>
          </cell>
          <cell r="J215" t="str">
            <v>MACHINGA</v>
          </cell>
          <cell r="K215">
            <v>8</v>
          </cell>
        </row>
        <row r="216">
          <cell r="A216" t="str">
            <v>RS 725</v>
          </cell>
          <cell r="B216">
            <v>547</v>
          </cell>
          <cell r="C216" t="str">
            <v>S</v>
          </cell>
          <cell r="D216" t="str">
            <v>F</v>
          </cell>
          <cell r="E216" t="str">
            <v>Chikwandembo River - Chinseu</v>
          </cell>
          <cell r="F216" t="str">
            <v>T401</v>
          </cell>
          <cell r="G216">
            <v>2</v>
          </cell>
          <cell r="H216">
            <v>14</v>
          </cell>
          <cell r="I216" t="str">
            <v>R</v>
          </cell>
          <cell r="J216" t="str">
            <v>ZOMBA</v>
          </cell>
          <cell r="K216">
            <v>8</v>
          </cell>
        </row>
        <row r="217">
          <cell r="A217" t="str">
            <v>RS 726</v>
          </cell>
          <cell r="B217">
            <v>548</v>
          </cell>
          <cell r="C217" t="str">
            <v>S</v>
          </cell>
          <cell r="D217" t="str">
            <v>F</v>
          </cell>
          <cell r="E217" t="str">
            <v>Chinseu - Chikwenga (junction S139)</v>
          </cell>
          <cell r="F217" t="str">
            <v>T401</v>
          </cell>
          <cell r="G217">
            <v>3</v>
          </cell>
          <cell r="H217">
            <v>7</v>
          </cell>
          <cell r="I217" t="str">
            <v>R</v>
          </cell>
          <cell r="J217" t="str">
            <v>ZOMBA</v>
          </cell>
          <cell r="K217">
            <v>8</v>
          </cell>
        </row>
        <row r="218">
          <cell r="A218" t="str">
            <v>RS 728</v>
          </cell>
          <cell r="B218">
            <v>550</v>
          </cell>
          <cell r="C218" t="str">
            <v>S</v>
          </cell>
          <cell r="D218" t="str">
            <v>F</v>
          </cell>
          <cell r="E218" t="str">
            <v>Naminga (junction S131) - Malopa</v>
          </cell>
          <cell r="F218" t="str">
            <v>T402</v>
          </cell>
          <cell r="G218">
            <v>1</v>
          </cell>
          <cell r="H218">
            <v>5.3</v>
          </cell>
          <cell r="I218" t="str">
            <v>R</v>
          </cell>
          <cell r="J218" t="str">
            <v>MACHINGA</v>
          </cell>
          <cell r="K218">
            <v>8</v>
          </cell>
        </row>
        <row r="219">
          <cell r="A219" t="str">
            <v>RS 730</v>
          </cell>
          <cell r="B219">
            <v>552</v>
          </cell>
          <cell r="C219" t="str">
            <v>S</v>
          </cell>
          <cell r="D219" t="str">
            <v>F</v>
          </cell>
          <cell r="E219" t="str">
            <v>Malopa - Namikonya Stream</v>
          </cell>
          <cell r="F219" t="str">
            <v>T402</v>
          </cell>
          <cell r="G219">
            <v>2</v>
          </cell>
          <cell r="H219">
            <v>14.4</v>
          </cell>
          <cell r="I219" t="str">
            <v>H</v>
          </cell>
          <cell r="J219" t="str">
            <v>MACHINGA</v>
          </cell>
          <cell r="K219">
            <v>8</v>
          </cell>
        </row>
        <row r="220">
          <cell r="A220" t="str">
            <v>RS 727</v>
          </cell>
          <cell r="B220">
            <v>549</v>
          </cell>
          <cell r="C220" t="str">
            <v>S</v>
          </cell>
          <cell r="D220" t="str">
            <v>F</v>
          </cell>
          <cell r="E220" t="str">
            <v>Namikonya Stream - Chamatwa</v>
          </cell>
          <cell r="F220" t="str">
            <v>T402</v>
          </cell>
          <cell r="G220">
            <v>3</v>
          </cell>
          <cell r="H220">
            <v>7.6</v>
          </cell>
          <cell r="I220" t="str">
            <v>R</v>
          </cell>
          <cell r="J220" t="str">
            <v>MACHINGA</v>
          </cell>
          <cell r="K220">
            <v>8</v>
          </cell>
        </row>
        <row r="221">
          <cell r="A221" t="str">
            <v>RS 729</v>
          </cell>
          <cell r="B221">
            <v>551</v>
          </cell>
          <cell r="C221" t="str">
            <v>S</v>
          </cell>
          <cell r="D221" t="str">
            <v>F</v>
          </cell>
          <cell r="E221" t="str">
            <v>Chamatwa - Likwenu River (junction M3)</v>
          </cell>
          <cell r="F221" t="str">
            <v>T402</v>
          </cell>
          <cell r="G221">
            <v>4</v>
          </cell>
          <cell r="H221">
            <v>6</v>
          </cell>
          <cell r="I221" t="str">
            <v>FL</v>
          </cell>
          <cell r="J221" t="str">
            <v>MACHINGA &amp; ZOMBA</v>
          </cell>
          <cell r="K221">
            <v>8</v>
          </cell>
        </row>
        <row r="222">
          <cell r="A222" t="str">
            <v>RS 732</v>
          </cell>
          <cell r="B222">
            <v>554</v>
          </cell>
          <cell r="C222" t="str">
            <v>S</v>
          </cell>
          <cell r="D222" t="str">
            <v>F</v>
          </cell>
          <cell r="E222" t="str">
            <v>Jokala - Msondole</v>
          </cell>
          <cell r="F222" t="str">
            <v>T403</v>
          </cell>
          <cell r="G222">
            <v>2</v>
          </cell>
          <cell r="H222">
            <v>8.6999999999999993</v>
          </cell>
          <cell r="I222" t="str">
            <v>R</v>
          </cell>
          <cell r="J222" t="str">
            <v>ZOMBA</v>
          </cell>
          <cell r="K222">
            <v>8</v>
          </cell>
        </row>
        <row r="223">
          <cell r="A223" t="str">
            <v>RS 734</v>
          </cell>
          <cell r="B223">
            <v>556</v>
          </cell>
          <cell r="C223" t="str">
            <v>S</v>
          </cell>
          <cell r="D223" t="str">
            <v>F</v>
          </cell>
          <cell r="E223" t="str">
            <v>Mpyupyu T.C. (junction S143)  - Chamba</v>
          </cell>
          <cell r="F223" t="str">
            <v>T404</v>
          </cell>
          <cell r="G223">
            <v>1</v>
          </cell>
          <cell r="H223">
            <v>7.9</v>
          </cell>
          <cell r="I223" t="str">
            <v>R</v>
          </cell>
          <cell r="J223" t="str">
            <v>ZOMBA</v>
          </cell>
          <cell r="K223">
            <v>9</v>
          </cell>
        </row>
        <row r="224">
          <cell r="A224" t="str">
            <v>RS 733</v>
          </cell>
          <cell r="B224">
            <v>555</v>
          </cell>
          <cell r="C224" t="str">
            <v>S</v>
          </cell>
          <cell r="D224" t="str">
            <v>F</v>
          </cell>
          <cell r="E224" t="str">
            <v>Chamba - Jali (junction S144)</v>
          </cell>
          <cell r="F224" t="str">
            <v>T404</v>
          </cell>
          <cell r="G224">
            <v>2</v>
          </cell>
          <cell r="H224">
            <v>6.6</v>
          </cell>
          <cell r="I224" t="str">
            <v>R</v>
          </cell>
          <cell r="J224" t="str">
            <v>ZOMBA</v>
          </cell>
          <cell r="K224">
            <v>9</v>
          </cell>
        </row>
        <row r="225">
          <cell r="A225" t="str">
            <v>RS 731</v>
          </cell>
          <cell r="B225">
            <v>553</v>
          </cell>
          <cell r="C225" t="str">
            <v>S</v>
          </cell>
          <cell r="D225" t="str">
            <v>F</v>
          </cell>
          <cell r="E225" t="str">
            <v>Thodwe (junction M3) - Mayaka</v>
          </cell>
          <cell r="F225" t="str">
            <v>T405</v>
          </cell>
          <cell r="G225">
            <v>1</v>
          </cell>
          <cell r="H225">
            <v>21</v>
          </cell>
          <cell r="I225" t="str">
            <v>R</v>
          </cell>
          <cell r="J225" t="str">
            <v>ZOMBA</v>
          </cell>
          <cell r="K225">
            <v>9</v>
          </cell>
          <cell r="L225" t="str">
            <v>Changed designation from T403 to T405</v>
          </cell>
        </row>
        <row r="226">
          <cell r="A226" t="str">
            <v>RS 745</v>
          </cell>
          <cell r="B226">
            <v>567</v>
          </cell>
          <cell r="C226" t="str">
            <v>S</v>
          </cell>
          <cell r="D226" t="str">
            <v>F</v>
          </cell>
          <cell r="E226" t="str">
            <v>Mayaka - Jali (junction S144)</v>
          </cell>
          <cell r="F226" t="str">
            <v>T405</v>
          </cell>
          <cell r="G226">
            <v>2</v>
          </cell>
          <cell r="H226">
            <v>14.6</v>
          </cell>
          <cell r="I226" t="str">
            <v>FL</v>
          </cell>
          <cell r="J226" t="str">
            <v>ZOMBA</v>
          </cell>
          <cell r="K226">
            <v>9</v>
          </cell>
          <cell r="L226" t="str">
            <v>Changed designation from T408 to T405</v>
          </cell>
        </row>
        <row r="227">
          <cell r="A227" t="str">
            <v>RS 735</v>
          </cell>
          <cell r="B227">
            <v>557</v>
          </cell>
          <cell r="C227" t="str">
            <v>S</v>
          </cell>
          <cell r="D227" t="str">
            <v>F</v>
          </cell>
          <cell r="E227" t="str">
            <v>Maphanda junction S144) - Chigumukire</v>
          </cell>
          <cell r="F227" t="str">
            <v>T405</v>
          </cell>
          <cell r="G227">
            <v>3</v>
          </cell>
          <cell r="H227">
            <v>10.5</v>
          </cell>
          <cell r="I227" t="str">
            <v>R</v>
          </cell>
          <cell r="J227" t="str">
            <v>ZOMBA</v>
          </cell>
          <cell r="K227">
            <v>9</v>
          </cell>
        </row>
        <row r="228">
          <cell r="A228" t="str">
            <v>RS 736</v>
          </cell>
          <cell r="B228">
            <v>558</v>
          </cell>
          <cell r="C228" t="str">
            <v>S</v>
          </cell>
          <cell r="D228" t="str">
            <v>F</v>
          </cell>
          <cell r="E228" t="str">
            <v>Chigumukire - Joni</v>
          </cell>
          <cell r="F228" t="str">
            <v>T405</v>
          </cell>
          <cell r="G228">
            <v>4</v>
          </cell>
          <cell r="H228">
            <v>19.5</v>
          </cell>
          <cell r="I228" t="str">
            <v>R</v>
          </cell>
          <cell r="J228" t="str">
            <v>ZOMBA &amp; PHALOMBE</v>
          </cell>
          <cell r="K228">
            <v>9</v>
          </cell>
        </row>
        <row r="229">
          <cell r="A229" t="str">
            <v>RS 738</v>
          </cell>
          <cell r="B229">
            <v>560</v>
          </cell>
          <cell r="C229" t="str">
            <v>S</v>
          </cell>
          <cell r="D229" t="str">
            <v>F</v>
          </cell>
          <cell r="E229" t="str">
            <v>Nyungwe (junction M3) - Lirangwe</v>
          </cell>
          <cell r="F229" t="str">
            <v>T406</v>
          </cell>
          <cell r="G229">
            <v>1</v>
          </cell>
          <cell r="H229">
            <v>4.0999999999999996</v>
          </cell>
          <cell r="I229" t="str">
            <v>R</v>
          </cell>
          <cell r="J229" t="str">
            <v>CHIRADZULU</v>
          </cell>
          <cell r="K229">
            <v>9</v>
          </cell>
        </row>
        <row r="230">
          <cell r="A230" t="str">
            <v>RS 737</v>
          </cell>
          <cell r="B230">
            <v>559</v>
          </cell>
          <cell r="C230" t="str">
            <v>S</v>
          </cell>
          <cell r="D230" t="str">
            <v>F</v>
          </cell>
          <cell r="E230" t="str">
            <v>Lirangwe - Chidzolo (Mudi)</v>
          </cell>
          <cell r="F230" t="str">
            <v>T406</v>
          </cell>
          <cell r="G230">
            <v>2</v>
          </cell>
          <cell r="H230">
            <v>4.5999999999999996</v>
          </cell>
          <cell r="I230" t="str">
            <v>R</v>
          </cell>
          <cell r="J230" t="str">
            <v>CHIRADZULU</v>
          </cell>
          <cell r="K230">
            <v>9</v>
          </cell>
        </row>
        <row r="231">
          <cell r="A231" t="str">
            <v>RS 739</v>
          </cell>
          <cell r="B231">
            <v>561</v>
          </cell>
          <cell r="C231" t="str">
            <v>S</v>
          </cell>
          <cell r="D231" t="str">
            <v>F</v>
          </cell>
          <cell r="E231" t="str">
            <v>Chidzolo (mudi) - Lunzu (junction M1)</v>
          </cell>
          <cell r="F231" t="str">
            <v>T406</v>
          </cell>
          <cell r="G231">
            <v>3</v>
          </cell>
          <cell r="H231">
            <v>11.7</v>
          </cell>
          <cell r="I231" t="str">
            <v>R</v>
          </cell>
          <cell r="J231" t="str">
            <v>BLANTYRE</v>
          </cell>
          <cell r="K231">
            <v>9</v>
          </cell>
        </row>
        <row r="232">
          <cell r="A232" t="str">
            <v>RS 740</v>
          </cell>
          <cell r="B232">
            <v>562</v>
          </cell>
          <cell r="C232" t="str">
            <v>S</v>
          </cell>
          <cell r="D232" t="str">
            <v>F</v>
          </cell>
          <cell r="E232" t="str">
            <v>Magomero (junction M3) - Namadzi River bridge</v>
          </cell>
          <cell r="F232" t="str">
            <v>T407</v>
          </cell>
          <cell r="G232">
            <v>1</v>
          </cell>
          <cell r="H232">
            <v>8.1999999999999993</v>
          </cell>
          <cell r="I232" t="str">
            <v>R</v>
          </cell>
          <cell r="J232" t="str">
            <v>CHIRADZULU &amp; ZOMBA</v>
          </cell>
          <cell r="K232">
            <v>9</v>
          </cell>
        </row>
        <row r="233">
          <cell r="A233" t="str">
            <v>RS 742</v>
          </cell>
          <cell r="B233">
            <v>564</v>
          </cell>
          <cell r="C233" t="str">
            <v>S</v>
          </cell>
          <cell r="D233" t="str">
            <v>F</v>
          </cell>
          <cell r="E233" t="str">
            <v>Namadzi River bridge - Mali</v>
          </cell>
          <cell r="F233" t="str">
            <v>T407</v>
          </cell>
          <cell r="G233">
            <v>2</v>
          </cell>
          <cell r="H233">
            <v>9.1</v>
          </cell>
          <cell r="I233" t="str">
            <v>R</v>
          </cell>
          <cell r="J233" t="str">
            <v>ZOMBA</v>
          </cell>
          <cell r="K233">
            <v>9</v>
          </cell>
        </row>
        <row r="234">
          <cell r="A234" t="str">
            <v>RS 741</v>
          </cell>
          <cell r="B234">
            <v>563</v>
          </cell>
          <cell r="C234" t="str">
            <v>S</v>
          </cell>
          <cell r="D234" t="str">
            <v>F</v>
          </cell>
          <cell r="E234" t="str">
            <v>Mali - Matiti</v>
          </cell>
          <cell r="F234" t="str">
            <v>T407</v>
          </cell>
          <cell r="G234">
            <v>3</v>
          </cell>
          <cell r="H234">
            <v>9.5</v>
          </cell>
          <cell r="I234" t="str">
            <v>R</v>
          </cell>
          <cell r="J234" t="str">
            <v>ZOMBA</v>
          </cell>
          <cell r="K234">
            <v>9</v>
          </cell>
        </row>
        <row r="235">
          <cell r="A235" t="str">
            <v>RS 743</v>
          </cell>
          <cell r="B235">
            <v>565</v>
          </cell>
          <cell r="C235" t="str">
            <v>S</v>
          </cell>
          <cell r="D235" t="str">
            <v>F</v>
          </cell>
          <cell r="E235" t="str">
            <v>Mayaka - Utwe River</v>
          </cell>
          <cell r="F235" t="str">
            <v>T408</v>
          </cell>
          <cell r="G235">
            <v>1</v>
          </cell>
          <cell r="H235">
            <v>9.6</v>
          </cell>
          <cell r="I235" t="str">
            <v>FL</v>
          </cell>
          <cell r="J235" t="str">
            <v>ZOMBA</v>
          </cell>
          <cell r="K235">
            <v>9</v>
          </cell>
        </row>
        <row r="236">
          <cell r="A236" t="str">
            <v>RS 746</v>
          </cell>
          <cell r="B236">
            <v>658</v>
          </cell>
          <cell r="C236" t="str">
            <v>S</v>
          </cell>
          <cell r="D236" t="str">
            <v>F</v>
          </cell>
          <cell r="E236" t="str">
            <v>Utwe River - Matiti</v>
          </cell>
          <cell r="F236" t="str">
            <v>T408</v>
          </cell>
          <cell r="G236">
            <v>2</v>
          </cell>
          <cell r="H236">
            <v>4.3</v>
          </cell>
          <cell r="I236" t="str">
            <v>FL</v>
          </cell>
          <cell r="J236" t="str">
            <v>ZOMBA</v>
          </cell>
          <cell r="K236">
            <v>9</v>
          </cell>
        </row>
        <row r="237">
          <cell r="A237" t="str">
            <v>RS 744</v>
          </cell>
          <cell r="B237">
            <v>566</v>
          </cell>
          <cell r="C237" t="str">
            <v>S</v>
          </cell>
          <cell r="D237" t="str">
            <v>F</v>
          </cell>
          <cell r="E237" t="str">
            <v>Milepa (junction S145) - Mombezi River</v>
          </cell>
          <cell r="F237" t="str">
            <v>T408</v>
          </cell>
          <cell r="G237">
            <v>3</v>
          </cell>
          <cell r="H237">
            <v>4.5</v>
          </cell>
          <cell r="I237" t="str">
            <v>FL</v>
          </cell>
          <cell r="J237" t="str">
            <v>PHALOMBE</v>
          </cell>
          <cell r="K237">
            <v>9</v>
          </cell>
        </row>
        <row r="238">
          <cell r="A238" t="str">
            <v>RS 747</v>
          </cell>
          <cell r="B238">
            <v>659</v>
          </cell>
          <cell r="C238" t="str">
            <v>S</v>
          </cell>
          <cell r="D238" t="str">
            <v>F</v>
          </cell>
          <cell r="E238" t="str">
            <v>Mombezi River - Kandulo</v>
          </cell>
          <cell r="F238" t="str">
            <v>T408</v>
          </cell>
          <cell r="G238">
            <v>4</v>
          </cell>
          <cell r="H238">
            <v>15.5</v>
          </cell>
          <cell r="I238" t="str">
            <v>R</v>
          </cell>
          <cell r="J238" t="str">
            <v>PHALOMBE</v>
          </cell>
          <cell r="K238">
            <v>9</v>
          </cell>
        </row>
        <row r="239">
          <cell r="A239" t="str">
            <v>RS 793</v>
          </cell>
          <cell r="B239">
            <v>615</v>
          </cell>
          <cell r="C239" t="str">
            <v>S</v>
          </cell>
          <cell r="D239" t="str">
            <v>F</v>
          </cell>
          <cell r="E239" t="str">
            <v>Kandulo - junction S147</v>
          </cell>
          <cell r="F239" t="str">
            <v>T408</v>
          </cell>
          <cell r="G239">
            <v>5</v>
          </cell>
          <cell r="H239">
            <v>15</v>
          </cell>
          <cell r="I239" t="str">
            <v>R</v>
          </cell>
          <cell r="J239" t="str">
            <v>MULANJE</v>
          </cell>
          <cell r="K239">
            <v>9</v>
          </cell>
          <cell r="L239" t="str">
            <v>Changed designation from T463 to T408</v>
          </cell>
        </row>
        <row r="240">
          <cell r="A240" t="str">
            <v>RS 748</v>
          </cell>
          <cell r="B240">
            <v>570</v>
          </cell>
          <cell r="C240" t="str">
            <v>S</v>
          </cell>
          <cell r="D240" t="str">
            <v>F</v>
          </cell>
          <cell r="E240" t="str">
            <v>Chileka Airport - Chilomoni</v>
          </cell>
          <cell r="F240" t="str">
            <v>T409</v>
          </cell>
          <cell r="G240">
            <v>1</v>
          </cell>
          <cell r="H240">
            <v>21.1</v>
          </cell>
          <cell r="I240" t="str">
            <v>H</v>
          </cell>
          <cell r="J240" t="str">
            <v>BLANTYRE</v>
          </cell>
          <cell r="K240">
            <v>9</v>
          </cell>
        </row>
        <row r="241">
          <cell r="A241" t="str">
            <v>RS 749</v>
          </cell>
          <cell r="B241">
            <v>571</v>
          </cell>
          <cell r="C241" t="str">
            <v>S</v>
          </cell>
          <cell r="D241" t="str">
            <v>F</v>
          </cell>
          <cell r="E241" t="str">
            <v>Chilomoni - Blantyre</v>
          </cell>
          <cell r="F241" t="str">
            <v>T409</v>
          </cell>
          <cell r="G241">
            <v>2</v>
          </cell>
          <cell r="H241">
            <v>5.7</v>
          </cell>
          <cell r="I241" t="str">
            <v>H</v>
          </cell>
          <cell r="J241" t="str">
            <v>BLANTYRE</v>
          </cell>
          <cell r="K241">
            <v>9</v>
          </cell>
        </row>
        <row r="242">
          <cell r="A242" t="str">
            <v>RS 751</v>
          </cell>
          <cell r="B242">
            <v>573</v>
          </cell>
          <cell r="C242" t="str">
            <v>S</v>
          </cell>
          <cell r="D242" t="str">
            <v>F</v>
          </cell>
          <cell r="E242" t="str">
            <v>Chinkankheni - Chatha</v>
          </cell>
          <cell r="F242" t="str">
            <v>T411</v>
          </cell>
          <cell r="G242">
            <v>1</v>
          </cell>
          <cell r="H242">
            <v>11.5</v>
          </cell>
          <cell r="I242" t="str">
            <v>R</v>
          </cell>
          <cell r="J242" t="str">
            <v>BLANTYRE</v>
          </cell>
          <cell r="K242">
            <v>9</v>
          </cell>
        </row>
        <row r="243">
          <cell r="A243" t="str">
            <v>RS 750</v>
          </cell>
          <cell r="B243">
            <v>572</v>
          </cell>
          <cell r="C243" t="str">
            <v>S</v>
          </cell>
          <cell r="D243" t="str">
            <v>F</v>
          </cell>
          <cell r="E243" t="str">
            <v>Chatha - Mzembere</v>
          </cell>
          <cell r="F243" t="str">
            <v>T411</v>
          </cell>
          <cell r="G243">
            <v>2</v>
          </cell>
          <cell r="H243">
            <v>6.9</v>
          </cell>
          <cell r="I243" t="str">
            <v>R</v>
          </cell>
          <cell r="J243" t="str">
            <v>CHIRADZULU</v>
          </cell>
          <cell r="K243">
            <v>9</v>
          </cell>
        </row>
        <row r="244">
          <cell r="A244" t="str">
            <v>RS 753</v>
          </cell>
          <cell r="B244">
            <v>575</v>
          </cell>
          <cell r="C244" t="str">
            <v>S</v>
          </cell>
          <cell r="D244" t="str">
            <v>F</v>
          </cell>
          <cell r="E244" t="str">
            <v>Mikolongwe - Namitambo</v>
          </cell>
          <cell r="F244" t="str">
            <v>T412</v>
          </cell>
          <cell r="G244">
            <v>1</v>
          </cell>
          <cell r="H244">
            <v>7.6</v>
          </cell>
          <cell r="I244" t="str">
            <v>R</v>
          </cell>
          <cell r="J244" t="str">
            <v>CHIRADZULU</v>
          </cell>
          <cell r="K244">
            <v>9</v>
          </cell>
        </row>
        <row r="245">
          <cell r="A245" t="str">
            <v>RS 752</v>
          </cell>
          <cell r="B245">
            <v>574</v>
          </cell>
          <cell r="C245" t="str">
            <v>S</v>
          </cell>
          <cell r="D245" t="str">
            <v>F</v>
          </cell>
          <cell r="E245" t="str">
            <v>Namitambo - Namulenga</v>
          </cell>
          <cell r="F245" t="str">
            <v>T412</v>
          </cell>
          <cell r="G245">
            <v>2</v>
          </cell>
          <cell r="H245">
            <v>7.8</v>
          </cell>
          <cell r="I245" t="str">
            <v>FL</v>
          </cell>
          <cell r="J245" t="str">
            <v>CHIRADZULU</v>
          </cell>
          <cell r="K245">
            <v>9</v>
          </cell>
        </row>
        <row r="246">
          <cell r="A246" t="str">
            <v>RS 756</v>
          </cell>
          <cell r="B246">
            <v>578</v>
          </cell>
          <cell r="C246" t="str">
            <v>S</v>
          </cell>
          <cell r="D246" t="str">
            <v>F</v>
          </cell>
          <cell r="E246" t="str">
            <v>Namlenga - Chilemba</v>
          </cell>
          <cell r="F246" t="str">
            <v>T412</v>
          </cell>
          <cell r="G246">
            <v>3</v>
          </cell>
          <cell r="H246">
            <v>2.5</v>
          </cell>
          <cell r="I246" t="str">
            <v>FL</v>
          </cell>
          <cell r="J246" t="str">
            <v>PHALOMBE</v>
          </cell>
          <cell r="K246">
            <v>9</v>
          </cell>
          <cell r="L246" t="str">
            <v>Changed designation from T413 to T412</v>
          </cell>
        </row>
        <row r="247">
          <cell r="A247" t="str">
            <v>RS 759</v>
          </cell>
          <cell r="B247">
            <v>581</v>
          </cell>
          <cell r="C247" t="str">
            <v>S</v>
          </cell>
          <cell r="D247" t="str">
            <v>F</v>
          </cell>
          <cell r="E247" t="str">
            <v>Bwanaisa - Mwanyenga</v>
          </cell>
          <cell r="F247" t="str">
            <v>T413</v>
          </cell>
          <cell r="G247">
            <v>1</v>
          </cell>
          <cell r="H247">
            <v>15.5</v>
          </cell>
          <cell r="I247" t="str">
            <v>FL</v>
          </cell>
          <cell r="J247" t="str">
            <v>PHALOMBE</v>
          </cell>
          <cell r="K247">
            <v>9</v>
          </cell>
        </row>
        <row r="248">
          <cell r="A248" t="str">
            <v>RS 755</v>
          </cell>
          <cell r="B248">
            <v>577</v>
          </cell>
          <cell r="C248" t="str">
            <v>S</v>
          </cell>
          <cell r="D248" t="str">
            <v>F</v>
          </cell>
          <cell r="E248" t="str">
            <v>Mwanyenga - Kandulo T.C.</v>
          </cell>
          <cell r="F248" t="str">
            <v>T413</v>
          </cell>
          <cell r="G248">
            <v>2</v>
          </cell>
          <cell r="H248">
            <v>16.399999999999999</v>
          </cell>
          <cell r="I248" t="str">
            <v>FL</v>
          </cell>
          <cell r="J248" t="str">
            <v>PHALOMBE</v>
          </cell>
          <cell r="K248">
            <v>9</v>
          </cell>
        </row>
        <row r="249">
          <cell r="A249" t="str">
            <v>RS 757</v>
          </cell>
          <cell r="B249">
            <v>579</v>
          </cell>
          <cell r="C249" t="str">
            <v>S</v>
          </cell>
          <cell r="D249" t="str">
            <v>F</v>
          </cell>
          <cell r="E249" t="str">
            <v>Kandulo T.C. - Chilemba</v>
          </cell>
          <cell r="F249" t="str">
            <v>T413</v>
          </cell>
          <cell r="G249">
            <v>3</v>
          </cell>
          <cell r="H249">
            <v>7.6</v>
          </cell>
          <cell r="I249" t="str">
            <v>FL</v>
          </cell>
          <cell r="J249" t="str">
            <v>PHALOMBE</v>
          </cell>
          <cell r="K249">
            <v>9</v>
          </cell>
        </row>
        <row r="250">
          <cell r="A250" t="str">
            <v>RS 754</v>
          </cell>
          <cell r="B250">
            <v>576</v>
          </cell>
          <cell r="C250" t="str">
            <v>S</v>
          </cell>
          <cell r="D250" t="str">
            <v>F</v>
          </cell>
          <cell r="E250" t="str">
            <v>Chilemba - Thuchila T.C.</v>
          </cell>
          <cell r="F250" t="str">
            <v>T413</v>
          </cell>
          <cell r="G250">
            <v>4</v>
          </cell>
          <cell r="H250">
            <v>3.6</v>
          </cell>
          <cell r="I250" t="str">
            <v>FL</v>
          </cell>
          <cell r="J250" t="str">
            <v>MULANJE</v>
          </cell>
          <cell r="K250">
            <v>9</v>
          </cell>
        </row>
        <row r="251">
          <cell r="A251" t="str">
            <v>RS 760</v>
          </cell>
          <cell r="B251">
            <v>582</v>
          </cell>
          <cell r="C251" t="str">
            <v>S</v>
          </cell>
          <cell r="D251" t="str">
            <v>F</v>
          </cell>
          <cell r="E251" t="str">
            <v>Nkhulambe - Phalombe</v>
          </cell>
          <cell r="F251" t="str">
            <v>T414</v>
          </cell>
          <cell r="G251">
            <v>1</v>
          </cell>
          <cell r="H251">
            <v>14.3</v>
          </cell>
          <cell r="I251" t="str">
            <v>H</v>
          </cell>
          <cell r="J251" t="str">
            <v>MULANJE</v>
          </cell>
          <cell r="K251">
            <v>9</v>
          </cell>
        </row>
        <row r="252">
          <cell r="A252" t="str">
            <v>RS 762</v>
          </cell>
          <cell r="B252">
            <v>584</v>
          </cell>
          <cell r="C252" t="str">
            <v>S</v>
          </cell>
          <cell r="D252" t="str">
            <v>F</v>
          </cell>
          <cell r="E252" t="str">
            <v>Singano - Chilinga</v>
          </cell>
          <cell r="F252" t="str">
            <v>T415</v>
          </cell>
          <cell r="G252">
            <v>1</v>
          </cell>
          <cell r="H252">
            <v>10.9</v>
          </cell>
          <cell r="I252" t="str">
            <v>FL</v>
          </cell>
          <cell r="J252" t="str">
            <v>MULANJE</v>
          </cell>
          <cell r="K252">
            <v>9</v>
          </cell>
        </row>
        <row r="253">
          <cell r="A253" t="str">
            <v>RS 764</v>
          </cell>
          <cell r="B253">
            <v>586</v>
          </cell>
          <cell r="C253" t="str">
            <v>S</v>
          </cell>
          <cell r="D253" t="str">
            <v>F</v>
          </cell>
          <cell r="E253" t="str">
            <v>Chilinga - Nkhulambe</v>
          </cell>
          <cell r="F253" t="str">
            <v>T415</v>
          </cell>
          <cell r="G253">
            <v>2</v>
          </cell>
          <cell r="H253">
            <v>8.6999999999999993</v>
          </cell>
          <cell r="I253" t="str">
            <v>H</v>
          </cell>
          <cell r="J253" t="str">
            <v>MULANJE</v>
          </cell>
          <cell r="K253">
            <v>9</v>
          </cell>
        </row>
        <row r="254">
          <cell r="A254" t="str">
            <v>RS 765</v>
          </cell>
          <cell r="B254">
            <v>587</v>
          </cell>
          <cell r="C254" t="str">
            <v>S</v>
          </cell>
          <cell r="D254" t="str">
            <v>F</v>
          </cell>
          <cell r="E254" t="str">
            <v>Nkhulambe - Sukasanje River</v>
          </cell>
          <cell r="F254" t="str">
            <v>T415</v>
          </cell>
          <cell r="G254">
            <v>3</v>
          </cell>
          <cell r="H254">
            <v>8</v>
          </cell>
          <cell r="I254" t="str">
            <v>FL</v>
          </cell>
          <cell r="J254" t="str">
            <v>MULANJE</v>
          </cell>
          <cell r="K254">
            <v>9</v>
          </cell>
        </row>
        <row r="255">
          <cell r="A255" t="str">
            <v>RS 761</v>
          </cell>
          <cell r="B255">
            <v>583</v>
          </cell>
          <cell r="C255" t="str">
            <v>S</v>
          </cell>
          <cell r="D255" t="str">
            <v>F</v>
          </cell>
          <cell r="E255" t="str">
            <v>Sukasanje River - Nanchidwa</v>
          </cell>
          <cell r="F255" t="str">
            <v>T415</v>
          </cell>
          <cell r="G255">
            <v>4</v>
          </cell>
          <cell r="H255">
            <v>15.8</v>
          </cell>
          <cell r="I255" t="str">
            <v>FL</v>
          </cell>
          <cell r="J255" t="str">
            <v>MULANJE</v>
          </cell>
          <cell r="K255">
            <v>9</v>
          </cell>
        </row>
        <row r="256">
          <cell r="A256" t="str">
            <v>RS 763</v>
          </cell>
          <cell r="B256">
            <v>585</v>
          </cell>
          <cell r="C256" t="str">
            <v>S</v>
          </cell>
          <cell r="D256" t="str">
            <v>F</v>
          </cell>
          <cell r="E256" t="str">
            <v>Nanchindwa - Muloza (Mozambique border)</v>
          </cell>
          <cell r="F256" t="str">
            <v>T415</v>
          </cell>
          <cell r="G256">
            <v>5</v>
          </cell>
          <cell r="H256">
            <v>7.3</v>
          </cell>
          <cell r="I256" t="str">
            <v>H</v>
          </cell>
          <cell r="J256" t="str">
            <v>MULANJE</v>
          </cell>
          <cell r="K256">
            <v>9</v>
          </cell>
        </row>
        <row r="257">
          <cell r="A257" t="str">
            <v>RS 368</v>
          </cell>
          <cell r="B257">
            <v>190</v>
          </cell>
          <cell r="C257" t="str">
            <v>S</v>
          </cell>
          <cell r="D257" t="str">
            <v>F</v>
          </cell>
          <cell r="E257" t="str">
            <v>Chikwawa - Chikwawa</v>
          </cell>
          <cell r="F257" t="str">
            <v>T416</v>
          </cell>
          <cell r="G257">
            <v>1</v>
          </cell>
          <cell r="H257">
            <v>3.1</v>
          </cell>
          <cell r="I257" t="str">
            <v>H</v>
          </cell>
          <cell r="J257" t="str">
            <v>CHIKWAWA</v>
          </cell>
          <cell r="K257">
            <v>9</v>
          </cell>
          <cell r="L257" t="str">
            <v>Changed designation from S136 to T416</v>
          </cell>
        </row>
        <row r="258">
          <cell r="A258" t="str">
            <v>RS 373</v>
          </cell>
          <cell r="B258">
            <v>195</v>
          </cell>
          <cell r="C258" t="str">
            <v>S</v>
          </cell>
          <cell r="D258" t="str">
            <v>F</v>
          </cell>
          <cell r="E258" t="str">
            <v>Chikwawa - Kapichira Falls</v>
          </cell>
          <cell r="F258" t="str">
            <v>T416</v>
          </cell>
          <cell r="G258">
            <v>2</v>
          </cell>
          <cell r="H258">
            <v>18.7</v>
          </cell>
          <cell r="I258" t="str">
            <v>R</v>
          </cell>
          <cell r="J258" t="str">
            <v>CHIKWAWA</v>
          </cell>
          <cell r="K258">
            <v>9</v>
          </cell>
          <cell r="L258" t="str">
            <v>Changed designation from S136 to T416</v>
          </cell>
        </row>
        <row r="259">
          <cell r="A259" t="str">
            <v>RS 767</v>
          </cell>
          <cell r="B259">
            <v>589</v>
          </cell>
          <cell r="C259" t="str">
            <v>S</v>
          </cell>
          <cell r="D259" t="str">
            <v>F</v>
          </cell>
          <cell r="E259" t="str">
            <v>Bvumbwe - Kumtendere</v>
          </cell>
          <cell r="F259" t="str">
            <v>T417</v>
          </cell>
          <cell r="G259">
            <v>1</v>
          </cell>
          <cell r="H259">
            <v>5.9</v>
          </cell>
          <cell r="I259" t="str">
            <v>R</v>
          </cell>
          <cell r="J259" t="str">
            <v>THYOLO</v>
          </cell>
          <cell r="K259">
            <v>9</v>
          </cell>
          <cell r="L259" t="str">
            <v>Changed designation from T418 to T418</v>
          </cell>
        </row>
        <row r="260">
          <cell r="A260" t="str">
            <v>RS 771</v>
          </cell>
          <cell r="B260">
            <v>593</v>
          </cell>
          <cell r="C260" t="str">
            <v>S</v>
          </cell>
          <cell r="D260" t="str">
            <v>F</v>
          </cell>
          <cell r="E260" t="str">
            <v>Kumtendere - Amali</v>
          </cell>
          <cell r="F260" t="str">
            <v>T417</v>
          </cell>
          <cell r="G260">
            <v>2</v>
          </cell>
          <cell r="H260">
            <v>4.9000000000000004</v>
          </cell>
          <cell r="I260" t="str">
            <v>FL</v>
          </cell>
          <cell r="J260" t="str">
            <v>THYOLO</v>
          </cell>
          <cell r="K260">
            <v>9</v>
          </cell>
          <cell r="L260" t="str">
            <v>Changed designation from T418 to T417</v>
          </cell>
        </row>
        <row r="261">
          <cell r="A261" t="str">
            <v>RS 769</v>
          </cell>
          <cell r="B261">
            <v>591</v>
          </cell>
          <cell r="C261" t="str">
            <v>S</v>
          </cell>
          <cell r="D261" t="str">
            <v>F</v>
          </cell>
          <cell r="E261" t="str">
            <v>Amalika - Thunga</v>
          </cell>
          <cell r="F261" t="str">
            <v>T417</v>
          </cell>
          <cell r="G261">
            <v>3</v>
          </cell>
          <cell r="H261">
            <v>3.5</v>
          </cell>
          <cell r="I261" t="str">
            <v>FL</v>
          </cell>
          <cell r="J261" t="str">
            <v>THYOLO</v>
          </cell>
          <cell r="K261">
            <v>9</v>
          </cell>
          <cell r="L261" t="str">
            <v>Changed designation from T418 to T418</v>
          </cell>
        </row>
        <row r="262">
          <cell r="A262" t="str">
            <v>RS 766</v>
          </cell>
          <cell r="B262">
            <v>588</v>
          </cell>
          <cell r="C262" t="str">
            <v>S</v>
          </cell>
          <cell r="D262" t="str">
            <v>F</v>
          </cell>
          <cell r="E262" t="str">
            <v>Thunga - Chidzunga</v>
          </cell>
          <cell r="F262" t="str">
            <v>T418</v>
          </cell>
          <cell r="G262">
            <v>1</v>
          </cell>
          <cell r="H262">
            <v>6.2</v>
          </cell>
          <cell r="I262" t="str">
            <v>FL</v>
          </cell>
          <cell r="J262" t="str">
            <v>THYOLO</v>
          </cell>
          <cell r="K262">
            <v>9</v>
          </cell>
        </row>
        <row r="263">
          <cell r="A263" t="str">
            <v>RS 770</v>
          </cell>
          <cell r="B263">
            <v>592</v>
          </cell>
          <cell r="C263" t="str">
            <v>S</v>
          </cell>
          <cell r="D263" t="str">
            <v>F</v>
          </cell>
          <cell r="E263" t="str">
            <v>Chidzunga - Changalo</v>
          </cell>
          <cell r="F263" t="str">
            <v>T418</v>
          </cell>
          <cell r="G263">
            <v>2</v>
          </cell>
          <cell r="H263">
            <v>4.4000000000000004</v>
          </cell>
          <cell r="I263" t="str">
            <v>R</v>
          </cell>
          <cell r="J263" t="str">
            <v>THYOLO</v>
          </cell>
          <cell r="K263">
            <v>9</v>
          </cell>
        </row>
        <row r="264">
          <cell r="A264" t="str">
            <v>RS 768</v>
          </cell>
          <cell r="B264">
            <v>590</v>
          </cell>
          <cell r="C264" t="str">
            <v>S</v>
          </cell>
          <cell r="D264" t="str">
            <v>F</v>
          </cell>
          <cell r="E264" t="str">
            <v>Changalo - Masenjere</v>
          </cell>
          <cell r="F264" t="str">
            <v>T418</v>
          </cell>
          <cell r="G264">
            <v>3</v>
          </cell>
          <cell r="H264">
            <v>6.7</v>
          </cell>
          <cell r="I264" t="str">
            <v>R</v>
          </cell>
          <cell r="J264" t="str">
            <v>THYOLO</v>
          </cell>
          <cell r="K264">
            <v>9</v>
          </cell>
        </row>
        <row r="265">
          <cell r="A265" t="str">
            <v>RS 424</v>
          </cell>
          <cell r="B265">
            <v>246</v>
          </cell>
          <cell r="C265" t="str">
            <v>S</v>
          </cell>
          <cell r="D265" t="str">
            <v>F</v>
          </cell>
          <cell r="E265" t="str">
            <v>Thuchira River - Chonde</v>
          </cell>
          <cell r="F265" t="str">
            <v>T419</v>
          </cell>
          <cell r="G265">
            <v>1</v>
          </cell>
          <cell r="H265">
            <v>3.1</v>
          </cell>
          <cell r="I265" t="str">
            <v>FL</v>
          </cell>
          <cell r="J265" t="str">
            <v>MULANJE</v>
          </cell>
          <cell r="K265">
            <v>9</v>
          </cell>
          <cell r="L265" t="str">
            <v>Changed designation from S149 to T419</v>
          </cell>
        </row>
        <row r="266">
          <cell r="A266" t="str">
            <v>RS 775</v>
          </cell>
          <cell r="B266">
            <v>597</v>
          </cell>
          <cell r="C266" t="str">
            <v>S</v>
          </cell>
          <cell r="D266" t="str">
            <v>F</v>
          </cell>
          <cell r="E266" t="str">
            <v>Luchenza - Kumadzi</v>
          </cell>
          <cell r="F266" t="str">
            <v>T420</v>
          </cell>
          <cell r="G266">
            <v>1</v>
          </cell>
          <cell r="H266">
            <v>18.7</v>
          </cell>
          <cell r="I266" t="str">
            <v>R</v>
          </cell>
          <cell r="J266" t="str">
            <v>THYOLO</v>
          </cell>
          <cell r="K266">
            <v>9</v>
          </cell>
        </row>
        <row r="267">
          <cell r="A267" t="str">
            <v>RS 772</v>
          </cell>
          <cell r="B267">
            <v>594</v>
          </cell>
          <cell r="C267" t="str">
            <v>S</v>
          </cell>
          <cell r="D267" t="str">
            <v>F</v>
          </cell>
          <cell r="E267" t="str">
            <v>Kumadzi - Sandama</v>
          </cell>
          <cell r="F267" t="str">
            <v>T420</v>
          </cell>
          <cell r="G267">
            <v>2</v>
          </cell>
          <cell r="H267">
            <v>17.3</v>
          </cell>
          <cell r="I267" t="str">
            <v>H</v>
          </cell>
          <cell r="J267" t="str">
            <v>THYOLO</v>
          </cell>
          <cell r="K267">
            <v>9</v>
          </cell>
        </row>
        <row r="268">
          <cell r="A268" t="str">
            <v>RS 773</v>
          </cell>
          <cell r="B268">
            <v>595</v>
          </cell>
          <cell r="C268" t="str">
            <v>S</v>
          </cell>
          <cell r="D268" t="str">
            <v>F</v>
          </cell>
          <cell r="E268" t="str">
            <v>Sandama - Mtepera</v>
          </cell>
          <cell r="F268" t="str">
            <v>T420</v>
          </cell>
          <cell r="G268">
            <v>3</v>
          </cell>
          <cell r="H268">
            <v>8.4</v>
          </cell>
          <cell r="I268" t="str">
            <v>FL</v>
          </cell>
          <cell r="J268" t="str">
            <v>THYOLO</v>
          </cell>
          <cell r="K268">
            <v>9</v>
          </cell>
        </row>
        <row r="269">
          <cell r="A269" t="str">
            <v>RS 774</v>
          </cell>
          <cell r="B269">
            <v>596</v>
          </cell>
          <cell r="C269" t="str">
            <v>S</v>
          </cell>
          <cell r="D269" t="str">
            <v>F</v>
          </cell>
          <cell r="E269" t="str">
            <v>Mtepera - Kolopwa</v>
          </cell>
          <cell r="F269" t="str">
            <v>T420</v>
          </cell>
          <cell r="G269">
            <v>4</v>
          </cell>
          <cell r="H269">
            <v>6.7</v>
          </cell>
          <cell r="I269" t="str">
            <v>H</v>
          </cell>
          <cell r="J269" t="str">
            <v>THYOLO</v>
          </cell>
          <cell r="K269">
            <v>9</v>
          </cell>
        </row>
        <row r="270">
          <cell r="A270" t="str">
            <v>RS 435</v>
          </cell>
          <cell r="B270">
            <v>257</v>
          </cell>
          <cell r="C270" t="str">
            <v>S</v>
          </cell>
          <cell r="D270" t="str">
            <v>F</v>
          </cell>
          <cell r="E270" t="str">
            <v>Kolopwa - Chinzama</v>
          </cell>
          <cell r="F270" t="str">
            <v>T420</v>
          </cell>
          <cell r="G270">
            <v>5</v>
          </cell>
          <cell r="H270">
            <v>5.8</v>
          </cell>
          <cell r="I270" t="str">
            <v>H</v>
          </cell>
          <cell r="J270" t="str">
            <v>THYOLO</v>
          </cell>
          <cell r="K270">
            <v>9</v>
          </cell>
          <cell r="L270" t="str">
            <v>Changed, S151 to T420</v>
          </cell>
        </row>
        <row r="271">
          <cell r="A271" t="str">
            <v>RS 776</v>
          </cell>
          <cell r="B271">
            <v>598</v>
          </cell>
          <cell r="C271" t="str">
            <v>S</v>
          </cell>
          <cell r="D271" t="str">
            <v>F</v>
          </cell>
          <cell r="E271" t="str">
            <v>Msikawanjala - Simbatiyawo</v>
          </cell>
          <cell r="F271" t="str">
            <v>T421</v>
          </cell>
          <cell r="G271">
            <v>1</v>
          </cell>
          <cell r="H271">
            <v>4.5999999999999996</v>
          </cell>
          <cell r="I271" t="str">
            <v>FL</v>
          </cell>
          <cell r="J271" t="str">
            <v>MULANJE</v>
          </cell>
          <cell r="K271">
            <v>9</v>
          </cell>
        </row>
        <row r="272">
          <cell r="A272" t="str">
            <v>RS 777</v>
          </cell>
          <cell r="B272">
            <v>599</v>
          </cell>
          <cell r="C272" t="str">
            <v>S</v>
          </cell>
          <cell r="D272" t="str">
            <v>F</v>
          </cell>
          <cell r="E272" t="str">
            <v>Simbatiyawo - Khombezi River</v>
          </cell>
          <cell r="F272" t="str">
            <v>T421</v>
          </cell>
          <cell r="G272">
            <v>2</v>
          </cell>
          <cell r="H272">
            <v>2.9</v>
          </cell>
          <cell r="I272" t="str">
            <v>FL</v>
          </cell>
          <cell r="J272" t="str">
            <v>MULANJE</v>
          </cell>
          <cell r="K272">
            <v>9</v>
          </cell>
        </row>
        <row r="273">
          <cell r="A273" t="str">
            <v>RS 778</v>
          </cell>
          <cell r="B273">
            <v>600</v>
          </cell>
          <cell r="C273" t="str">
            <v>S</v>
          </cell>
          <cell r="D273" t="str">
            <v>F</v>
          </cell>
          <cell r="E273" t="str">
            <v>Khombezi River - Mitombozi</v>
          </cell>
          <cell r="F273" t="str">
            <v>T421</v>
          </cell>
          <cell r="G273">
            <v>3</v>
          </cell>
          <cell r="H273">
            <v>12</v>
          </cell>
          <cell r="I273" t="str">
            <v>FL</v>
          </cell>
          <cell r="J273" t="str">
            <v>MULANJE</v>
          </cell>
          <cell r="K273">
            <v>9</v>
          </cell>
        </row>
        <row r="274">
          <cell r="A274" t="str">
            <v>RS 779</v>
          </cell>
          <cell r="B274">
            <v>601</v>
          </cell>
          <cell r="C274" t="str">
            <v>S</v>
          </cell>
          <cell r="D274" t="str">
            <v>F</v>
          </cell>
          <cell r="E274" t="str">
            <v>Malambi - Siyama</v>
          </cell>
          <cell r="F274" t="str">
            <v>T422</v>
          </cell>
          <cell r="G274">
            <v>1</v>
          </cell>
          <cell r="H274">
            <v>7.6</v>
          </cell>
          <cell r="I274" t="str">
            <v>FL</v>
          </cell>
          <cell r="J274" t="str">
            <v>MULANJE</v>
          </cell>
          <cell r="K274">
            <v>9</v>
          </cell>
        </row>
        <row r="275">
          <cell r="A275" t="str">
            <v>RS 783</v>
          </cell>
          <cell r="B275">
            <v>605</v>
          </cell>
          <cell r="C275" t="str">
            <v>S</v>
          </cell>
          <cell r="D275" t="str">
            <v>F</v>
          </cell>
          <cell r="E275" t="str">
            <v>Lengwe T.O. - Tomali</v>
          </cell>
          <cell r="F275" t="str">
            <v>T423</v>
          </cell>
          <cell r="G275">
            <v>1</v>
          </cell>
          <cell r="H275">
            <v>9.8000000000000007</v>
          </cell>
          <cell r="I275" t="str">
            <v>FL</v>
          </cell>
          <cell r="J275" t="str">
            <v>CHIKWAWA</v>
          </cell>
          <cell r="K275">
            <v>9</v>
          </cell>
        </row>
        <row r="276">
          <cell r="A276" t="str">
            <v>RS 780</v>
          </cell>
          <cell r="B276">
            <v>602</v>
          </cell>
          <cell r="C276" t="str">
            <v>S</v>
          </cell>
          <cell r="D276" t="str">
            <v>F</v>
          </cell>
          <cell r="E276" t="str">
            <v>Tomali -  Mbuzi</v>
          </cell>
          <cell r="F276" t="str">
            <v>T423</v>
          </cell>
          <cell r="G276">
            <v>2</v>
          </cell>
          <cell r="H276">
            <v>15.9</v>
          </cell>
          <cell r="I276" t="str">
            <v>R</v>
          </cell>
          <cell r="J276" t="str">
            <v>CHIKWAWA</v>
          </cell>
          <cell r="K276">
            <v>9</v>
          </cell>
          <cell r="L276" t="str">
            <v>Changed designation from T422 to T423</v>
          </cell>
        </row>
        <row r="277">
          <cell r="A277" t="str">
            <v>RS 781</v>
          </cell>
          <cell r="B277">
            <v>603</v>
          </cell>
          <cell r="C277" t="str">
            <v>S</v>
          </cell>
          <cell r="D277" t="str">
            <v>F</v>
          </cell>
          <cell r="E277" t="str">
            <v>Mbuzi - Njirang'ombe River</v>
          </cell>
          <cell r="F277" t="str">
            <v>T423</v>
          </cell>
          <cell r="G277">
            <v>3</v>
          </cell>
          <cell r="H277">
            <v>15.8</v>
          </cell>
          <cell r="I277" t="str">
            <v>FL</v>
          </cell>
          <cell r="J277" t="str">
            <v>CHIKWAWA</v>
          </cell>
          <cell r="K277">
            <v>9</v>
          </cell>
        </row>
        <row r="278">
          <cell r="A278" t="str">
            <v>RS 782</v>
          </cell>
          <cell r="B278">
            <v>604</v>
          </cell>
          <cell r="C278" t="str">
            <v>S</v>
          </cell>
          <cell r="D278" t="str">
            <v>F</v>
          </cell>
          <cell r="E278" t="str">
            <v>Njirang'ombe River - Gama</v>
          </cell>
          <cell r="F278" t="str">
            <v>T423</v>
          </cell>
          <cell r="G278">
            <v>4</v>
          </cell>
          <cell r="H278">
            <v>21.1</v>
          </cell>
          <cell r="I278" t="str">
            <v>FL</v>
          </cell>
          <cell r="J278" t="str">
            <v>CHIKWAWA</v>
          </cell>
          <cell r="K278">
            <v>10</v>
          </cell>
        </row>
        <row r="279">
          <cell r="A279" t="str">
            <v>RS 789</v>
          </cell>
          <cell r="B279">
            <v>611</v>
          </cell>
          <cell r="C279" t="str">
            <v>S</v>
          </cell>
          <cell r="D279" t="str">
            <v>F</v>
          </cell>
          <cell r="E279" t="str">
            <v>Goma - Namikalango River</v>
          </cell>
          <cell r="F279" t="str">
            <v>T424</v>
          </cell>
          <cell r="G279">
            <v>1</v>
          </cell>
          <cell r="H279">
            <v>7.9</v>
          </cell>
          <cell r="I279" t="str">
            <v>R</v>
          </cell>
          <cell r="J279" t="str">
            <v>NSANJE</v>
          </cell>
          <cell r="K279">
            <v>10</v>
          </cell>
          <cell r="L279" t="str">
            <v>Changed designation from T424 to T425</v>
          </cell>
        </row>
        <row r="280">
          <cell r="A280" t="str">
            <v>RS 785</v>
          </cell>
          <cell r="B280">
            <v>607</v>
          </cell>
          <cell r="C280" t="str">
            <v>S</v>
          </cell>
          <cell r="D280" t="str">
            <v>F</v>
          </cell>
          <cell r="E280" t="str">
            <v>Namikalango River - Ngabu</v>
          </cell>
          <cell r="F280" t="str">
            <v>T424</v>
          </cell>
          <cell r="G280">
            <v>2</v>
          </cell>
          <cell r="H280">
            <v>7.1</v>
          </cell>
          <cell r="I280" t="str">
            <v>FL</v>
          </cell>
          <cell r="J280" t="str">
            <v>CHIKWAWA</v>
          </cell>
          <cell r="K280">
            <v>10</v>
          </cell>
        </row>
        <row r="281">
          <cell r="A281" t="str">
            <v>RS 786</v>
          </cell>
          <cell r="B281">
            <v>608</v>
          </cell>
          <cell r="C281" t="str">
            <v>S</v>
          </cell>
          <cell r="D281" t="str">
            <v>F</v>
          </cell>
          <cell r="E281" t="str">
            <v>Ngabu - Ngabu roundabout</v>
          </cell>
          <cell r="F281" t="str">
            <v>T424</v>
          </cell>
          <cell r="G281">
            <v>3</v>
          </cell>
          <cell r="H281">
            <v>5.5</v>
          </cell>
          <cell r="I281" t="str">
            <v>FL</v>
          </cell>
          <cell r="J281" t="str">
            <v>CHIKWAWA</v>
          </cell>
          <cell r="K281">
            <v>10</v>
          </cell>
        </row>
        <row r="282">
          <cell r="A282" t="str">
            <v>RS 784</v>
          </cell>
          <cell r="B282">
            <v>606</v>
          </cell>
          <cell r="C282" t="str">
            <v>S</v>
          </cell>
          <cell r="D282" t="str">
            <v>F</v>
          </cell>
          <cell r="E282" t="str">
            <v>Ngabu roundabout - Saopa</v>
          </cell>
          <cell r="F282" t="str">
            <v>T424</v>
          </cell>
          <cell r="G282">
            <v>4</v>
          </cell>
          <cell r="H282">
            <v>6.9</v>
          </cell>
          <cell r="I282" t="str">
            <v>FL</v>
          </cell>
          <cell r="J282" t="str">
            <v>CHIKWAWA</v>
          </cell>
          <cell r="K282">
            <v>10</v>
          </cell>
        </row>
        <row r="283">
          <cell r="A283" t="str">
            <v>RS 787</v>
          </cell>
          <cell r="B283">
            <v>609</v>
          </cell>
          <cell r="C283" t="str">
            <v>S</v>
          </cell>
          <cell r="D283" t="str">
            <v>F</v>
          </cell>
          <cell r="E283" t="str">
            <v>Saopa - Mozambique boundary</v>
          </cell>
          <cell r="F283" t="str">
            <v>T424</v>
          </cell>
          <cell r="G283">
            <v>5</v>
          </cell>
          <cell r="H283">
            <v>9</v>
          </cell>
          <cell r="I283" t="str">
            <v>FL</v>
          </cell>
          <cell r="J283" t="str">
            <v>CHIKWAWA</v>
          </cell>
          <cell r="K283">
            <v>10</v>
          </cell>
        </row>
        <row r="284">
          <cell r="A284" t="str">
            <v>RS 788</v>
          </cell>
          <cell r="B284">
            <v>610</v>
          </cell>
          <cell r="C284" t="str">
            <v>S</v>
          </cell>
          <cell r="D284" t="str">
            <v>F</v>
          </cell>
          <cell r="E284" t="str">
            <v>Lundu - Mbewu House</v>
          </cell>
          <cell r="F284" t="str">
            <v>T425</v>
          </cell>
          <cell r="G284">
            <v>1</v>
          </cell>
          <cell r="H284">
            <v>19.600000000000001</v>
          </cell>
          <cell r="I284" t="str">
            <v>FL</v>
          </cell>
          <cell r="J284" t="str">
            <v>NSANJE</v>
          </cell>
          <cell r="K284">
            <v>10</v>
          </cell>
        </row>
        <row r="285">
          <cell r="A285" t="str">
            <v>RS 791</v>
          </cell>
          <cell r="B285">
            <v>613</v>
          </cell>
          <cell r="C285" t="str">
            <v>S</v>
          </cell>
          <cell r="D285" t="str">
            <v>F</v>
          </cell>
          <cell r="E285" t="str">
            <v>Marka - Dundu river</v>
          </cell>
          <cell r="F285" t="str">
            <v>T426</v>
          </cell>
          <cell r="G285">
            <v>1</v>
          </cell>
          <cell r="H285">
            <v>10.9</v>
          </cell>
          <cell r="I285" t="str">
            <v>R</v>
          </cell>
          <cell r="J285" t="str">
            <v>NSANJE</v>
          </cell>
          <cell r="K285">
            <v>10</v>
          </cell>
        </row>
        <row r="286">
          <cell r="A286" t="str">
            <v>RS 792</v>
          </cell>
          <cell r="B286">
            <v>614</v>
          </cell>
          <cell r="C286" t="str">
            <v>S</v>
          </cell>
          <cell r="D286" t="str">
            <v>F</v>
          </cell>
          <cell r="E286" t="str">
            <v>Dundu River - Lulwe</v>
          </cell>
          <cell r="F286" t="str">
            <v>T426</v>
          </cell>
          <cell r="G286">
            <v>2</v>
          </cell>
          <cell r="H286">
            <v>6.7</v>
          </cell>
          <cell r="I286" t="str">
            <v>FL</v>
          </cell>
          <cell r="J286" t="str">
            <v>NSANJE</v>
          </cell>
          <cell r="K286">
            <v>10</v>
          </cell>
        </row>
        <row r="287">
          <cell r="A287" t="str">
            <v>RS 667</v>
          </cell>
          <cell r="B287">
            <v>489</v>
          </cell>
          <cell r="C287" t="str">
            <v>C</v>
          </cell>
          <cell r="D287" t="str">
            <v>F</v>
          </cell>
          <cell r="E287" t="str">
            <v>Area 25  - Kasengere/Ndodani - Junction T347</v>
          </cell>
          <cell r="F287" t="str">
            <v>UD</v>
          </cell>
          <cell r="G287">
            <v>1</v>
          </cell>
          <cell r="H287">
            <v>10</v>
          </cell>
          <cell r="I287" t="str">
            <v>R</v>
          </cell>
          <cell r="J287" t="str">
            <v>LILONGWE</v>
          </cell>
          <cell r="K287">
            <v>6</v>
          </cell>
        </row>
        <row r="288">
          <cell r="A288" t="str">
            <v>RS 467</v>
          </cell>
          <cell r="B288">
            <v>289</v>
          </cell>
          <cell r="C288" t="str">
            <v>N</v>
          </cell>
          <cell r="D288" t="str">
            <v>F</v>
          </cell>
          <cell r="E288" t="str">
            <v>Davide Kameme-Titi</v>
          </cell>
          <cell r="F288" t="str">
            <v>D001</v>
          </cell>
          <cell r="G288">
            <v>1</v>
          </cell>
          <cell r="H288">
            <v>14</v>
          </cell>
          <cell r="I288" t="str">
            <v>H</v>
          </cell>
          <cell r="J288" t="str">
            <v>CHITIPA</v>
          </cell>
          <cell r="K288">
            <v>1</v>
          </cell>
        </row>
        <row r="289">
          <cell r="A289" t="str">
            <v>RS 444</v>
          </cell>
          <cell r="B289">
            <v>266</v>
          </cell>
          <cell r="C289" t="str">
            <v>N</v>
          </cell>
          <cell r="D289" t="str">
            <v>F</v>
          </cell>
          <cell r="E289" t="str">
            <v>Fikolo Mkisi - Winston Kmeme</v>
          </cell>
          <cell r="F289" t="str">
            <v>T301</v>
          </cell>
          <cell r="G289">
            <v>1</v>
          </cell>
          <cell r="H289">
            <v>24.8</v>
          </cell>
          <cell r="I289">
            <v>1</v>
          </cell>
          <cell r="J289" t="str">
            <v>CHITIPA</v>
          </cell>
          <cell r="K289">
            <v>1</v>
          </cell>
          <cell r="L289" t="str">
            <v>Changed designation from T301 to D2</v>
          </cell>
        </row>
        <row r="290">
          <cell r="A290" t="str">
            <v>RS 469</v>
          </cell>
          <cell r="B290">
            <v>291</v>
          </cell>
          <cell r="C290" t="str">
            <v>N</v>
          </cell>
          <cell r="D290" t="str">
            <v>F</v>
          </cell>
          <cell r="E290" t="str">
            <v>Karonga Village - Fikolo Mkisi</v>
          </cell>
          <cell r="F290" t="str">
            <v>D003</v>
          </cell>
          <cell r="G290">
            <v>1</v>
          </cell>
          <cell r="H290">
            <v>32</v>
          </cell>
          <cell r="I290" t="str">
            <v>H</v>
          </cell>
          <cell r="J290" t="str">
            <v>CHITIPA</v>
          </cell>
          <cell r="K290">
            <v>1</v>
          </cell>
        </row>
        <row r="291">
          <cell r="A291" t="str">
            <v>RS 470</v>
          </cell>
          <cell r="B291">
            <v>292</v>
          </cell>
          <cell r="C291" t="str">
            <v>N</v>
          </cell>
          <cell r="D291" t="str">
            <v>F</v>
          </cell>
          <cell r="E291" t="str">
            <v>Fikolo Mkisi - Nkhangwa - junctionT301</v>
          </cell>
          <cell r="F291" t="str">
            <v>D003</v>
          </cell>
          <cell r="G291">
            <v>2</v>
          </cell>
          <cell r="H291">
            <v>11</v>
          </cell>
          <cell r="I291" t="str">
            <v>R</v>
          </cell>
          <cell r="J291" t="str">
            <v>CHITIPA</v>
          </cell>
          <cell r="K291">
            <v>1</v>
          </cell>
        </row>
        <row r="292">
          <cell r="A292" t="str">
            <v>RS 471</v>
          </cell>
          <cell r="B292">
            <v>293</v>
          </cell>
          <cell r="C292" t="str">
            <v>N</v>
          </cell>
          <cell r="D292" t="str">
            <v>F</v>
          </cell>
          <cell r="E292" t="str">
            <v>Nkhangwa - junction D008</v>
          </cell>
          <cell r="F292" t="str">
            <v>D006</v>
          </cell>
          <cell r="G292">
            <v>1</v>
          </cell>
          <cell r="H292">
            <v>9.5</v>
          </cell>
          <cell r="I292" t="str">
            <v>F</v>
          </cell>
          <cell r="J292" t="str">
            <v>CHITIPA</v>
          </cell>
          <cell r="K292">
            <v>1</v>
          </cell>
        </row>
        <row r="293">
          <cell r="A293" t="str">
            <v>RS 472</v>
          </cell>
          <cell r="B293">
            <v>294</v>
          </cell>
          <cell r="C293" t="str">
            <v>N</v>
          </cell>
          <cell r="D293" t="str">
            <v>F</v>
          </cell>
          <cell r="E293" t="str">
            <v>Junction D6 &amp; D8 - Junction D3</v>
          </cell>
          <cell r="F293" t="str">
            <v>D007</v>
          </cell>
          <cell r="G293">
            <v>1</v>
          </cell>
          <cell r="H293">
            <v>8.6999999999999993</v>
          </cell>
          <cell r="I293" t="str">
            <v>R</v>
          </cell>
          <cell r="J293" t="str">
            <v>CHITIPA</v>
          </cell>
          <cell r="K293">
            <v>1</v>
          </cell>
        </row>
        <row r="294">
          <cell r="A294" t="str">
            <v>RS 473</v>
          </cell>
          <cell r="B294">
            <v>295</v>
          </cell>
          <cell r="C294" t="str">
            <v>N</v>
          </cell>
          <cell r="D294" t="str">
            <v>F</v>
          </cell>
          <cell r="E294" t="str">
            <v>Chitipa - Junction D6 &amp; D7</v>
          </cell>
          <cell r="F294" t="str">
            <v>D008</v>
          </cell>
          <cell r="G294">
            <v>1</v>
          </cell>
          <cell r="H294">
            <v>8.5</v>
          </cell>
          <cell r="I294" t="str">
            <v>F</v>
          </cell>
          <cell r="J294" t="str">
            <v>CHITIPA</v>
          </cell>
          <cell r="K294">
            <v>1</v>
          </cell>
        </row>
        <row r="295">
          <cell r="A295" t="str">
            <v>RS 474</v>
          </cell>
          <cell r="B295">
            <v>296</v>
          </cell>
          <cell r="C295" t="str">
            <v>N</v>
          </cell>
          <cell r="D295" t="str">
            <v>F</v>
          </cell>
          <cell r="E295" t="str">
            <v>junction M26 - S.E. Chinunkha</v>
          </cell>
          <cell r="F295" t="str">
            <v>D009</v>
          </cell>
          <cell r="G295">
            <v>1</v>
          </cell>
          <cell r="H295">
            <v>10.5</v>
          </cell>
          <cell r="I295" t="str">
            <v>H</v>
          </cell>
          <cell r="J295" t="str">
            <v>CHITIPA</v>
          </cell>
          <cell r="K295">
            <v>1</v>
          </cell>
        </row>
        <row r="296">
          <cell r="A296" t="str">
            <v>RS 475</v>
          </cell>
          <cell r="B296">
            <v>297</v>
          </cell>
          <cell r="C296" t="str">
            <v>N</v>
          </cell>
          <cell r="D296" t="str">
            <v>F</v>
          </cell>
          <cell r="E296" t="str">
            <v>Misuku South - Tanzania Border</v>
          </cell>
          <cell r="F296" t="str">
            <v>D010</v>
          </cell>
          <cell r="G296">
            <v>1</v>
          </cell>
          <cell r="H296">
            <v>11.1</v>
          </cell>
          <cell r="I296" t="str">
            <v>H</v>
          </cell>
          <cell r="J296" t="str">
            <v>CHITIPA</v>
          </cell>
          <cell r="K296">
            <v>1</v>
          </cell>
        </row>
        <row r="297">
          <cell r="A297" t="str">
            <v>RS 476</v>
          </cell>
          <cell r="B297">
            <v>298</v>
          </cell>
          <cell r="C297" t="str">
            <v>N</v>
          </cell>
          <cell r="D297" t="str">
            <v>F</v>
          </cell>
          <cell r="E297" t="str">
            <v>Sokora - Misuku</v>
          </cell>
          <cell r="F297" t="str">
            <v>D011</v>
          </cell>
          <cell r="G297">
            <v>1</v>
          </cell>
          <cell r="H297">
            <v>5.0999999999999996</v>
          </cell>
          <cell r="I297" t="str">
            <v>H</v>
          </cell>
          <cell r="J297" t="str">
            <v>CHITIPA</v>
          </cell>
          <cell r="K297">
            <v>1</v>
          </cell>
        </row>
        <row r="298">
          <cell r="A298" t="str">
            <v>RS 477</v>
          </cell>
          <cell r="B298">
            <v>299</v>
          </cell>
          <cell r="C298" t="str">
            <v>N</v>
          </cell>
          <cell r="D298" t="str">
            <v>F</v>
          </cell>
          <cell r="E298" t="str">
            <v>Mwakalomba - Songwe River</v>
          </cell>
          <cell r="F298" t="str">
            <v>D015</v>
          </cell>
          <cell r="G298">
            <v>1</v>
          </cell>
          <cell r="H298">
            <v>15.3</v>
          </cell>
          <cell r="I298" t="str">
            <v>H</v>
          </cell>
          <cell r="J298" t="str">
            <v>KARONGA</v>
          </cell>
          <cell r="K298">
            <v>1</v>
          </cell>
        </row>
        <row r="299">
          <cell r="A299" t="str">
            <v>RS 478</v>
          </cell>
          <cell r="B299">
            <v>300</v>
          </cell>
          <cell r="C299" t="str">
            <v>N</v>
          </cell>
          <cell r="D299" t="str">
            <v>F</v>
          </cell>
          <cell r="E299" t="str">
            <v>Kakoma - West of M1</v>
          </cell>
          <cell r="F299" t="str">
            <v>D020</v>
          </cell>
          <cell r="G299">
            <v>1</v>
          </cell>
          <cell r="H299">
            <v>11</v>
          </cell>
          <cell r="I299" t="str">
            <v>F</v>
          </cell>
          <cell r="J299" t="str">
            <v>KARONGA</v>
          </cell>
          <cell r="K299">
            <v>1</v>
          </cell>
        </row>
        <row r="300">
          <cell r="A300" t="str">
            <v>RS 479</v>
          </cell>
          <cell r="B300">
            <v>301</v>
          </cell>
          <cell r="C300" t="str">
            <v>N</v>
          </cell>
          <cell r="D300" t="str">
            <v>F</v>
          </cell>
          <cell r="E300" t="str">
            <v>Usaka loop - junction M1</v>
          </cell>
          <cell r="F300" t="str">
            <v>D021</v>
          </cell>
          <cell r="G300">
            <v>1</v>
          </cell>
          <cell r="H300">
            <v>17.5</v>
          </cell>
          <cell r="I300" t="str">
            <v>H</v>
          </cell>
          <cell r="J300" t="str">
            <v>KARONGA</v>
          </cell>
          <cell r="K300">
            <v>1</v>
          </cell>
        </row>
        <row r="301">
          <cell r="A301" t="str">
            <v>RS 480</v>
          </cell>
          <cell r="B301">
            <v>302</v>
          </cell>
          <cell r="C301" t="str">
            <v>N</v>
          </cell>
          <cell r="D301" t="str">
            <v>F</v>
          </cell>
          <cell r="E301" t="str">
            <v>Mwandwa - Mwandwa South</v>
          </cell>
          <cell r="F301" t="str">
            <v>D022</v>
          </cell>
          <cell r="G301">
            <v>1</v>
          </cell>
          <cell r="H301">
            <v>6.5</v>
          </cell>
          <cell r="I301" t="str">
            <v>F</v>
          </cell>
          <cell r="J301" t="str">
            <v>KARONGA</v>
          </cell>
          <cell r="K301">
            <v>1</v>
          </cell>
        </row>
        <row r="302">
          <cell r="A302" t="str">
            <v>RS 481</v>
          </cell>
          <cell r="B302">
            <v>303</v>
          </cell>
          <cell r="C302" t="str">
            <v>N</v>
          </cell>
          <cell r="D302" t="str">
            <v>F</v>
          </cell>
          <cell r="E302" t="str">
            <v>Mlali - Mwambelo Village</v>
          </cell>
          <cell r="F302" t="str">
            <v>D023</v>
          </cell>
          <cell r="G302">
            <v>1</v>
          </cell>
          <cell r="H302">
            <v>2.5</v>
          </cell>
          <cell r="I302" t="str">
            <v>F</v>
          </cell>
          <cell r="J302" t="str">
            <v>KARONGA</v>
          </cell>
          <cell r="K302">
            <v>2</v>
          </cell>
        </row>
        <row r="303">
          <cell r="A303" t="str">
            <v>RS 482</v>
          </cell>
          <cell r="B303">
            <v>304</v>
          </cell>
          <cell r="C303" t="str">
            <v>N</v>
          </cell>
          <cell r="D303" t="str">
            <v>F</v>
          </cell>
          <cell r="E303" t="str">
            <v>Nyungwe - Thawilo</v>
          </cell>
          <cell r="F303" t="str">
            <v>D024</v>
          </cell>
          <cell r="G303">
            <v>1</v>
          </cell>
          <cell r="H303">
            <v>6.1</v>
          </cell>
          <cell r="I303" t="str">
            <v>F</v>
          </cell>
          <cell r="J303" t="str">
            <v>KARONGA</v>
          </cell>
          <cell r="K303">
            <v>2</v>
          </cell>
        </row>
        <row r="304">
          <cell r="A304" t="str">
            <v>RS 483</v>
          </cell>
          <cell r="B304">
            <v>305</v>
          </cell>
          <cell r="C304" t="str">
            <v>N</v>
          </cell>
          <cell r="D304" t="str">
            <v>F</v>
          </cell>
          <cell r="E304" t="str">
            <v>Wovwe - Wovwe Scheme</v>
          </cell>
          <cell r="F304" t="str">
            <v>D025</v>
          </cell>
          <cell r="G304">
            <v>1</v>
          </cell>
          <cell r="H304">
            <v>2.5</v>
          </cell>
          <cell r="I304" t="str">
            <v>F</v>
          </cell>
          <cell r="J304" t="str">
            <v>KARONGA</v>
          </cell>
          <cell r="K304">
            <v>2</v>
          </cell>
        </row>
        <row r="305">
          <cell r="A305" t="str">
            <v>RS 484</v>
          </cell>
          <cell r="B305">
            <v>306</v>
          </cell>
          <cell r="C305" t="str">
            <v>N</v>
          </cell>
          <cell r="D305" t="str">
            <v>F</v>
          </cell>
          <cell r="E305" t="str">
            <v>Hara - Bundi</v>
          </cell>
          <cell r="F305" t="str">
            <v>D026</v>
          </cell>
          <cell r="G305">
            <v>1</v>
          </cell>
          <cell r="H305">
            <v>2.6</v>
          </cell>
          <cell r="I305" t="str">
            <v>F</v>
          </cell>
          <cell r="J305" t="str">
            <v>KARONGA</v>
          </cell>
          <cell r="K305">
            <v>2</v>
          </cell>
        </row>
        <row r="306">
          <cell r="A306" t="str">
            <v>RS 485</v>
          </cell>
          <cell r="B306">
            <v>307</v>
          </cell>
          <cell r="C306" t="str">
            <v>N</v>
          </cell>
          <cell r="D306" t="str">
            <v>F</v>
          </cell>
          <cell r="E306" t="str">
            <v>Lura - Mchenga</v>
          </cell>
          <cell r="F306" t="str">
            <v>D030</v>
          </cell>
          <cell r="G306">
            <v>1</v>
          </cell>
          <cell r="H306">
            <v>11.2</v>
          </cell>
          <cell r="I306" t="str">
            <v>R</v>
          </cell>
          <cell r="J306" t="str">
            <v>RUMPHI</v>
          </cell>
          <cell r="K306">
            <v>2</v>
          </cell>
        </row>
        <row r="307">
          <cell r="A307" t="str">
            <v>RS 486</v>
          </cell>
          <cell r="B307">
            <v>308</v>
          </cell>
          <cell r="C307" t="str">
            <v>N</v>
          </cell>
          <cell r="D307" t="str">
            <v>F</v>
          </cell>
          <cell r="E307" t="str">
            <v>South Lura - West T305</v>
          </cell>
          <cell r="F307" t="str">
            <v>D031</v>
          </cell>
          <cell r="G307">
            <v>1</v>
          </cell>
          <cell r="H307">
            <v>3.1</v>
          </cell>
          <cell r="I307" t="str">
            <v>R</v>
          </cell>
          <cell r="J307" t="str">
            <v>RUMPHI</v>
          </cell>
          <cell r="K307">
            <v>2</v>
          </cell>
        </row>
        <row r="308">
          <cell r="A308" t="str">
            <v>RS 487</v>
          </cell>
          <cell r="B308">
            <v>309</v>
          </cell>
          <cell r="C308" t="str">
            <v>N</v>
          </cell>
          <cell r="D308" t="str">
            <v>F</v>
          </cell>
          <cell r="E308" t="str">
            <v>Hewe - Chisimuka</v>
          </cell>
          <cell r="F308" t="str">
            <v>D032</v>
          </cell>
          <cell r="G308">
            <v>1</v>
          </cell>
          <cell r="H308">
            <v>7.1</v>
          </cell>
          <cell r="I308" t="str">
            <v>R</v>
          </cell>
          <cell r="J308" t="str">
            <v>RUMPHI</v>
          </cell>
          <cell r="K308">
            <v>2</v>
          </cell>
        </row>
        <row r="309">
          <cell r="A309" t="str">
            <v>RS 488</v>
          </cell>
          <cell r="B309">
            <v>310</v>
          </cell>
          <cell r="C309" t="str">
            <v>N</v>
          </cell>
          <cell r="D309" t="str">
            <v>F</v>
          </cell>
          <cell r="E309" t="str">
            <v>Katowo - South West Katowo</v>
          </cell>
          <cell r="F309" t="str">
            <v>D033</v>
          </cell>
          <cell r="G309">
            <v>1</v>
          </cell>
          <cell r="H309">
            <v>6.5</v>
          </cell>
          <cell r="I309" t="str">
            <v>R</v>
          </cell>
          <cell r="J309" t="str">
            <v>RUMPHI</v>
          </cell>
          <cell r="K309">
            <v>2</v>
          </cell>
        </row>
        <row r="310">
          <cell r="A310" t="str">
            <v>RS 489</v>
          </cell>
          <cell r="B310">
            <v>311</v>
          </cell>
          <cell r="C310" t="str">
            <v>N</v>
          </cell>
          <cell r="D310" t="str">
            <v>F</v>
          </cell>
          <cell r="E310" t="str">
            <v>Katowo - East Katowo</v>
          </cell>
          <cell r="F310" t="str">
            <v>D034</v>
          </cell>
          <cell r="G310">
            <v>1</v>
          </cell>
          <cell r="H310">
            <v>2.8</v>
          </cell>
          <cell r="I310" t="str">
            <v>R</v>
          </cell>
          <cell r="J310" t="str">
            <v>RUMPHI</v>
          </cell>
          <cell r="K310">
            <v>2</v>
          </cell>
        </row>
        <row r="311">
          <cell r="A311" t="str">
            <v>RS 490</v>
          </cell>
          <cell r="B311">
            <v>312</v>
          </cell>
          <cell r="C311" t="str">
            <v>N</v>
          </cell>
          <cell r="D311" t="str">
            <v>F</v>
          </cell>
          <cell r="E311" t="str">
            <v>South Katowo - West S104</v>
          </cell>
          <cell r="F311" t="str">
            <v>D035</v>
          </cell>
          <cell r="G311">
            <v>1</v>
          </cell>
          <cell r="H311">
            <v>7.2</v>
          </cell>
          <cell r="I311" t="str">
            <v>F</v>
          </cell>
          <cell r="J311" t="str">
            <v>MZIMBA</v>
          </cell>
          <cell r="K311">
            <v>3</v>
          </cell>
        </row>
        <row r="312">
          <cell r="A312" t="str">
            <v>RS 491</v>
          </cell>
          <cell r="B312">
            <v>313</v>
          </cell>
          <cell r="C312" t="str">
            <v>N</v>
          </cell>
          <cell r="D312" t="str">
            <v>F</v>
          </cell>
          <cell r="E312" t="str">
            <v>South East Bembe - Chikwawa East</v>
          </cell>
          <cell r="F312" t="str">
            <v>D036</v>
          </cell>
          <cell r="G312">
            <v>1</v>
          </cell>
          <cell r="H312">
            <v>13.4</v>
          </cell>
          <cell r="I312" t="str">
            <v>F</v>
          </cell>
          <cell r="J312" t="str">
            <v>RUMPHI</v>
          </cell>
          <cell r="K312">
            <v>3</v>
          </cell>
        </row>
        <row r="313">
          <cell r="A313" t="str">
            <v>RS 492</v>
          </cell>
          <cell r="B313">
            <v>314</v>
          </cell>
          <cell r="C313" t="str">
            <v>N</v>
          </cell>
          <cell r="D313" t="str">
            <v>F</v>
          </cell>
          <cell r="E313" t="str">
            <v>North Bolero - Junction M9</v>
          </cell>
          <cell r="F313" t="str">
            <v>D037</v>
          </cell>
          <cell r="G313">
            <v>1</v>
          </cell>
          <cell r="H313">
            <v>12.2</v>
          </cell>
          <cell r="I313" t="str">
            <v>R</v>
          </cell>
          <cell r="J313" t="str">
            <v>RUMPHI</v>
          </cell>
          <cell r="K313">
            <v>3</v>
          </cell>
        </row>
        <row r="314">
          <cell r="A314" t="str">
            <v>RS 493</v>
          </cell>
          <cell r="B314">
            <v>315</v>
          </cell>
          <cell r="C314" t="str">
            <v>N</v>
          </cell>
          <cell r="D314" t="str">
            <v>F</v>
          </cell>
          <cell r="E314" t="str">
            <v>North West Bolero - North East Bolero</v>
          </cell>
          <cell r="F314" t="str">
            <v>D038</v>
          </cell>
          <cell r="G314">
            <v>1</v>
          </cell>
          <cell r="H314">
            <v>9.8000000000000007</v>
          </cell>
          <cell r="I314" t="str">
            <v>F</v>
          </cell>
          <cell r="J314" t="str">
            <v>RUMPHI</v>
          </cell>
          <cell r="K314">
            <v>3</v>
          </cell>
        </row>
        <row r="315">
          <cell r="A315" t="str">
            <v>RS 494</v>
          </cell>
          <cell r="B315">
            <v>316</v>
          </cell>
          <cell r="C315" t="str">
            <v>N</v>
          </cell>
          <cell r="D315" t="str">
            <v>F</v>
          </cell>
          <cell r="E315" t="str">
            <v>Kawalazi - Junction M5</v>
          </cell>
          <cell r="F315" t="str">
            <v>D044</v>
          </cell>
          <cell r="G315">
            <v>1</v>
          </cell>
          <cell r="H315">
            <v>16.399999999999999</v>
          </cell>
          <cell r="I315" t="str">
            <v>F</v>
          </cell>
          <cell r="J315" t="str">
            <v>NKHATA BAY</v>
          </cell>
          <cell r="K315">
            <v>3</v>
          </cell>
        </row>
        <row r="316">
          <cell r="A316" t="str">
            <v>RS 495</v>
          </cell>
          <cell r="B316">
            <v>317</v>
          </cell>
          <cell r="C316" t="str">
            <v>N</v>
          </cell>
          <cell r="D316" t="str">
            <v>F</v>
          </cell>
          <cell r="E316" t="str">
            <v>Chintheche - Mugondi</v>
          </cell>
          <cell r="F316" t="str">
            <v>D045</v>
          </cell>
          <cell r="G316">
            <v>1</v>
          </cell>
          <cell r="H316">
            <v>5.3</v>
          </cell>
          <cell r="I316" t="str">
            <v>R</v>
          </cell>
          <cell r="J316" t="str">
            <v>NKHATA BAY</v>
          </cell>
          <cell r="K316">
            <v>4</v>
          </cell>
        </row>
        <row r="317">
          <cell r="A317" t="str">
            <v>RS 496</v>
          </cell>
          <cell r="B317">
            <v>318</v>
          </cell>
          <cell r="C317" t="str">
            <v>N</v>
          </cell>
          <cell r="D317" t="str">
            <v>F</v>
          </cell>
          <cell r="E317" t="str">
            <v>Kamwe - Vongo</v>
          </cell>
          <cell r="F317" t="str">
            <v>D050</v>
          </cell>
          <cell r="G317">
            <v>1</v>
          </cell>
          <cell r="H317">
            <v>12</v>
          </cell>
          <cell r="I317" t="str">
            <v>R</v>
          </cell>
          <cell r="J317" t="str">
            <v>RUMPHI</v>
          </cell>
          <cell r="K317">
            <v>3</v>
          </cell>
        </row>
        <row r="318">
          <cell r="A318" t="str">
            <v>RS 497</v>
          </cell>
          <cell r="B318">
            <v>319</v>
          </cell>
          <cell r="C318" t="str">
            <v>N</v>
          </cell>
          <cell r="D318" t="str">
            <v>F</v>
          </cell>
          <cell r="E318" t="str">
            <v>Chankhalamu - Chiwotcha</v>
          </cell>
          <cell r="F318" t="str">
            <v>D051</v>
          </cell>
          <cell r="G318">
            <v>1</v>
          </cell>
          <cell r="H318">
            <v>14</v>
          </cell>
          <cell r="I318" t="str">
            <v>F</v>
          </cell>
          <cell r="J318" t="str">
            <v>MZIMBA</v>
          </cell>
          <cell r="K318">
            <v>3</v>
          </cell>
        </row>
        <row r="319">
          <cell r="A319" t="str">
            <v>RS 498</v>
          </cell>
          <cell r="B319">
            <v>320</v>
          </cell>
          <cell r="C319" t="str">
            <v>N</v>
          </cell>
          <cell r="D319" t="str">
            <v>F</v>
          </cell>
          <cell r="E319" t="str">
            <v>Ngoma - Junction M9</v>
          </cell>
          <cell r="F319" t="str">
            <v>D052</v>
          </cell>
          <cell r="G319">
            <v>1</v>
          </cell>
          <cell r="H319">
            <v>9</v>
          </cell>
          <cell r="I319" t="str">
            <v>F</v>
          </cell>
          <cell r="J319" t="str">
            <v>MZIMBA</v>
          </cell>
          <cell r="K319">
            <v>3</v>
          </cell>
        </row>
        <row r="320">
          <cell r="A320" t="str">
            <v>RS 499</v>
          </cell>
          <cell r="B320">
            <v>321</v>
          </cell>
          <cell r="C320" t="str">
            <v>N</v>
          </cell>
          <cell r="D320" t="str">
            <v>F</v>
          </cell>
          <cell r="E320" t="str">
            <v>Ezweleri School - Junction S107</v>
          </cell>
          <cell r="F320" t="str">
            <v>D053</v>
          </cell>
          <cell r="G320">
            <v>1</v>
          </cell>
          <cell r="H320">
            <v>6.1</v>
          </cell>
          <cell r="I320" t="str">
            <v>F</v>
          </cell>
          <cell r="J320" t="str">
            <v>MZIMBA</v>
          </cell>
          <cell r="K320">
            <v>3</v>
          </cell>
        </row>
        <row r="321">
          <cell r="A321" t="str">
            <v>RS 500</v>
          </cell>
          <cell r="B321">
            <v>322</v>
          </cell>
          <cell r="C321" t="str">
            <v>N</v>
          </cell>
          <cell r="D321" t="str">
            <v>F</v>
          </cell>
          <cell r="E321" t="str">
            <v>Emvuyeni - North Emvuyeni</v>
          </cell>
          <cell r="F321" t="str">
            <v>D054</v>
          </cell>
          <cell r="G321">
            <v>1</v>
          </cell>
          <cell r="H321">
            <v>4.3</v>
          </cell>
          <cell r="I321" t="str">
            <v>F</v>
          </cell>
          <cell r="J321" t="str">
            <v>MZIMBA</v>
          </cell>
          <cell r="K321">
            <v>3</v>
          </cell>
        </row>
        <row r="322">
          <cell r="A322" t="str">
            <v>RS 501</v>
          </cell>
          <cell r="B322">
            <v>323</v>
          </cell>
          <cell r="C322" t="str">
            <v>N</v>
          </cell>
          <cell r="D322" t="str">
            <v>F</v>
          </cell>
          <cell r="E322" t="str">
            <v>Mzambazi - Junction S106</v>
          </cell>
          <cell r="F322" t="str">
            <v>D055</v>
          </cell>
          <cell r="G322">
            <v>1</v>
          </cell>
          <cell r="H322">
            <v>6.5</v>
          </cell>
          <cell r="I322" t="str">
            <v>F</v>
          </cell>
          <cell r="J322" t="str">
            <v>MZIMBA</v>
          </cell>
          <cell r="K322">
            <v>3</v>
          </cell>
        </row>
        <row r="323">
          <cell r="A323" t="str">
            <v>RS 502</v>
          </cell>
          <cell r="B323">
            <v>324</v>
          </cell>
          <cell r="C323" t="str">
            <v>N</v>
          </cell>
          <cell r="D323" t="str">
            <v>F</v>
          </cell>
          <cell r="E323" t="str">
            <v>Mtwalo - Junction D057</v>
          </cell>
          <cell r="F323" t="str">
            <v>D056</v>
          </cell>
          <cell r="G323">
            <v>1</v>
          </cell>
          <cell r="H323">
            <v>15</v>
          </cell>
          <cell r="I323" t="str">
            <v>F</v>
          </cell>
          <cell r="J323" t="str">
            <v>MZIMBA</v>
          </cell>
          <cell r="K323">
            <v>3</v>
          </cell>
        </row>
        <row r="324">
          <cell r="A324" t="str">
            <v>RS 503</v>
          </cell>
          <cell r="B324">
            <v>325</v>
          </cell>
          <cell r="C324" t="str">
            <v>N</v>
          </cell>
          <cell r="D324" t="str">
            <v>F</v>
          </cell>
          <cell r="E324" t="str">
            <v>Tione Bar - Njuyu School</v>
          </cell>
          <cell r="F324" t="str">
            <v>D057</v>
          </cell>
          <cell r="G324">
            <v>1</v>
          </cell>
          <cell r="H324">
            <v>10.5</v>
          </cell>
          <cell r="I324" t="str">
            <v>R</v>
          </cell>
          <cell r="J324" t="str">
            <v>MZIMBA</v>
          </cell>
          <cell r="K324">
            <v>3</v>
          </cell>
        </row>
        <row r="325">
          <cell r="A325" t="str">
            <v>RS 504</v>
          </cell>
          <cell r="B325">
            <v>326</v>
          </cell>
          <cell r="C325" t="str">
            <v>N</v>
          </cell>
          <cell r="D325" t="str">
            <v>F</v>
          </cell>
          <cell r="E325" t="str">
            <v>Chisengeze - Junction T313</v>
          </cell>
          <cell r="F325" t="str">
            <v>D058</v>
          </cell>
          <cell r="G325">
            <v>1</v>
          </cell>
          <cell r="H325">
            <v>12.6</v>
          </cell>
          <cell r="I325" t="str">
            <v>R</v>
          </cell>
          <cell r="J325" t="str">
            <v>MZIMBA</v>
          </cell>
          <cell r="K325">
            <v>3</v>
          </cell>
        </row>
        <row r="326">
          <cell r="A326" t="str">
            <v>RS 505</v>
          </cell>
          <cell r="B326">
            <v>327</v>
          </cell>
          <cell r="C326" t="str">
            <v>N</v>
          </cell>
          <cell r="D326" t="str">
            <v>F</v>
          </cell>
          <cell r="E326" t="str">
            <v>Mzalangwe - Junction T313</v>
          </cell>
          <cell r="F326" t="str">
            <v>D059</v>
          </cell>
          <cell r="G326">
            <v>1</v>
          </cell>
          <cell r="H326">
            <v>15.9</v>
          </cell>
          <cell r="I326" t="str">
            <v>F</v>
          </cell>
          <cell r="J326" t="str">
            <v>MZIMBA</v>
          </cell>
          <cell r="K326">
            <v>3</v>
          </cell>
        </row>
        <row r="327">
          <cell r="A327" t="str">
            <v>RS 506</v>
          </cell>
          <cell r="B327">
            <v>328</v>
          </cell>
          <cell r="C327" t="str">
            <v>N</v>
          </cell>
          <cell r="D327" t="str">
            <v>F</v>
          </cell>
          <cell r="E327" t="str">
            <v>Lunjika - Junction S107</v>
          </cell>
          <cell r="F327" t="str">
            <v>D060</v>
          </cell>
          <cell r="G327">
            <v>1</v>
          </cell>
          <cell r="H327">
            <v>4.8</v>
          </cell>
          <cell r="I327" t="str">
            <v>F</v>
          </cell>
          <cell r="J327" t="str">
            <v>MZIMBA</v>
          </cell>
          <cell r="K327">
            <v>3</v>
          </cell>
        </row>
        <row r="328">
          <cell r="A328" t="str">
            <v>RS 507</v>
          </cell>
          <cell r="B328">
            <v>329</v>
          </cell>
          <cell r="C328" t="str">
            <v>N</v>
          </cell>
          <cell r="D328" t="str">
            <v>F</v>
          </cell>
          <cell r="E328" t="str">
            <v>Chakazi - Ngomiya</v>
          </cell>
          <cell r="F328" t="str">
            <v>D061</v>
          </cell>
          <cell r="G328">
            <v>1</v>
          </cell>
          <cell r="H328">
            <v>10.199999999999999</v>
          </cell>
          <cell r="I328" t="str">
            <v>F</v>
          </cell>
          <cell r="J328" t="str">
            <v>MZIMBA</v>
          </cell>
          <cell r="K328">
            <v>3</v>
          </cell>
        </row>
        <row r="329">
          <cell r="A329" t="str">
            <v>RS 508</v>
          </cell>
          <cell r="B329">
            <v>330</v>
          </cell>
          <cell r="C329" t="str">
            <v>N</v>
          </cell>
          <cell r="D329" t="str">
            <v>F</v>
          </cell>
          <cell r="E329" t="str">
            <v>Mbawa - Junction M20</v>
          </cell>
          <cell r="F329" t="str">
            <v>D064</v>
          </cell>
          <cell r="G329">
            <v>1</v>
          </cell>
          <cell r="H329">
            <v>5.2</v>
          </cell>
          <cell r="I329" t="str">
            <v>F</v>
          </cell>
          <cell r="J329" t="str">
            <v>MZIMBA</v>
          </cell>
          <cell r="K329">
            <v>4</v>
          </cell>
        </row>
        <row r="330">
          <cell r="A330" t="str">
            <v>RS 509</v>
          </cell>
          <cell r="B330">
            <v>331</v>
          </cell>
          <cell r="C330" t="str">
            <v>N</v>
          </cell>
          <cell r="D330" t="str">
            <v>F</v>
          </cell>
          <cell r="E330" t="str">
            <v>Ehleni - Hoho</v>
          </cell>
          <cell r="F330" t="str">
            <v>D065</v>
          </cell>
          <cell r="G330">
            <v>1</v>
          </cell>
          <cell r="H330">
            <v>8.4</v>
          </cell>
          <cell r="I330" t="str">
            <v>F</v>
          </cell>
          <cell r="J330" t="str">
            <v>MZIMBA</v>
          </cell>
          <cell r="K330">
            <v>4</v>
          </cell>
        </row>
        <row r="331">
          <cell r="A331" t="str">
            <v>RS 510</v>
          </cell>
          <cell r="B331">
            <v>332</v>
          </cell>
          <cell r="C331" t="str">
            <v>N</v>
          </cell>
          <cell r="D331" t="str">
            <v>F</v>
          </cell>
          <cell r="E331" t="str">
            <v>Hoho - Hoho School</v>
          </cell>
          <cell r="F331" t="str">
            <v>D066</v>
          </cell>
          <cell r="G331">
            <v>1</v>
          </cell>
          <cell r="H331">
            <v>5.9</v>
          </cell>
          <cell r="I331" t="str">
            <v>F</v>
          </cell>
          <cell r="J331" t="str">
            <v>MZIMBA</v>
          </cell>
          <cell r="K331">
            <v>4</v>
          </cell>
        </row>
        <row r="332">
          <cell r="A332" t="str">
            <v>RS 511</v>
          </cell>
          <cell r="B332">
            <v>333</v>
          </cell>
          <cell r="C332" t="str">
            <v>N</v>
          </cell>
          <cell r="D332" t="str">
            <v>F</v>
          </cell>
          <cell r="E332" t="str">
            <v>Msesa School - Junction D68</v>
          </cell>
          <cell r="F332" t="str">
            <v>D067</v>
          </cell>
          <cell r="G332">
            <v>1</v>
          </cell>
          <cell r="H332">
            <v>6.1</v>
          </cell>
          <cell r="I332" t="str">
            <v>F</v>
          </cell>
          <cell r="J332" t="str">
            <v>MZIMBA</v>
          </cell>
          <cell r="K332">
            <v>4</v>
          </cell>
        </row>
        <row r="333">
          <cell r="A333" t="str">
            <v>RS 512</v>
          </cell>
          <cell r="B333">
            <v>334</v>
          </cell>
          <cell r="C333" t="str">
            <v>N</v>
          </cell>
          <cell r="D333" t="str">
            <v>F</v>
          </cell>
          <cell r="E333" t="str">
            <v>Chizani - Junction D74</v>
          </cell>
          <cell r="F333" t="str">
            <v>D068</v>
          </cell>
          <cell r="G333">
            <v>1</v>
          </cell>
          <cell r="H333">
            <v>18.8</v>
          </cell>
          <cell r="I333" t="str">
            <v>F</v>
          </cell>
          <cell r="J333" t="str">
            <v>MZIMBA</v>
          </cell>
          <cell r="K333">
            <v>4</v>
          </cell>
        </row>
        <row r="334">
          <cell r="A334" t="str">
            <v>RS 513</v>
          </cell>
          <cell r="B334">
            <v>335</v>
          </cell>
          <cell r="C334" t="str">
            <v>N</v>
          </cell>
          <cell r="D334" t="str">
            <v>F</v>
          </cell>
          <cell r="E334" t="str">
            <v>Nyoni - Kapita School</v>
          </cell>
          <cell r="F334" t="str">
            <v>D069</v>
          </cell>
          <cell r="G334">
            <v>1</v>
          </cell>
          <cell r="H334">
            <v>6.5</v>
          </cell>
          <cell r="I334" t="str">
            <v>R</v>
          </cell>
          <cell r="J334" t="str">
            <v>MZIMBA</v>
          </cell>
          <cell r="K334">
            <v>4</v>
          </cell>
        </row>
        <row r="335">
          <cell r="A335" t="str">
            <v>RS 514</v>
          </cell>
          <cell r="B335">
            <v>336</v>
          </cell>
          <cell r="C335" t="str">
            <v>N</v>
          </cell>
          <cell r="D335" t="str">
            <v>F</v>
          </cell>
          <cell r="E335" t="str">
            <v>Kanika - Luwelezi School</v>
          </cell>
          <cell r="F335" t="str">
            <v>D070</v>
          </cell>
          <cell r="G335">
            <v>1</v>
          </cell>
          <cell r="H335">
            <v>13.5</v>
          </cell>
          <cell r="I335" t="str">
            <v>F</v>
          </cell>
          <cell r="J335" t="str">
            <v>MZIMBA</v>
          </cell>
          <cell r="K335">
            <v>4</v>
          </cell>
        </row>
        <row r="336">
          <cell r="A336" t="str">
            <v>RS 515</v>
          </cell>
          <cell r="B336">
            <v>337</v>
          </cell>
          <cell r="C336" t="str">
            <v>N</v>
          </cell>
          <cell r="D336" t="str">
            <v>F</v>
          </cell>
          <cell r="E336" t="str">
            <v>Chiwandauka - Kanjuchi School</v>
          </cell>
          <cell r="F336" t="str">
            <v>D071</v>
          </cell>
          <cell r="G336">
            <v>1</v>
          </cell>
          <cell r="H336">
            <v>8.6</v>
          </cell>
          <cell r="I336" t="str">
            <v>R</v>
          </cell>
          <cell r="J336" t="str">
            <v>MZIMBA</v>
          </cell>
          <cell r="K336">
            <v>4</v>
          </cell>
        </row>
        <row r="337">
          <cell r="A337" t="str">
            <v>RS 516</v>
          </cell>
          <cell r="B337">
            <v>338</v>
          </cell>
          <cell r="C337" t="str">
            <v>N</v>
          </cell>
          <cell r="D337" t="str">
            <v>F</v>
          </cell>
          <cell r="E337" t="str">
            <v>Jenda - Jenda East</v>
          </cell>
          <cell r="F337" t="str">
            <v>D072</v>
          </cell>
          <cell r="G337">
            <v>1</v>
          </cell>
          <cell r="H337">
            <v>4.3</v>
          </cell>
          <cell r="I337" t="str">
            <v>F</v>
          </cell>
          <cell r="J337" t="str">
            <v>MZIMBA</v>
          </cell>
          <cell r="K337">
            <v>4</v>
          </cell>
        </row>
        <row r="338">
          <cell r="A338" t="str">
            <v>RS 517</v>
          </cell>
          <cell r="B338">
            <v>339</v>
          </cell>
          <cell r="C338" t="str">
            <v>N</v>
          </cell>
          <cell r="D338" t="str">
            <v>F</v>
          </cell>
          <cell r="E338" t="str">
            <v>South Luwawa - North Zawa</v>
          </cell>
          <cell r="F338" t="str">
            <v>D073</v>
          </cell>
          <cell r="G338">
            <v>1</v>
          </cell>
          <cell r="H338">
            <v>11.2</v>
          </cell>
          <cell r="I338" t="str">
            <v>R</v>
          </cell>
          <cell r="J338" t="str">
            <v>MZIMBA</v>
          </cell>
          <cell r="K338">
            <v>4</v>
          </cell>
        </row>
        <row r="339">
          <cell r="A339" t="str">
            <v>RS 518</v>
          </cell>
          <cell r="B339">
            <v>340</v>
          </cell>
          <cell r="C339" t="str">
            <v>N</v>
          </cell>
          <cell r="D339" t="str">
            <v>F</v>
          </cell>
          <cell r="E339" t="str">
            <v>Hoho - Junctio M1 South</v>
          </cell>
          <cell r="F339" t="str">
            <v>D074</v>
          </cell>
          <cell r="G339">
            <v>1</v>
          </cell>
          <cell r="H339">
            <v>8.9</v>
          </cell>
          <cell r="I339" t="str">
            <v>R</v>
          </cell>
          <cell r="J339" t="str">
            <v>MZIMBA</v>
          </cell>
          <cell r="K339">
            <v>4</v>
          </cell>
        </row>
        <row r="340">
          <cell r="A340" t="str">
            <v>RS 227</v>
          </cell>
          <cell r="B340">
            <v>49</v>
          </cell>
          <cell r="C340" t="str">
            <v>C</v>
          </cell>
          <cell r="D340" t="str">
            <v>F</v>
          </cell>
          <cell r="E340" t="str">
            <v>Chimaliro Forest Camp - Kakwale River</v>
          </cell>
          <cell r="F340" t="str">
            <v>D076</v>
          </cell>
          <cell r="G340">
            <v>1</v>
          </cell>
          <cell r="H340">
            <v>5</v>
          </cell>
          <cell r="I340" t="str">
            <v>F</v>
          </cell>
          <cell r="J340" t="str">
            <v>KASUNGU</v>
          </cell>
          <cell r="K340">
            <v>4</v>
          </cell>
          <cell r="L340" t="str">
            <v>Changed designation from S133 to D76 &amp; trunk to feeder</v>
          </cell>
        </row>
        <row r="341">
          <cell r="A341" t="str">
            <v>RS 658</v>
          </cell>
          <cell r="B341">
            <v>480</v>
          </cell>
          <cell r="C341" t="str">
            <v>C</v>
          </cell>
          <cell r="D341" t="str">
            <v>F</v>
          </cell>
          <cell r="E341" t="str">
            <v>Likuni - Chankhandwe</v>
          </cell>
          <cell r="F341" t="str">
            <v>D194</v>
          </cell>
          <cell r="G341">
            <v>1</v>
          </cell>
          <cell r="H341">
            <v>5.2</v>
          </cell>
          <cell r="I341" t="str">
            <v>F</v>
          </cell>
          <cell r="J341" t="str">
            <v>LILONGWE</v>
          </cell>
          <cell r="K341">
            <v>6</v>
          </cell>
        </row>
        <row r="342">
          <cell r="A342" t="str">
            <v>RS 660</v>
          </cell>
          <cell r="B342">
            <v>482</v>
          </cell>
          <cell r="C342" t="str">
            <v>C</v>
          </cell>
          <cell r="D342" t="str">
            <v>F</v>
          </cell>
          <cell r="E342" t="str">
            <v>Dzalanyama - Malingunde</v>
          </cell>
          <cell r="F342" t="str">
            <v>D197</v>
          </cell>
          <cell r="G342">
            <v>1</v>
          </cell>
          <cell r="H342">
            <v>32</v>
          </cell>
          <cell r="I342" t="str">
            <v>F</v>
          </cell>
          <cell r="J342" t="str">
            <v>LILONGWE</v>
          </cell>
          <cell r="K342">
            <v>6</v>
          </cell>
        </row>
        <row r="343">
          <cell r="A343" t="str">
            <v>RS 799</v>
          </cell>
          <cell r="B343">
            <v>621</v>
          </cell>
          <cell r="C343" t="str">
            <v>S</v>
          </cell>
          <cell r="D343" t="str">
            <v>F</v>
          </cell>
          <cell r="E343" t="str">
            <v>UD/Y - Itunji</v>
          </cell>
          <cell r="F343" t="str">
            <v>D256</v>
          </cell>
          <cell r="G343">
            <v>1</v>
          </cell>
          <cell r="H343">
            <v>11.9</v>
          </cell>
          <cell r="I343" t="str">
            <v>R</v>
          </cell>
          <cell r="J343" t="str">
            <v>MANGOCHI</v>
          </cell>
          <cell r="K343">
            <v>7</v>
          </cell>
        </row>
        <row r="344">
          <cell r="A344" t="str">
            <v>RS 832</v>
          </cell>
          <cell r="B344">
            <v>654</v>
          </cell>
          <cell r="C344" t="str">
            <v>S</v>
          </cell>
          <cell r="D344" t="str">
            <v>F</v>
          </cell>
          <cell r="E344" t="str">
            <v>junction S129 - junction T400</v>
          </cell>
          <cell r="F344" t="str">
            <v>D286</v>
          </cell>
          <cell r="G344">
            <v>1</v>
          </cell>
          <cell r="H344">
            <v>9</v>
          </cell>
          <cell r="I344" t="str">
            <v>FL</v>
          </cell>
          <cell r="J344" t="str">
            <v>ZOMBA</v>
          </cell>
          <cell r="K344">
            <v>8</v>
          </cell>
          <cell r="L344" t="str">
            <v>Changed designation from UD/J to D286</v>
          </cell>
        </row>
        <row r="345">
          <cell r="A345" t="str">
            <v>RS 801</v>
          </cell>
          <cell r="B345">
            <v>623</v>
          </cell>
          <cell r="C345" t="str">
            <v>S</v>
          </cell>
          <cell r="D345" t="str">
            <v>F</v>
          </cell>
          <cell r="E345" t="str">
            <v>North Jokala - Lake Chilwa</v>
          </cell>
          <cell r="F345" t="str">
            <v>D293</v>
          </cell>
          <cell r="G345">
            <v>1</v>
          </cell>
          <cell r="H345">
            <v>32</v>
          </cell>
          <cell r="I345" t="str">
            <v>F</v>
          </cell>
          <cell r="J345" t="str">
            <v>ZOMBA</v>
          </cell>
          <cell r="K345">
            <v>8</v>
          </cell>
        </row>
        <row r="346">
          <cell r="A346" t="str">
            <v>RS 802</v>
          </cell>
          <cell r="B346">
            <v>624</v>
          </cell>
          <cell r="C346" t="str">
            <v>S</v>
          </cell>
          <cell r="D346" t="str">
            <v>F</v>
          </cell>
          <cell r="E346" t="str">
            <v>Utwe River - junction S144</v>
          </cell>
          <cell r="F346" t="str">
            <v>D302</v>
          </cell>
          <cell r="G346">
            <v>1</v>
          </cell>
          <cell r="H346">
            <v>18.600000000000001</v>
          </cell>
          <cell r="I346" t="str">
            <v>F</v>
          </cell>
          <cell r="J346" t="str">
            <v>ZOMBA</v>
          </cell>
          <cell r="K346">
            <v>9</v>
          </cell>
        </row>
        <row r="347">
          <cell r="A347" t="str">
            <v>RS 803</v>
          </cell>
          <cell r="B347">
            <v>625</v>
          </cell>
          <cell r="C347" t="str">
            <v>S</v>
          </cell>
          <cell r="D347" t="str">
            <v>F</v>
          </cell>
          <cell r="E347" t="str">
            <v>Lisungwi River - junction D314</v>
          </cell>
          <cell r="F347" t="str">
            <v>D313</v>
          </cell>
          <cell r="G347">
            <v>1</v>
          </cell>
          <cell r="H347">
            <v>12.6</v>
          </cell>
          <cell r="I347" t="str">
            <v>F</v>
          </cell>
          <cell r="J347" t="str">
            <v>MWANZA</v>
          </cell>
          <cell r="K347">
            <v>9</v>
          </cell>
        </row>
        <row r="348">
          <cell r="A348" t="str">
            <v>RS 804</v>
          </cell>
          <cell r="B348">
            <v>626</v>
          </cell>
          <cell r="C348" t="str">
            <v>S</v>
          </cell>
          <cell r="D348" t="str">
            <v>F</v>
          </cell>
          <cell r="E348" t="str">
            <v>Machimbeya - junction D313</v>
          </cell>
          <cell r="F348" t="str">
            <v>D314</v>
          </cell>
          <cell r="G348">
            <v>1</v>
          </cell>
          <cell r="H348">
            <v>9</v>
          </cell>
          <cell r="I348" t="str">
            <v>F</v>
          </cell>
          <cell r="J348" t="str">
            <v>MWANZA</v>
          </cell>
          <cell r="K348">
            <v>9</v>
          </cell>
        </row>
        <row r="349">
          <cell r="A349" t="str">
            <v>RS 805</v>
          </cell>
          <cell r="B349">
            <v>627</v>
          </cell>
          <cell r="C349" t="str">
            <v>S</v>
          </cell>
          <cell r="D349" t="str">
            <v>F</v>
          </cell>
          <cell r="E349" t="str">
            <v>junction S138 - junction S137</v>
          </cell>
          <cell r="F349" t="str">
            <v>D320</v>
          </cell>
          <cell r="G349">
            <v>1</v>
          </cell>
          <cell r="H349">
            <v>10</v>
          </cell>
          <cell r="I349" t="str">
            <v>R</v>
          </cell>
          <cell r="J349" t="str">
            <v>BLANTYRE</v>
          </cell>
          <cell r="K349">
            <v>9</v>
          </cell>
        </row>
        <row r="350">
          <cell r="A350" t="str">
            <v>RS 806</v>
          </cell>
          <cell r="B350">
            <v>628</v>
          </cell>
          <cell r="C350" t="str">
            <v>S</v>
          </cell>
          <cell r="D350" t="str">
            <v>F</v>
          </cell>
          <cell r="E350" t="str">
            <v>junction S139 - East Boundary Zomba</v>
          </cell>
          <cell r="F350" t="str">
            <v>D322</v>
          </cell>
          <cell r="G350">
            <v>1</v>
          </cell>
          <cell r="H350">
            <v>8</v>
          </cell>
          <cell r="I350" t="str">
            <v>R</v>
          </cell>
          <cell r="J350" t="str">
            <v>BLANTYRE</v>
          </cell>
          <cell r="K350">
            <v>9</v>
          </cell>
        </row>
        <row r="351">
          <cell r="A351" t="str">
            <v>RS 807</v>
          </cell>
          <cell r="B351">
            <v>629</v>
          </cell>
          <cell r="C351" t="str">
            <v>S</v>
          </cell>
          <cell r="D351" t="str">
            <v>F</v>
          </cell>
          <cell r="E351" t="str">
            <v>Chikombero (junction M1) - Machinjiri</v>
          </cell>
          <cell r="F351" t="str">
            <v>D326</v>
          </cell>
          <cell r="G351">
            <v>1</v>
          </cell>
          <cell r="H351">
            <v>5.8</v>
          </cell>
          <cell r="I351" t="str">
            <v>R</v>
          </cell>
          <cell r="J351" t="str">
            <v>BLANTYRE</v>
          </cell>
          <cell r="K351">
            <v>9</v>
          </cell>
          <cell r="L351" t="str">
            <v>Changed end &amp; length to remove bitumen section</v>
          </cell>
        </row>
        <row r="352">
          <cell r="A352" t="str">
            <v>RS 808</v>
          </cell>
          <cell r="B352">
            <v>630</v>
          </cell>
          <cell r="C352" t="str">
            <v>S</v>
          </cell>
          <cell r="D352" t="str">
            <v>F</v>
          </cell>
          <cell r="E352" t="str">
            <v>M1 junction - Near Chikwawa Boundary</v>
          </cell>
          <cell r="F352" t="str">
            <v>D328</v>
          </cell>
          <cell r="G352">
            <v>1</v>
          </cell>
          <cell r="H352">
            <v>10.5</v>
          </cell>
          <cell r="I352" t="str">
            <v>R</v>
          </cell>
          <cell r="J352" t="str">
            <v>BLANTYRE</v>
          </cell>
          <cell r="K352">
            <v>9</v>
          </cell>
        </row>
        <row r="353">
          <cell r="A353" t="str">
            <v>RS 809</v>
          </cell>
          <cell r="B353">
            <v>631</v>
          </cell>
          <cell r="C353" t="str">
            <v>S</v>
          </cell>
          <cell r="D353" t="str">
            <v>F</v>
          </cell>
          <cell r="E353" t="str">
            <v>Chikwawa Boundary - junction S137</v>
          </cell>
          <cell r="F353" t="str">
            <v>D329</v>
          </cell>
          <cell r="G353">
            <v>1</v>
          </cell>
          <cell r="H353">
            <v>18</v>
          </cell>
          <cell r="I353" t="str">
            <v>H</v>
          </cell>
          <cell r="J353" t="str">
            <v>BLANTYRE</v>
          </cell>
          <cell r="K353">
            <v>9</v>
          </cell>
        </row>
        <row r="354">
          <cell r="A354" t="str">
            <v>RS 810</v>
          </cell>
          <cell r="B354">
            <v>632</v>
          </cell>
          <cell r="C354" t="str">
            <v>S</v>
          </cell>
          <cell r="D354" t="str">
            <v>F</v>
          </cell>
          <cell r="E354" t="str">
            <v>junction M1 - junction M2</v>
          </cell>
          <cell r="F354" t="str">
            <v>D330</v>
          </cell>
          <cell r="G354">
            <v>1</v>
          </cell>
          <cell r="H354">
            <v>7</v>
          </cell>
          <cell r="I354" t="str">
            <v>H</v>
          </cell>
          <cell r="J354" t="str">
            <v>BLANTYRE</v>
          </cell>
          <cell r="K354">
            <v>9</v>
          </cell>
        </row>
        <row r="355">
          <cell r="A355" t="str">
            <v>RS 811</v>
          </cell>
          <cell r="B355">
            <v>633</v>
          </cell>
          <cell r="C355" t="str">
            <v>S</v>
          </cell>
          <cell r="D355" t="str">
            <v>F</v>
          </cell>
          <cell r="E355" t="str">
            <v xml:space="preserve">Mbulumbudzi East - junction T407 </v>
          </cell>
          <cell r="F355" t="str">
            <v>D336</v>
          </cell>
          <cell r="G355">
            <v>1</v>
          </cell>
          <cell r="H355">
            <v>9</v>
          </cell>
          <cell r="I355" t="str">
            <v>R</v>
          </cell>
          <cell r="J355" t="str">
            <v>BLANTYRE</v>
          </cell>
          <cell r="K355">
            <v>9</v>
          </cell>
        </row>
        <row r="356">
          <cell r="A356" t="str">
            <v>RS 812</v>
          </cell>
          <cell r="B356">
            <v>634</v>
          </cell>
          <cell r="C356" t="str">
            <v>S</v>
          </cell>
          <cell r="D356" t="str">
            <v>F</v>
          </cell>
          <cell r="E356" t="str">
            <v>junction D336 - junction D341</v>
          </cell>
          <cell r="F356" t="str">
            <v>D338</v>
          </cell>
          <cell r="G356">
            <v>1</v>
          </cell>
          <cell r="H356">
            <v>12</v>
          </cell>
          <cell r="I356" t="str">
            <v>R</v>
          </cell>
          <cell r="J356" t="str">
            <v>CHIRADZULU</v>
          </cell>
          <cell r="K356">
            <v>9</v>
          </cell>
        </row>
        <row r="357">
          <cell r="A357" t="str">
            <v>RS 813</v>
          </cell>
          <cell r="B357">
            <v>635</v>
          </cell>
          <cell r="C357" t="str">
            <v>S</v>
          </cell>
          <cell r="D357" t="str">
            <v>F</v>
          </cell>
          <cell r="E357" t="str">
            <v>Chinkankheni East - Zomba Boundary</v>
          </cell>
          <cell r="F357" t="str">
            <v>D341</v>
          </cell>
          <cell r="G357">
            <v>1</v>
          </cell>
          <cell r="H357">
            <v>17.5</v>
          </cell>
          <cell r="I357" t="str">
            <v>F</v>
          </cell>
          <cell r="J357" t="str">
            <v>CHIRADZULU</v>
          </cell>
          <cell r="K357">
            <v>9</v>
          </cell>
        </row>
        <row r="358">
          <cell r="A358" t="str">
            <v>RS 814</v>
          </cell>
          <cell r="B358">
            <v>636</v>
          </cell>
          <cell r="C358" t="str">
            <v>S</v>
          </cell>
          <cell r="D358" t="str">
            <v>F</v>
          </cell>
          <cell r="E358" t="str">
            <v>junction T411 - junction T412</v>
          </cell>
          <cell r="F358" t="str">
            <v>D343</v>
          </cell>
          <cell r="G358">
            <v>1</v>
          </cell>
          <cell r="H358">
            <v>11.5</v>
          </cell>
          <cell r="I358" t="str">
            <v>K</v>
          </cell>
          <cell r="J358" t="str">
            <v>CHIRADZULU</v>
          </cell>
          <cell r="K358">
            <v>9</v>
          </cell>
        </row>
        <row r="359">
          <cell r="A359" t="str">
            <v>RS 815</v>
          </cell>
          <cell r="B359">
            <v>637</v>
          </cell>
          <cell r="C359" t="str">
            <v>S</v>
          </cell>
          <cell r="D359" t="str">
            <v>F</v>
          </cell>
          <cell r="E359" t="str">
            <v>junction M4 - South Thuchila River</v>
          </cell>
          <cell r="F359" t="str">
            <v>D345</v>
          </cell>
          <cell r="G359">
            <v>1</v>
          </cell>
          <cell r="H359">
            <v>18</v>
          </cell>
          <cell r="I359" t="str">
            <v>F</v>
          </cell>
          <cell r="J359" t="str">
            <v>MULANJE</v>
          </cell>
          <cell r="K359">
            <v>9</v>
          </cell>
        </row>
        <row r="360">
          <cell r="A360" t="str">
            <v>RS 816</v>
          </cell>
          <cell r="B360">
            <v>638</v>
          </cell>
          <cell r="C360" t="str">
            <v>S</v>
          </cell>
          <cell r="D360" t="str">
            <v>F</v>
          </cell>
          <cell r="E360" t="str">
            <v>junction S147 - Holo</v>
          </cell>
          <cell r="F360" t="str">
            <v>D364</v>
          </cell>
          <cell r="G360">
            <v>1</v>
          </cell>
          <cell r="H360">
            <v>11</v>
          </cell>
          <cell r="I360" t="str">
            <v>F</v>
          </cell>
          <cell r="J360" t="str">
            <v>MULANJE</v>
          </cell>
          <cell r="K360">
            <v>9</v>
          </cell>
        </row>
        <row r="361">
          <cell r="A361" t="str">
            <v>RS 817</v>
          </cell>
          <cell r="B361">
            <v>639</v>
          </cell>
          <cell r="C361" t="str">
            <v>S</v>
          </cell>
          <cell r="D361" t="str">
            <v>F</v>
          </cell>
          <cell r="E361" t="str">
            <v>Thuchila - junction T463</v>
          </cell>
          <cell r="F361" t="str">
            <v>D368</v>
          </cell>
          <cell r="G361">
            <v>1</v>
          </cell>
          <cell r="H361">
            <v>17</v>
          </cell>
          <cell r="I361" t="str">
            <v>F</v>
          </cell>
          <cell r="J361" t="str">
            <v>MULANJE</v>
          </cell>
          <cell r="K361">
            <v>9</v>
          </cell>
        </row>
        <row r="362">
          <cell r="A362" t="str">
            <v>RS 818</v>
          </cell>
          <cell r="B362">
            <v>640</v>
          </cell>
          <cell r="C362" t="str">
            <v>S</v>
          </cell>
          <cell r="D362" t="str">
            <v>F</v>
          </cell>
          <cell r="E362" t="str">
            <v>North Chilinga - South Singano</v>
          </cell>
          <cell r="F362" t="str">
            <v>D369</v>
          </cell>
          <cell r="G362">
            <v>1</v>
          </cell>
          <cell r="H362">
            <v>8</v>
          </cell>
          <cell r="I362" t="str">
            <v>F</v>
          </cell>
          <cell r="J362" t="str">
            <v>MULANJE</v>
          </cell>
          <cell r="K362">
            <v>9</v>
          </cell>
        </row>
        <row r="363">
          <cell r="A363" t="str">
            <v>RS 819</v>
          </cell>
          <cell r="B363">
            <v>641</v>
          </cell>
          <cell r="C363" t="str">
            <v>S</v>
          </cell>
          <cell r="D363" t="str">
            <v>F</v>
          </cell>
          <cell r="E363" t="str">
            <v>Luwanje - Mkoti</v>
          </cell>
          <cell r="F363" t="str">
            <v>D370</v>
          </cell>
          <cell r="G363">
            <v>1</v>
          </cell>
          <cell r="H363">
            <v>2.5</v>
          </cell>
          <cell r="I363" t="str">
            <v>F</v>
          </cell>
          <cell r="J363" t="str">
            <v>MULANJE</v>
          </cell>
          <cell r="K363">
            <v>9</v>
          </cell>
        </row>
        <row r="364">
          <cell r="A364" t="str">
            <v>RS 820</v>
          </cell>
          <cell r="B364">
            <v>642</v>
          </cell>
          <cell r="C364" t="str">
            <v>S</v>
          </cell>
          <cell r="D364" t="str">
            <v>F</v>
          </cell>
          <cell r="E364" t="str">
            <v>Mkoti - Msikawanjala</v>
          </cell>
          <cell r="F364" t="str">
            <v>D370</v>
          </cell>
          <cell r="G364">
            <v>2</v>
          </cell>
          <cell r="H364">
            <v>7.3</v>
          </cell>
          <cell r="I364" t="str">
            <v>F</v>
          </cell>
          <cell r="J364" t="str">
            <v>MULANJE</v>
          </cell>
          <cell r="K364">
            <v>9</v>
          </cell>
        </row>
        <row r="365">
          <cell r="A365" t="str">
            <v>RS 821</v>
          </cell>
          <cell r="B365">
            <v>643</v>
          </cell>
          <cell r="C365" t="str">
            <v>S</v>
          </cell>
          <cell r="D365" t="str">
            <v>F</v>
          </cell>
          <cell r="E365" t="str">
            <v xml:space="preserve">Nort West Mulanje - junction S149 </v>
          </cell>
          <cell r="F365" t="str">
            <v>D372</v>
          </cell>
          <cell r="G365">
            <v>1</v>
          </cell>
          <cell r="H365">
            <v>9</v>
          </cell>
          <cell r="I365" t="str">
            <v>F</v>
          </cell>
          <cell r="J365" t="str">
            <v>MULANJE</v>
          </cell>
          <cell r="K365">
            <v>9</v>
          </cell>
        </row>
        <row r="366">
          <cell r="A366" t="str">
            <v>RS 822</v>
          </cell>
          <cell r="B366">
            <v>644</v>
          </cell>
          <cell r="C366" t="str">
            <v>S</v>
          </cell>
          <cell r="D366" t="str">
            <v>F</v>
          </cell>
          <cell r="E366" t="str">
            <v>North West Mulanje - South Siyama</v>
          </cell>
          <cell r="F366" t="str">
            <v>D373</v>
          </cell>
          <cell r="G366">
            <v>1</v>
          </cell>
          <cell r="H366">
            <v>10</v>
          </cell>
          <cell r="I366" t="str">
            <v>F</v>
          </cell>
          <cell r="J366" t="str">
            <v>MULANJE</v>
          </cell>
          <cell r="K366">
            <v>9</v>
          </cell>
        </row>
        <row r="367">
          <cell r="A367" t="str">
            <v>RS 823</v>
          </cell>
          <cell r="B367">
            <v>645</v>
          </cell>
          <cell r="C367" t="str">
            <v>S</v>
          </cell>
          <cell r="D367" t="str">
            <v>F</v>
          </cell>
          <cell r="E367" t="str">
            <v>Changoima - West Mwanza Boundary</v>
          </cell>
          <cell r="F367" t="str">
            <v>D379</v>
          </cell>
          <cell r="G367">
            <v>1</v>
          </cell>
          <cell r="H367">
            <v>11</v>
          </cell>
          <cell r="I367" t="str">
            <v>F</v>
          </cell>
          <cell r="J367" t="str">
            <v>CHIKWAWA</v>
          </cell>
          <cell r="K367">
            <v>9</v>
          </cell>
        </row>
        <row r="368">
          <cell r="A368" t="str">
            <v>RS 824</v>
          </cell>
          <cell r="B368">
            <v>646</v>
          </cell>
          <cell r="C368" t="str">
            <v>S</v>
          </cell>
          <cell r="D368" t="str">
            <v>F</v>
          </cell>
          <cell r="E368" t="str">
            <v>Nkhongono - North Nkhongono</v>
          </cell>
          <cell r="F368" t="str">
            <v>D380</v>
          </cell>
          <cell r="G368">
            <v>1</v>
          </cell>
          <cell r="H368">
            <v>21</v>
          </cell>
          <cell r="I368" t="str">
            <v>F</v>
          </cell>
          <cell r="J368" t="str">
            <v>CHIKWAWA</v>
          </cell>
          <cell r="K368">
            <v>9</v>
          </cell>
        </row>
        <row r="369">
          <cell r="A369" t="str">
            <v>RS 825</v>
          </cell>
          <cell r="B369">
            <v>647</v>
          </cell>
          <cell r="C369" t="str">
            <v>S</v>
          </cell>
          <cell r="D369" t="str">
            <v>F</v>
          </cell>
          <cell r="E369" t="str">
            <v>Tomali - South East Phwazi</v>
          </cell>
          <cell r="F369" t="str">
            <v>D383</v>
          </cell>
          <cell r="G369">
            <v>1</v>
          </cell>
          <cell r="H369">
            <v>16</v>
          </cell>
          <cell r="I369" t="str">
            <v>F</v>
          </cell>
          <cell r="J369" t="str">
            <v>CHIKWAWA</v>
          </cell>
          <cell r="K369">
            <v>9</v>
          </cell>
        </row>
        <row r="370">
          <cell r="A370" t="str">
            <v>RS 826</v>
          </cell>
          <cell r="B370">
            <v>648</v>
          </cell>
          <cell r="C370" t="str">
            <v>S</v>
          </cell>
          <cell r="D370" t="str">
            <v>F</v>
          </cell>
          <cell r="E370" t="str">
            <v>North Goma - West M1</v>
          </cell>
          <cell r="F370" t="str">
            <v>D386</v>
          </cell>
          <cell r="G370">
            <v>1</v>
          </cell>
          <cell r="H370">
            <v>13</v>
          </cell>
          <cell r="I370" t="str">
            <v>F</v>
          </cell>
          <cell r="J370" t="str">
            <v>CHIKWAWA</v>
          </cell>
          <cell r="K370">
            <v>10</v>
          </cell>
        </row>
        <row r="371">
          <cell r="A371" t="str">
            <v>RS 666</v>
          </cell>
          <cell r="B371">
            <v>488</v>
          </cell>
          <cell r="C371" t="str">
            <v>C</v>
          </cell>
          <cell r="D371" t="str">
            <v>F</v>
          </cell>
          <cell r="E371" t="str">
            <v>Mbala - Diamphwe River</v>
          </cell>
          <cell r="F371" t="str">
            <v>UD</v>
          </cell>
          <cell r="G371">
            <v>3</v>
          </cell>
          <cell r="H371">
            <v>7.7</v>
          </cell>
          <cell r="I371" t="str">
            <v>FL</v>
          </cell>
          <cell r="J371" t="str">
            <v>DEDZA</v>
          </cell>
          <cell r="K371">
            <v>6</v>
          </cell>
        </row>
        <row r="372">
          <cell r="A372" t="str">
            <v>RS 833</v>
          </cell>
          <cell r="B372">
            <v>655</v>
          </cell>
          <cell r="C372" t="str">
            <v>S</v>
          </cell>
          <cell r="D372" t="str">
            <v>F</v>
          </cell>
          <cell r="E372" t="str">
            <v>Lunzu - North East Zomba Boundary</v>
          </cell>
          <cell r="F372" t="str">
            <v>UD</v>
          </cell>
          <cell r="G372">
            <v>6</v>
          </cell>
          <cell r="H372">
            <v>11</v>
          </cell>
          <cell r="I372" t="str">
            <v>R</v>
          </cell>
          <cell r="J372" t="str">
            <v>BLANTYRE</v>
          </cell>
          <cell r="K372">
            <v>9</v>
          </cell>
        </row>
        <row r="373">
          <cell r="A373" t="str">
            <v>RS 827</v>
          </cell>
          <cell r="B373">
            <v>649</v>
          </cell>
          <cell r="C373" t="str">
            <v>S</v>
          </cell>
          <cell r="D373" t="str">
            <v>F</v>
          </cell>
          <cell r="E373" t="str">
            <v>Mayaka - Mulanje Boundary</v>
          </cell>
          <cell r="F373" t="str">
            <v>UD/C</v>
          </cell>
          <cell r="G373">
            <v>1</v>
          </cell>
          <cell r="H373">
            <v>12</v>
          </cell>
          <cell r="I373" t="str">
            <v>FL</v>
          </cell>
          <cell r="J373" t="str">
            <v>ZOMBA</v>
          </cell>
          <cell r="K373">
            <v>9</v>
          </cell>
        </row>
        <row r="374">
          <cell r="A374" t="str">
            <v>RS 828</v>
          </cell>
          <cell r="B374">
            <v>650</v>
          </cell>
          <cell r="C374" t="str">
            <v>S</v>
          </cell>
          <cell r="D374" t="str">
            <v>F</v>
          </cell>
          <cell r="E374" t="str">
            <v>South West Singano - junction S144</v>
          </cell>
          <cell r="F374" t="str">
            <v>UD/D</v>
          </cell>
          <cell r="G374">
            <v>2</v>
          </cell>
          <cell r="H374">
            <v>12</v>
          </cell>
          <cell r="I374" t="str">
            <v>H</v>
          </cell>
          <cell r="J374" t="str">
            <v>PHALOMBE</v>
          </cell>
          <cell r="K374">
            <v>9</v>
          </cell>
        </row>
        <row r="375">
          <cell r="A375" t="str">
            <v>RS 829</v>
          </cell>
          <cell r="B375">
            <v>651</v>
          </cell>
          <cell r="C375" t="str">
            <v>S</v>
          </cell>
          <cell r="D375" t="str">
            <v>F</v>
          </cell>
          <cell r="E375" t="str">
            <v>South  Ngona - East S136</v>
          </cell>
          <cell r="F375" t="str">
            <v>UD/F</v>
          </cell>
          <cell r="G375">
            <v>3</v>
          </cell>
          <cell r="H375">
            <v>9</v>
          </cell>
          <cell r="I375" t="str">
            <v>H</v>
          </cell>
          <cell r="J375" t="str">
            <v>CHIKWAWA</v>
          </cell>
          <cell r="K375">
            <v>9</v>
          </cell>
        </row>
        <row r="376">
          <cell r="A376" t="str">
            <v>RS 830</v>
          </cell>
          <cell r="B376">
            <v>652</v>
          </cell>
          <cell r="C376" t="str">
            <v>S</v>
          </cell>
          <cell r="D376" t="str">
            <v>F</v>
          </cell>
          <cell r="E376" t="str">
            <v>North Gogomwa - junction T411</v>
          </cell>
          <cell r="F376" t="str">
            <v>UD/I</v>
          </cell>
          <cell r="G376">
            <v>4</v>
          </cell>
          <cell r="H376">
            <v>9</v>
          </cell>
          <cell r="I376" t="str">
            <v>H</v>
          </cell>
          <cell r="J376" t="str">
            <v>CHIRADZULU</v>
          </cell>
          <cell r="K376">
            <v>9</v>
          </cell>
        </row>
        <row r="377">
          <cell r="A377" t="str">
            <v>RS 831</v>
          </cell>
          <cell r="B377">
            <v>653</v>
          </cell>
          <cell r="C377" t="str">
            <v>S</v>
          </cell>
          <cell r="D377" t="str">
            <v>F</v>
          </cell>
          <cell r="E377" t="str">
            <v>Chirimba - mid junction between Chizolo and Limbe</v>
          </cell>
          <cell r="F377" t="str">
            <v>UD/I</v>
          </cell>
          <cell r="G377">
            <v>5</v>
          </cell>
          <cell r="H377">
            <v>7</v>
          </cell>
          <cell r="I377" t="str">
            <v>H</v>
          </cell>
          <cell r="J377" t="str">
            <v>BLANTYRE</v>
          </cell>
          <cell r="K377">
            <v>9</v>
          </cell>
        </row>
        <row r="378">
          <cell r="A378" t="str">
            <v>RS 521</v>
          </cell>
          <cell r="B378">
            <v>343</v>
          </cell>
          <cell r="C378" t="str">
            <v>N</v>
          </cell>
          <cell r="D378" t="str">
            <v>F</v>
          </cell>
          <cell r="E378" t="str">
            <v>Mdima - Mhlafuta</v>
          </cell>
          <cell r="F378" t="str">
            <v>UDX</v>
          </cell>
          <cell r="G378">
            <v>7</v>
          </cell>
          <cell r="H378">
            <v>4.4000000000000004</v>
          </cell>
          <cell r="I378" t="str">
            <v>FL</v>
          </cell>
          <cell r="J378" t="str">
            <v>MZIMBA</v>
          </cell>
          <cell r="K378">
            <v>4</v>
          </cell>
        </row>
        <row r="379">
          <cell r="A379" t="str">
            <v>RS 522</v>
          </cell>
          <cell r="B379">
            <v>344</v>
          </cell>
          <cell r="C379" t="str">
            <v>N</v>
          </cell>
          <cell r="D379" t="str">
            <v>F</v>
          </cell>
          <cell r="E379" t="str">
            <v>Malema - Kazguli village</v>
          </cell>
          <cell r="F379" t="str">
            <v>UDX</v>
          </cell>
          <cell r="G379">
            <v>8</v>
          </cell>
          <cell r="H379">
            <v>20.100000000000001</v>
          </cell>
          <cell r="I379" t="str">
            <v>R</v>
          </cell>
          <cell r="J379" t="str">
            <v>MZIMBA</v>
          </cell>
          <cell r="K379">
            <v>4</v>
          </cell>
        </row>
        <row r="380">
          <cell r="A380" t="str">
            <v>RS 523</v>
          </cell>
          <cell r="B380">
            <v>345</v>
          </cell>
          <cell r="C380" t="str">
            <v>N</v>
          </cell>
          <cell r="D380" t="str">
            <v>F</v>
          </cell>
          <cell r="E380" t="str">
            <v>Kasichi - Edingeni</v>
          </cell>
          <cell r="F380" t="str">
            <v>UDY</v>
          </cell>
          <cell r="G380">
            <v>11</v>
          </cell>
          <cell r="H380">
            <v>19.3</v>
          </cell>
          <cell r="I380" t="str">
            <v>FL</v>
          </cell>
          <cell r="J380" t="str">
            <v>MZIMBA</v>
          </cell>
          <cell r="K380">
            <v>4</v>
          </cell>
        </row>
        <row r="381">
          <cell r="A381" t="str">
            <v>RS 834</v>
          </cell>
          <cell r="B381">
            <v>656</v>
          </cell>
          <cell r="C381" t="str">
            <v>S</v>
          </cell>
          <cell r="D381" t="str">
            <v>F</v>
          </cell>
          <cell r="E381" t="str">
            <v>Mtengo Wambalame - Lunzu</v>
          </cell>
          <cell r="F381" t="str">
            <v>IB2</v>
          </cell>
          <cell r="G381">
            <v>1</v>
          </cell>
          <cell r="H381">
            <v>12</v>
          </cell>
          <cell r="I381" t="str">
            <v>R</v>
          </cell>
          <cell r="J381" t="str">
            <v>BLANTYRE</v>
          </cell>
          <cell r="K381">
            <v>9</v>
          </cell>
        </row>
        <row r="382">
          <cell r="A382" t="str">
            <v>RS 520</v>
          </cell>
          <cell r="B382">
            <v>342</v>
          </cell>
          <cell r="C382" t="str">
            <v>N</v>
          </cell>
          <cell r="D382" t="str">
            <v>F</v>
          </cell>
          <cell r="E382" t="str">
            <v>Katoto Admarc - Sibande - junction M1</v>
          </cell>
          <cell r="F382" t="str">
            <v>PR11</v>
          </cell>
          <cell r="G382">
            <v>1</v>
          </cell>
          <cell r="H382">
            <v>25.1</v>
          </cell>
          <cell r="I382" t="str">
            <v>R</v>
          </cell>
          <cell r="J382" t="str">
            <v>MZIMBA</v>
          </cell>
          <cell r="K382">
            <v>3</v>
          </cell>
        </row>
        <row r="383">
          <cell r="A383" t="str">
            <v>RS 671</v>
          </cell>
          <cell r="B383">
            <v>493</v>
          </cell>
          <cell r="C383" t="str">
            <v>C</v>
          </cell>
          <cell r="D383" t="str">
            <v>F</v>
          </cell>
          <cell r="E383" t="str">
            <v>North Ngodzi River - Lake Malawi</v>
          </cell>
          <cell r="F383" t="str">
            <v>PR58</v>
          </cell>
          <cell r="G383">
            <v>1</v>
          </cell>
          <cell r="H383">
            <v>8</v>
          </cell>
          <cell r="I383" t="str">
            <v>F</v>
          </cell>
          <cell r="J383" t="str">
            <v>SALIMA</v>
          </cell>
          <cell r="K383">
            <v>7</v>
          </cell>
        </row>
        <row r="384">
          <cell r="A384" t="str">
            <v>RS 672</v>
          </cell>
          <cell r="B384">
            <v>494</v>
          </cell>
          <cell r="C384" t="str">
            <v>C</v>
          </cell>
          <cell r="D384" t="str">
            <v>F</v>
          </cell>
          <cell r="E384" t="str">
            <v>junction T357 - West Chelani</v>
          </cell>
          <cell r="F384" t="str">
            <v>PR92</v>
          </cell>
          <cell r="G384">
            <v>1</v>
          </cell>
          <cell r="H384">
            <v>11.5</v>
          </cell>
          <cell r="I384" t="str">
            <v>F</v>
          </cell>
          <cell r="J384" t="str">
            <v>SALMA</v>
          </cell>
          <cell r="K384">
            <v>7</v>
          </cell>
        </row>
        <row r="386">
          <cell r="A386" t="str">
            <v>Count</v>
          </cell>
          <cell r="B386">
            <v>382</v>
          </cell>
          <cell r="F386" t="str">
            <v>Total length</v>
          </cell>
          <cell r="H386">
            <v>4489.2000000000016</v>
          </cell>
          <cell r="J386" t="str">
            <v>km</v>
          </cell>
        </row>
      </sheetData>
      <sheetData sheetId="1" refreshError="1">
        <row r="2">
          <cell r="A2" t="str">
            <v>Road Section No.</v>
          </cell>
          <cell r="B2" t="str">
            <v>MOWS Project No.</v>
          </cell>
          <cell r="C2" t="str">
            <v>Region</v>
          </cell>
          <cell r="D2" t="str">
            <v>Road class</v>
          </cell>
          <cell r="E2" t="str">
            <v>Road section</v>
          </cell>
          <cell r="F2" t="str">
            <v>Designation</v>
          </cell>
          <cell r="G2" t="str">
            <v>Sequence</v>
          </cell>
          <cell r="H2" t="str">
            <v>Length (km)</v>
          </cell>
          <cell r="I2" t="str">
            <v>Trrrain</v>
          </cell>
          <cell r="J2" t="str">
            <v>District</v>
          </cell>
          <cell r="K2" t="str">
            <v>Map sheet No.</v>
          </cell>
          <cell r="L2" t="str">
            <v>Comments</v>
          </cell>
        </row>
        <row r="3">
          <cell r="A3" t="str">
            <v>RS 317</v>
          </cell>
          <cell r="B3">
            <v>139</v>
          </cell>
          <cell r="C3" t="str">
            <v>S</v>
          </cell>
          <cell r="D3" t="str">
            <v>T</v>
          </cell>
          <cell r="E3" t="str">
            <v>Bangula - Tengani</v>
          </cell>
          <cell r="F3" t="str">
            <v>M01</v>
          </cell>
          <cell r="G3">
            <v>53</v>
          </cell>
          <cell r="H3">
            <v>21.6</v>
          </cell>
          <cell r="I3" t="str">
            <v>F</v>
          </cell>
          <cell r="J3" t="str">
            <v>NSANJE</v>
          </cell>
          <cell r="K3">
            <v>10</v>
          </cell>
        </row>
        <row r="4">
          <cell r="A4" t="str">
            <v>RS 318</v>
          </cell>
          <cell r="B4">
            <v>140</v>
          </cell>
          <cell r="C4" t="str">
            <v>S</v>
          </cell>
          <cell r="D4" t="str">
            <v>T</v>
          </cell>
          <cell r="E4" t="str">
            <v>Tengani - Chigumukire</v>
          </cell>
          <cell r="F4" t="str">
            <v>M01</v>
          </cell>
          <cell r="G4">
            <v>54</v>
          </cell>
          <cell r="H4">
            <v>11.2</v>
          </cell>
          <cell r="I4" t="str">
            <v>F</v>
          </cell>
          <cell r="J4" t="str">
            <v>NSANJE</v>
          </cell>
          <cell r="K4">
            <v>10</v>
          </cell>
        </row>
        <row r="5">
          <cell r="A5" t="str">
            <v>RS 320</v>
          </cell>
          <cell r="B5">
            <v>142</v>
          </cell>
          <cell r="C5" t="str">
            <v>S</v>
          </cell>
          <cell r="D5" t="str">
            <v>T</v>
          </cell>
          <cell r="E5" t="str">
            <v>Chigumukire - Lundu</v>
          </cell>
          <cell r="F5" t="str">
            <v>M01</v>
          </cell>
          <cell r="G5">
            <v>55</v>
          </cell>
          <cell r="H5">
            <v>14</v>
          </cell>
          <cell r="I5" t="str">
            <v>F</v>
          </cell>
          <cell r="J5" t="str">
            <v>NSANJE</v>
          </cell>
          <cell r="K5">
            <v>10</v>
          </cell>
        </row>
        <row r="6">
          <cell r="A6" t="str">
            <v>RS 314</v>
          </cell>
          <cell r="B6">
            <v>136</v>
          </cell>
          <cell r="C6" t="str">
            <v>S</v>
          </cell>
          <cell r="D6" t="str">
            <v>T</v>
          </cell>
          <cell r="E6" t="str">
            <v>Lundu - Nsanje Marka</v>
          </cell>
          <cell r="F6" t="str">
            <v>M01</v>
          </cell>
          <cell r="G6">
            <v>56</v>
          </cell>
          <cell r="H6">
            <v>28</v>
          </cell>
          <cell r="I6" t="str">
            <v>F</v>
          </cell>
          <cell r="J6" t="str">
            <v>NSANJE</v>
          </cell>
          <cell r="K6">
            <v>10</v>
          </cell>
        </row>
        <row r="7">
          <cell r="A7" t="str">
            <v>RS 327</v>
          </cell>
          <cell r="B7">
            <v>149</v>
          </cell>
          <cell r="C7" t="str">
            <v>S</v>
          </cell>
          <cell r="D7" t="str">
            <v>T</v>
          </cell>
          <cell r="E7" t="str">
            <v>Mbalula - Chowe</v>
          </cell>
          <cell r="F7" t="str">
            <v>M03</v>
          </cell>
          <cell r="G7">
            <v>16</v>
          </cell>
          <cell r="H7">
            <v>7.2</v>
          </cell>
          <cell r="I7" t="str">
            <v>H</v>
          </cell>
          <cell r="J7" t="str">
            <v>MANGOCHI</v>
          </cell>
          <cell r="K7">
            <v>8</v>
          </cell>
        </row>
        <row r="8">
          <cell r="A8" t="str">
            <v>RS 325</v>
          </cell>
          <cell r="B8">
            <v>147</v>
          </cell>
          <cell r="C8" t="str">
            <v>S</v>
          </cell>
          <cell r="D8" t="str">
            <v>T</v>
          </cell>
          <cell r="E8" t="str">
            <v>Matola - Idulusi</v>
          </cell>
          <cell r="F8" t="str">
            <v>M03</v>
          </cell>
          <cell r="G8">
            <v>18</v>
          </cell>
          <cell r="H8">
            <v>4.2</v>
          </cell>
          <cell r="I8" t="str">
            <v>H</v>
          </cell>
          <cell r="J8" t="str">
            <v>MANGOCHI</v>
          </cell>
          <cell r="K8">
            <v>8</v>
          </cell>
        </row>
        <row r="9">
          <cell r="A9" t="str">
            <v>RS 328</v>
          </cell>
          <cell r="B9">
            <v>150</v>
          </cell>
          <cell r="C9" t="str">
            <v>S</v>
          </cell>
          <cell r="D9" t="str">
            <v>T</v>
          </cell>
          <cell r="E9" t="str">
            <v>Idulusi - Namwera</v>
          </cell>
          <cell r="F9" t="str">
            <v>M03</v>
          </cell>
          <cell r="G9">
            <v>19</v>
          </cell>
          <cell r="H9">
            <v>12.7</v>
          </cell>
          <cell r="I9" t="str">
            <v>R</v>
          </cell>
          <cell r="J9" t="str">
            <v>MANGOCHI</v>
          </cell>
          <cell r="K9">
            <v>7</v>
          </cell>
        </row>
        <row r="10">
          <cell r="A10" t="str">
            <v>RS 323</v>
          </cell>
          <cell r="B10">
            <v>145</v>
          </cell>
          <cell r="C10" t="str">
            <v>S</v>
          </cell>
          <cell r="D10" t="str">
            <v>T</v>
          </cell>
          <cell r="E10" t="str">
            <v>Namwera - Chiponde</v>
          </cell>
          <cell r="F10" t="str">
            <v>M03</v>
          </cell>
          <cell r="G10">
            <v>20</v>
          </cell>
          <cell r="H10">
            <v>12.9</v>
          </cell>
          <cell r="I10" t="str">
            <v>R</v>
          </cell>
          <cell r="J10" t="str">
            <v>MANGOCHI</v>
          </cell>
          <cell r="K10">
            <v>7</v>
          </cell>
        </row>
        <row r="11">
          <cell r="A11" t="str">
            <v>RS 329</v>
          </cell>
          <cell r="B11">
            <v>151</v>
          </cell>
          <cell r="C11" t="str">
            <v>S</v>
          </cell>
          <cell r="D11" t="str">
            <v>T</v>
          </cell>
          <cell r="E11" t="str">
            <v>Mikolongwe - Losa</v>
          </cell>
          <cell r="F11" t="str">
            <v>M04</v>
          </cell>
          <cell r="G11">
            <v>3</v>
          </cell>
          <cell r="H11">
            <v>13.1</v>
          </cell>
          <cell r="I11" t="str">
            <v>R</v>
          </cell>
          <cell r="J11" t="str">
            <v>CHIRADZULU</v>
          </cell>
          <cell r="K11">
            <v>9</v>
          </cell>
        </row>
        <row r="12">
          <cell r="A12" t="str">
            <v>RS 758</v>
          </cell>
          <cell r="B12">
            <v>580</v>
          </cell>
          <cell r="C12" t="str">
            <v>S</v>
          </cell>
          <cell r="D12" t="str">
            <v>T</v>
          </cell>
          <cell r="E12" t="str">
            <v>Losa - Thuchila River Bridge</v>
          </cell>
          <cell r="F12" t="str">
            <v>M04</v>
          </cell>
          <cell r="G12">
            <v>4</v>
          </cell>
          <cell r="H12">
            <v>8.6999999999999993</v>
          </cell>
          <cell r="I12" t="str">
            <v>F</v>
          </cell>
          <cell r="J12" t="str">
            <v>MULANJE</v>
          </cell>
          <cell r="K12">
            <v>9</v>
          </cell>
          <cell r="L12" t="str">
            <v>Changed designation from T413  to M04</v>
          </cell>
        </row>
        <row r="13">
          <cell r="A13" t="str">
            <v>RS 838</v>
          </cell>
          <cell r="B13" t="str">
            <v>n.a.</v>
          </cell>
          <cell r="C13" t="str">
            <v>S</v>
          </cell>
          <cell r="D13" t="str">
            <v>T</v>
          </cell>
          <cell r="E13" t="str">
            <v>Thuchila River Bridge - Luwanje T.C.</v>
          </cell>
          <cell r="F13" t="str">
            <v>M04</v>
          </cell>
          <cell r="G13">
            <v>5</v>
          </cell>
          <cell r="H13">
            <v>6.9</v>
          </cell>
          <cell r="I13" t="str">
            <v>R</v>
          </cell>
          <cell r="J13" t="str">
            <v>MULANJE</v>
          </cell>
          <cell r="K13">
            <v>9</v>
          </cell>
          <cell r="L13" t="str">
            <v xml:space="preserve">New section part of RS 330 </v>
          </cell>
        </row>
        <row r="14">
          <cell r="A14" t="str">
            <v>RS 215</v>
          </cell>
          <cell r="B14">
            <v>37</v>
          </cell>
          <cell r="C14" t="str">
            <v>C</v>
          </cell>
          <cell r="D14" t="str">
            <v>T</v>
          </cell>
          <cell r="E14" t="str">
            <v>Zowonela - Mbobo</v>
          </cell>
          <cell r="F14" t="str">
            <v>M07</v>
          </cell>
          <cell r="G14">
            <v>1</v>
          </cell>
          <cell r="H14">
            <v>12.2</v>
          </cell>
          <cell r="I14" t="str">
            <v>L</v>
          </cell>
          <cell r="J14" t="str">
            <v>NTCHISI</v>
          </cell>
          <cell r="K14">
            <v>5</v>
          </cell>
        </row>
        <row r="15">
          <cell r="A15" t="str">
            <v>RS 209</v>
          </cell>
          <cell r="B15">
            <v>31</v>
          </cell>
          <cell r="C15" t="str">
            <v>C</v>
          </cell>
          <cell r="D15" t="str">
            <v>T</v>
          </cell>
          <cell r="E15" t="str">
            <v>Mpala T.C. - Zowonela</v>
          </cell>
          <cell r="F15" t="str">
            <v>M07</v>
          </cell>
          <cell r="G15">
            <v>2</v>
          </cell>
          <cell r="H15">
            <v>9.8000000000000007</v>
          </cell>
          <cell r="I15" t="str">
            <v>R</v>
          </cell>
          <cell r="J15" t="str">
            <v>NTCHISI</v>
          </cell>
          <cell r="K15">
            <v>5</v>
          </cell>
        </row>
        <row r="16">
          <cell r="A16" t="str">
            <v>RS 214</v>
          </cell>
          <cell r="B16">
            <v>36</v>
          </cell>
          <cell r="C16" t="str">
            <v>C</v>
          </cell>
          <cell r="D16" t="str">
            <v>T</v>
          </cell>
          <cell r="E16" t="str">
            <v>Mpala T.C. - Ntchisi</v>
          </cell>
          <cell r="F16" t="str">
            <v>M07</v>
          </cell>
          <cell r="G16">
            <v>3</v>
          </cell>
          <cell r="H16">
            <v>12.9</v>
          </cell>
          <cell r="I16" t="str">
            <v>R</v>
          </cell>
          <cell r="J16" t="str">
            <v>NTCHISI</v>
          </cell>
          <cell r="K16">
            <v>5</v>
          </cell>
        </row>
        <row r="17">
          <cell r="A17" t="str">
            <v>RS 208</v>
          </cell>
          <cell r="B17">
            <v>30</v>
          </cell>
          <cell r="C17" t="str">
            <v>C</v>
          </cell>
          <cell r="D17" t="str">
            <v>T</v>
          </cell>
          <cell r="E17" t="str">
            <v>Nchisi - Km17.45</v>
          </cell>
          <cell r="F17" t="str">
            <v>M07</v>
          </cell>
          <cell r="G17">
            <v>4</v>
          </cell>
          <cell r="H17">
            <v>1.6</v>
          </cell>
          <cell r="I17" t="str">
            <v>R</v>
          </cell>
          <cell r="J17" t="str">
            <v>NTCHISI</v>
          </cell>
          <cell r="K17">
            <v>5</v>
          </cell>
        </row>
        <row r="18">
          <cell r="A18" t="str">
            <v>RS 211</v>
          </cell>
          <cell r="B18">
            <v>33</v>
          </cell>
          <cell r="C18" t="str">
            <v>C</v>
          </cell>
          <cell r="D18" t="str">
            <v>T</v>
          </cell>
          <cell r="E18" t="str">
            <v>Km17.45 - Mbonekela</v>
          </cell>
          <cell r="F18" t="str">
            <v>M07</v>
          </cell>
          <cell r="G18">
            <v>5</v>
          </cell>
          <cell r="H18">
            <v>17.399999999999999</v>
          </cell>
          <cell r="I18" t="str">
            <v>R</v>
          </cell>
          <cell r="J18" t="str">
            <v>NTCHISI</v>
          </cell>
          <cell r="K18">
            <v>5</v>
          </cell>
        </row>
        <row r="19">
          <cell r="A19" t="str">
            <v>RS 212</v>
          </cell>
          <cell r="B19">
            <v>34</v>
          </cell>
          <cell r="C19" t="str">
            <v>C</v>
          </cell>
          <cell r="D19" t="str">
            <v>T</v>
          </cell>
          <cell r="E19" t="str">
            <v>Mwangala - Dzaleka</v>
          </cell>
          <cell r="F19" t="str">
            <v>M07</v>
          </cell>
          <cell r="G19">
            <v>6</v>
          </cell>
          <cell r="H19">
            <v>25.4</v>
          </cell>
          <cell r="I19" t="str">
            <v>R</v>
          </cell>
          <cell r="J19" t="str">
            <v>DOWA</v>
          </cell>
          <cell r="K19" t="str">
            <v>5,6</v>
          </cell>
        </row>
        <row r="20">
          <cell r="A20" t="str">
            <v>RS 210</v>
          </cell>
          <cell r="B20">
            <v>32</v>
          </cell>
          <cell r="C20" t="str">
            <v>C</v>
          </cell>
          <cell r="D20" t="str">
            <v>T</v>
          </cell>
          <cell r="E20" t="str">
            <v>Dzaleka - Zidunge</v>
          </cell>
          <cell r="F20" t="str">
            <v>M07</v>
          </cell>
          <cell r="G20">
            <v>7</v>
          </cell>
          <cell r="H20">
            <v>5.2</v>
          </cell>
          <cell r="I20" t="str">
            <v>R</v>
          </cell>
          <cell r="J20" t="str">
            <v>DOWA</v>
          </cell>
          <cell r="K20">
            <v>5</v>
          </cell>
        </row>
        <row r="21">
          <cell r="A21" t="str">
            <v>RS 213</v>
          </cell>
          <cell r="B21">
            <v>35</v>
          </cell>
          <cell r="C21" t="str">
            <v>C</v>
          </cell>
          <cell r="D21" t="str">
            <v>T</v>
          </cell>
          <cell r="E21" t="str">
            <v>Zidunge - Othambwe</v>
          </cell>
          <cell r="F21" t="str">
            <v>M07</v>
          </cell>
          <cell r="G21">
            <v>8</v>
          </cell>
          <cell r="H21">
            <v>7.9</v>
          </cell>
          <cell r="I21" t="str">
            <v>F</v>
          </cell>
          <cell r="J21" t="str">
            <v>DOWA</v>
          </cell>
          <cell r="K21">
            <v>6</v>
          </cell>
        </row>
        <row r="22">
          <cell r="A22" t="str">
            <v>RS 847</v>
          </cell>
          <cell r="B22" t="str">
            <v>n.a.</v>
          </cell>
          <cell r="C22" t="str">
            <v>N</v>
          </cell>
          <cell r="D22" t="str">
            <v>T</v>
          </cell>
          <cell r="E22" t="str">
            <v>Mkoma (Tanzania border) - Chitipa</v>
          </cell>
          <cell r="F22" t="str">
            <v>M09</v>
          </cell>
          <cell r="G22">
            <v>1</v>
          </cell>
          <cell r="H22">
            <v>44.5</v>
          </cell>
          <cell r="I22" t="str">
            <v>R</v>
          </cell>
          <cell r="J22" t="str">
            <v>CHITIPA</v>
          </cell>
          <cell r="K22">
            <v>1</v>
          </cell>
          <cell r="L22" t="str">
            <v>New section part of origional RS 179</v>
          </cell>
        </row>
        <row r="23">
          <cell r="A23" t="str">
            <v>RS 848</v>
          </cell>
          <cell r="B23" t="str">
            <v>n.a.</v>
          </cell>
          <cell r="C23" t="str">
            <v>N</v>
          </cell>
          <cell r="D23" t="str">
            <v>T</v>
          </cell>
          <cell r="E23" t="str">
            <v>Chitipa - Chelinda T/off</v>
          </cell>
          <cell r="F23" t="str">
            <v>M09</v>
          </cell>
          <cell r="G23">
            <v>2</v>
          </cell>
          <cell r="H23">
            <v>166.8</v>
          </cell>
          <cell r="I23" t="str">
            <v>R</v>
          </cell>
          <cell r="J23" t="str">
            <v>CHITIPA</v>
          </cell>
          <cell r="K23">
            <v>1</v>
          </cell>
          <cell r="L23" t="str">
            <v>New section part of origional RS 179</v>
          </cell>
        </row>
        <row r="24">
          <cell r="A24" t="str">
            <v>RS 181</v>
          </cell>
          <cell r="B24">
            <v>3</v>
          </cell>
          <cell r="C24" t="str">
            <v>N</v>
          </cell>
          <cell r="D24" t="str">
            <v>T</v>
          </cell>
          <cell r="E24" t="str">
            <v>Chelinda T/off - Chitanga</v>
          </cell>
          <cell r="F24" t="str">
            <v>M09</v>
          </cell>
          <cell r="G24">
            <v>3</v>
          </cell>
          <cell r="H24">
            <v>62.8</v>
          </cell>
          <cell r="I24" t="str">
            <v>R</v>
          </cell>
          <cell r="J24" t="str">
            <v>RUMPHI</v>
          </cell>
          <cell r="K24" t="str">
            <v>2,3</v>
          </cell>
          <cell r="L24" t="str">
            <v>End point altered from Mphangara Stream to Chatanga</v>
          </cell>
        </row>
        <row r="25">
          <cell r="A25" t="str">
            <v>RS 182</v>
          </cell>
          <cell r="B25">
            <v>4</v>
          </cell>
          <cell r="C25" t="str">
            <v>N</v>
          </cell>
          <cell r="D25" t="str">
            <v>T</v>
          </cell>
          <cell r="E25" t="str">
            <v>Mphangara Stream-Bow-Emcisweni-Kamchocho-Chitapa</v>
          </cell>
          <cell r="F25" t="str">
            <v>M09</v>
          </cell>
          <cell r="G25">
            <v>4</v>
          </cell>
          <cell r="H25">
            <v>95</v>
          </cell>
          <cell r="I25" t="str">
            <v>R</v>
          </cell>
          <cell r="J25" t="str">
            <v>MZIMBA</v>
          </cell>
          <cell r="K25" t="str">
            <v>3,4</v>
          </cell>
        </row>
        <row r="26">
          <cell r="A26" t="str">
            <v>RS 180</v>
          </cell>
          <cell r="B26">
            <v>2</v>
          </cell>
          <cell r="C26" t="str">
            <v>N</v>
          </cell>
          <cell r="D26" t="str">
            <v>T</v>
          </cell>
          <cell r="E26" t="str">
            <v>Chitapa - Majighasawa</v>
          </cell>
          <cell r="F26" t="str">
            <v>M09</v>
          </cell>
          <cell r="G26">
            <v>5</v>
          </cell>
          <cell r="H26">
            <v>31.8</v>
          </cell>
          <cell r="I26" t="str">
            <v>R</v>
          </cell>
          <cell r="J26" t="str">
            <v>MZIMBA</v>
          </cell>
          <cell r="K26" t="str">
            <v>3,4</v>
          </cell>
        </row>
        <row r="27">
          <cell r="A27" t="str">
            <v>RS 849</v>
          </cell>
          <cell r="B27" t="str">
            <v>n.a.</v>
          </cell>
          <cell r="C27" t="str">
            <v>N</v>
          </cell>
          <cell r="D27" t="str">
            <v>T</v>
          </cell>
          <cell r="E27" t="str">
            <v>Chitanga - Mphangara Stream</v>
          </cell>
          <cell r="F27" t="str">
            <v>M09</v>
          </cell>
          <cell r="G27">
            <v>6</v>
          </cell>
          <cell r="H27">
            <v>21.2</v>
          </cell>
          <cell r="I27">
            <v>3</v>
          </cell>
          <cell r="J27" t="str">
            <v>MZIMBA</v>
          </cell>
          <cell r="K27">
            <v>3</v>
          </cell>
          <cell r="L27" t="str">
            <v>New section part of origional RS 181</v>
          </cell>
        </row>
        <row r="28">
          <cell r="A28" t="str">
            <v>RS 183</v>
          </cell>
          <cell r="B28">
            <v>5</v>
          </cell>
          <cell r="C28" t="str">
            <v>N</v>
          </cell>
          <cell r="D28" t="str">
            <v>T</v>
          </cell>
          <cell r="E28" t="str">
            <v>Chiweta - Malongowe River</v>
          </cell>
          <cell r="F28" t="str">
            <v>M11</v>
          </cell>
          <cell r="G28">
            <v>1</v>
          </cell>
          <cell r="H28">
            <v>33.200000000000003</v>
          </cell>
          <cell r="I28" t="str">
            <v>R</v>
          </cell>
          <cell r="J28" t="str">
            <v>RUMPHI</v>
          </cell>
          <cell r="K28" t="str">
            <v>2,3</v>
          </cell>
        </row>
        <row r="29">
          <cell r="A29" t="str">
            <v>RS 184</v>
          </cell>
          <cell r="B29">
            <v>6</v>
          </cell>
          <cell r="C29" t="str">
            <v>N</v>
          </cell>
          <cell r="D29" t="str">
            <v>T</v>
          </cell>
          <cell r="E29" t="str">
            <v>Malongowe River - Usisya - Timbiri</v>
          </cell>
          <cell r="F29" t="str">
            <v>M11</v>
          </cell>
          <cell r="G29">
            <v>2</v>
          </cell>
          <cell r="H29">
            <v>63</v>
          </cell>
          <cell r="I29" t="str">
            <v>R</v>
          </cell>
          <cell r="J29" t="str">
            <v>MZIMBA</v>
          </cell>
          <cell r="K29">
            <v>3</v>
          </cell>
        </row>
        <row r="30">
          <cell r="A30" t="str">
            <v>RS 220</v>
          </cell>
          <cell r="B30">
            <v>42</v>
          </cell>
          <cell r="C30" t="str">
            <v>C</v>
          </cell>
          <cell r="D30" t="str">
            <v>T</v>
          </cell>
          <cell r="E30" t="str">
            <v>Dzaleka - Dowa</v>
          </cell>
          <cell r="F30" t="str">
            <v>M16</v>
          </cell>
          <cell r="G30">
            <v>1</v>
          </cell>
          <cell r="H30">
            <v>7.4</v>
          </cell>
          <cell r="I30" t="str">
            <v>R</v>
          </cell>
          <cell r="J30" t="str">
            <v>DOWA</v>
          </cell>
          <cell r="K30">
            <v>6</v>
          </cell>
        </row>
        <row r="31">
          <cell r="A31" t="str">
            <v>RS 219</v>
          </cell>
          <cell r="B31">
            <v>41</v>
          </cell>
          <cell r="C31" t="str">
            <v>C</v>
          </cell>
          <cell r="D31" t="str">
            <v>T</v>
          </cell>
          <cell r="E31" t="str">
            <v>Dowa - Chezi</v>
          </cell>
          <cell r="F31" t="str">
            <v>M16</v>
          </cell>
          <cell r="G31">
            <v>2</v>
          </cell>
          <cell r="H31">
            <v>16.600000000000001</v>
          </cell>
          <cell r="I31" t="str">
            <v>H</v>
          </cell>
          <cell r="J31" t="str">
            <v>DOWA</v>
          </cell>
          <cell r="K31">
            <v>6</v>
          </cell>
        </row>
        <row r="32">
          <cell r="A32" t="str">
            <v>RS 049</v>
          </cell>
          <cell r="B32">
            <v>49</v>
          </cell>
          <cell r="C32" t="str">
            <v>C</v>
          </cell>
          <cell r="D32" t="str">
            <v>T</v>
          </cell>
          <cell r="E32" t="str">
            <v>Nkhota-kota - Malenga</v>
          </cell>
          <cell r="F32" t="str">
            <v>M18</v>
          </cell>
          <cell r="G32">
            <v>1</v>
          </cell>
          <cell r="H32">
            <v>5.6</v>
          </cell>
          <cell r="I32" t="str">
            <v>F</v>
          </cell>
          <cell r="J32" t="str">
            <v>NKHOTA KOTA</v>
          </cell>
          <cell r="K32">
            <v>5</v>
          </cell>
          <cell r="L32" t="str">
            <v>Changed designation from M5 to M18</v>
          </cell>
        </row>
        <row r="33">
          <cell r="A33" t="str">
            <v>RS 224</v>
          </cell>
          <cell r="B33">
            <v>46</v>
          </cell>
          <cell r="C33" t="str">
            <v>C</v>
          </cell>
          <cell r="D33" t="str">
            <v>T</v>
          </cell>
          <cell r="E33" t="str">
            <v>Malenga - Nkhotakota Game Reserve</v>
          </cell>
          <cell r="F33" t="str">
            <v>M18</v>
          </cell>
          <cell r="G33">
            <v>2</v>
          </cell>
          <cell r="H33">
            <v>16.100000000000001</v>
          </cell>
          <cell r="I33" t="str">
            <v>F</v>
          </cell>
          <cell r="J33" t="str">
            <v>NKHOTA KOTA</v>
          </cell>
          <cell r="K33">
            <v>5</v>
          </cell>
        </row>
        <row r="34">
          <cell r="A34" t="str">
            <v>RS 222</v>
          </cell>
          <cell r="B34">
            <v>44</v>
          </cell>
          <cell r="C34" t="str">
            <v>C</v>
          </cell>
          <cell r="D34" t="str">
            <v>T</v>
          </cell>
          <cell r="E34" t="str">
            <v>Nkhotakota Game Reserve - Mbobo</v>
          </cell>
          <cell r="F34" t="str">
            <v>M18</v>
          </cell>
          <cell r="G34">
            <v>3</v>
          </cell>
          <cell r="H34">
            <v>32.6</v>
          </cell>
          <cell r="I34" t="str">
            <v>R</v>
          </cell>
          <cell r="J34" t="str">
            <v>NKHOTA KOTA &amp; NTCHISI</v>
          </cell>
          <cell r="K34">
            <v>5</v>
          </cell>
        </row>
        <row r="35">
          <cell r="A35" t="str">
            <v>RS 223</v>
          </cell>
          <cell r="B35">
            <v>45</v>
          </cell>
          <cell r="C35" t="str">
            <v>C</v>
          </cell>
          <cell r="D35" t="str">
            <v>T</v>
          </cell>
          <cell r="E35" t="str">
            <v>Mbobo - Malomo T.C.</v>
          </cell>
          <cell r="F35" t="str">
            <v>M18</v>
          </cell>
          <cell r="G35">
            <v>4</v>
          </cell>
          <cell r="H35">
            <v>18.100000000000001</v>
          </cell>
          <cell r="I35" t="str">
            <v>R</v>
          </cell>
          <cell r="J35" t="str">
            <v>NTCHISI</v>
          </cell>
          <cell r="K35">
            <v>5</v>
          </cell>
        </row>
        <row r="36">
          <cell r="A36" t="str">
            <v>RS 837</v>
          </cell>
          <cell r="B36" t="str">
            <v>n.a.</v>
          </cell>
          <cell r="C36" t="str">
            <v>C</v>
          </cell>
          <cell r="D36" t="str">
            <v>T</v>
          </cell>
          <cell r="E36" t="str">
            <v>Malomo T.C. - Chima</v>
          </cell>
          <cell r="F36" t="str">
            <v>M18</v>
          </cell>
          <cell r="G36">
            <v>5</v>
          </cell>
          <cell r="H36">
            <v>14.4</v>
          </cell>
          <cell r="I36" t="str">
            <v>R</v>
          </cell>
          <cell r="J36" t="str">
            <v>LILONGWE</v>
          </cell>
          <cell r="K36">
            <v>6</v>
          </cell>
          <cell r="L36" t="str">
            <v>New section part of RS 225</v>
          </cell>
        </row>
        <row r="37">
          <cell r="A37" t="str">
            <v>RS 259</v>
          </cell>
          <cell r="B37">
            <v>81</v>
          </cell>
          <cell r="C37" t="str">
            <v>C</v>
          </cell>
          <cell r="D37" t="str">
            <v>T</v>
          </cell>
          <cell r="E37" t="str">
            <v>Chima - Chilowamatambe</v>
          </cell>
          <cell r="F37" t="str">
            <v>M18</v>
          </cell>
          <cell r="G37">
            <v>6</v>
          </cell>
          <cell r="H37">
            <v>14.9</v>
          </cell>
          <cell r="I37" t="str">
            <v>F</v>
          </cell>
          <cell r="J37" t="str">
            <v>KASUNGU</v>
          </cell>
          <cell r="K37">
            <v>5</v>
          </cell>
          <cell r="L37" t="str">
            <v>Changed designation from S120 to M18. Now by-passed.</v>
          </cell>
        </row>
        <row r="38">
          <cell r="A38" t="str">
            <v>RS 261</v>
          </cell>
          <cell r="B38">
            <v>83</v>
          </cell>
          <cell r="C38" t="str">
            <v>C</v>
          </cell>
          <cell r="D38" t="str">
            <v>T</v>
          </cell>
          <cell r="E38" t="str">
            <v>Chilowamatambe - Chiwengo</v>
          </cell>
          <cell r="F38" t="str">
            <v>M18</v>
          </cell>
          <cell r="G38">
            <v>7</v>
          </cell>
          <cell r="H38">
            <v>15.9</v>
          </cell>
          <cell r="I38" t="str">
            <v>F</v>
          </cell>
          <cell r="J38" t="str">
            <v>KASUNGU</v>
          </cell>
          <cell r="K38">
            <v>5</v>
          </cell>
          <cell r="L38" t="str">
            <v>Changed designation from S120 to M18. Now by-passed.</v>
          </cell>
        </row>
        <row r="39">
          <cell r="A39" t="str">
            <v>RS 185</v>
          </cell>
          <cell r="B39">
            <v>7</v>
          </cell>
          <cell r="C39" t="str">
            <v>N</v>
          </cell>
          <cell r="D39" t="str">
            <v>T</v>
          </cell>
          <cell r="E39" t="str">
            <v>Luwawa (junction M1) - Mqocha - Jenda (junction S112)</v>
          </cell>
          <cell r="F39" t="str">
            <v>M20</v>
          </cell>
          <cell r="G39">
            <v>1</v>
          </cell>
          <cell r="H39">
            <v>78.5</v>
          </cell>
          <cell r="I39" t="str">
            <v>F</v>
          </cell>
          <cell r="J39" t="str">
            <v>MZIMBA</v>
          </cell>
          <cell r="K39">
            <v>4</v>
          </cell>
          <cell r="L39" t="str">
            <v>Contains road designated T322 (on 1:250,000 series map)</v>
          </cell>
        </row>
        <row r="40">
          <cell r="A40" t="str">
            <v>RS 186</v>
          </cell>
          <cell r="B40">
            <v>8</v>
          </cell>
          <cell r="C40" t="str">
            <v>N</v>
          </cell>
          <cell r="D40" t="str">
            <v>T</v>
          </cell>
          <cell r="E40" t="str">
            <v>Mzimba - Mtangatanga</v>
          </cell>
          <cell r="F40" t="str">
            <v>M22</v>
          </cell>
          <cell r="G40">
            <v>1</v>
          </cell>
          <cell r="H40">
            <v>24</v>
          </cell>
          <cell r="I40" t="str">
            <v>R</v>
          </cell>
          <cell r="J40" t="str">
            <v>MZIMBA</v>
          </cell>
          <cell r="K40">
            <v>4</v>
          </cell>
        </row>
        <row r="41">
          <cell r="A41" t="str">
            <v>RS 187</v>
          </cell>
          <cell r="B41">
            <v>9</v>
          </cell>
          <cell r="C41" t="str">
            <v>N</v>
          </cell>
          <cell r="D41" t="str">
            <v>T</v>
          </cell>
          <cell r="E41" t="str">
            <v>Rumphi - Bolero - Chitanga</v>
          </cell>
          <cell r="F41" t="str">
            <v>M24</v>
          </cell>
          <cell r="G41">
            <v>3</v>
          </cell>
          <cell r="H41">
            <v>37.799999999999997</v>
          </cell>
          <cell r="I41" t="str">
            <v>F</v>
          </cell>
          <cell r="J41" t="str">
            <v>RUMPHI</v>
          </cell>
          <cell r="K41">
            <v>3</v>
          </cell>
          <cell r="L41" t="str">
            <v>Section start changed to Rumphi</v>
          </cell>
        </row>
        <row r="42">
          <cell r="A42" t="str">
            <v>RS 189</v>
          </cell>
          <cell r="B42">
            <v>11</v>
          </cell>
          <cell r="C42" t="str">
            <v>N</v>
          </cell>
          <cell r="D42" t="str">
            <v>T</v>
          </cell>
          <cell r="E42" t="str">
            <v>Chitipa-Lufira River</v>
          </cell>
          <cell r="F42" t="str">
            <v>M26</v>
          </cell>
          <cell r="G42">
            <v>1</v>
          </cell>
          <cell r="H42">
            <v>43</v>
          </cell>
          <cell r="I42" t="str">
            <v>F</v>
          </cell>
          <cell r="J42" t="str">
            <v>CHITIPA</v>
          </cell>
          <cell r="K42">
            <v>1</v>
          </cell>
        </row>
        <row r="43">
          <cell r="A43" t="str">
            <v>RS 188</v>
          </cell>
          <cell r="B43">
            <v>10</v>
          </cell>
          <cell r="C43" t="str">
            <v>N</v>
          </cell>
          <cell r="D43" t="str">
            <v>T</v>
          </cell>
          <cell r="E43" t="str">
            <v>Lufira river-Karonga</v>
          </cell>
          <cell r="F43" t="str">
            <v>M26</v>
          </cell>
          <cell r="G43">
            <v>2</v>
          </cell>
          <cell r="H43">
            <v>43</v>
          </cell>
          <cell r="I43" t="str">
            <v>F&amp;H</v>
          </cell>
          <cell r="J43" t="str">
            <v>CHITIPA &amp; KARONGA</v>
          </cell>
          <cell r="K43" t="str">
            <v>1,2</v>
          </cell>
        </row>
        <row r="44">
          <cell r="A44" t="str">
            <v>RS 190</v>
          </cell>
          <cell r="B44">
            <v>12</v>
          </cell>
          <cell r="C44" t="str">
            <v>N</v>
          </cell>
          <cell r="D44" t="str">
            <v>T</v>
          </cell>
          <cell r="E44" t="str">
            <v>Chisenga - Chisenga customs</v>
          </cell>
          <cell r="F44" t="str">
            <v>S085</v>
          </cell>
          <cell r="G44">
            <v>1</v>
          </cell>
          <cell r="H44">
            <v>12.6</v>
          </cell>
          <cell r="I44" t="str">
            <v>F</v>
          </cell>
          <cell r="J44" t="str">
            <v>CHITIPA</v>
          </cell>
          <cell r="K44">
            <v>2</v>
          </cell>
        </row>
        <row r="45">
          <cell r="A45" t="str">
            <v>RS 192</v>
          </cell>
          <cell r="B45">
            <v>14</v>
          </cell>
          <cell r="C45" t="str">
            <v>N</v>
          </cell>
          <cell r="D45" t="str">
            <v>T</v>
          </cell>
          <cell r="E45" t="str">
            <v>Chendo - Mwakaromba</v>
          </cell>
          <cell r="F45" t="str">
            <v>S100</v>
          </cell>
          <cell r="G45">
            <v>2</v>
          </cell>
          <cell r="H45">
            <v>178.5</v>
          </cell>
          <cell r="I45" t="str">
            <v>F&amp;H</v>
          </cell>
          <cell r="J45" t="str">
            <v>CHITIPA &amp; KARONGA</v>
          </cell>
          <cell r="K45">
            <v>1</v>
          </cell>
        </row>
        <row r="46">
          <cell r="A46" t="str">
            <v>RS 193</v>
          </cell>
          <cell r="B46">
            <v>15</v>
          </cell>
          <cell r="C46" t="str">
            <v>N</v>
          </cell>
          <cell r="D46" t="str">
            <v>T</v>
          </cell>
          <cell r="E46" t="str">
            <v>Kapirinkhonde - Uledi</v>
          </cell>
          <cell r="F46" t="str">
            <v>S101</v>
          </cell>
          <cell r="G46">
            <v>1</v>
          </cell>
          <cell r="H46">
            <v>33.200000000000003</v>
          </cell>
          <cell r="I46" t="str">
            <v>R</v>
          </cell>
          <cell r="J46" t="str">
            <v>CHITIPA &amp; KARONGA</v>
          </cell>
          <cell r="K46">
            <v>2</v>
          </cell>
        </row>
        <row r="47">
          <cell r="A47" t="str">
            <v>RS 191</v>
          </cell>
          <cell r="B47">
            <v>13</v>
          </cell>
          <cell r="C47" t="str">
            <v>N</v>
          </cell>
          <cell r="D47" t="str">
            <v>T</v>
          </cell>
          <cell r="E47" t="str">
            <v>Uledi - Mpata</v>
          </cell>
          <cell r="F47" t="str">
            <v>S101</v>
          </cell>
          <cell r="G47">
            <v>2</v>
          </cell>
          <cell r="H47">
            <v>28</v>
          </cell>
          <cell r="I47" t="str">
            <v>H</v>
          </cell>
          <cell r="J47" t="str">
            <v>KARONGA</v>
          </cell>
          <cell r="K47">
            <v>2</v>
          </cell>
          <cell r="L47" t="str">
            <v>Changed designation from S100 to S101</v>
          </cell>
        </row>
        <row r="48">
          <cell r="A48" t="str">
            <v>RS 195</v>
          </cell>
          <cell r="B48">
            <v>17</v>
          </cell>
          <cell r="C48" t="str">
            <v>N</v>
          </cell>
          <cell r="D48" t="str">
            <v>T</v>
          </cell>
          <cell r="E48" t="str">
            <v>Gamba T/off - Hananiya - Livingstonia (junction M1)</v>
          </cell>
          <cell r="F48" t="str">
            <v>S103</v>
          </cell>
          <cell r="G48">
            <v>1</v>
          </cell>
          <cell r="H48">
            <v>58.1</v>
          </cell>
          <cell r="I48" t="str">
            <v>H</v>
          </cell>
          <cell r="J48" t="str">
            <v>RUMPHI</v>
          </cell>
          <cell r="K48">
            <v>2</v>
          </cell>
        </row>
        <row r="49">
          <cell r="A49" t="str">
            <v>RS 196</v>
          </cell>
          <cell r="B49">
            <v>18</v>
          </cell>
          <cell r="C49" t="str">
            <v>N</v>
          </cell>
          <cell r="D49" t="str">
            <v>T</v>
          </cell>
          <cell r="E49" t="str">
            <v>Hewe - Makonyola</v>
          </cell>
          <cell r="F49" t="str">
            <v>S104</v>
          </cell>
          <cell r="G49">
            <v>1</v>
          </cell>
          <cell r="H49">
            <v>12.8</v>
          </cell>
          <cell r="I49" t="str">
            <v>R</v>
          </cell>
          <cell r="J49" t="str">
            <v>RUMPHI</v>
          </cell>
          <cell r="K49" t="str">
            <v>2,3</v>
          </cell>
        </row>
        <row r="50">
          <cell r="A50" t="str">
            <v>RS 197</v>
          </cell>
          <cell r="B50">
            <v>19</v>
          </cell>
          <cell r="C50" t="str">
            <v>N</v>
          </cell>
          <cell r="D50" t="str">
            <v>T</v>
          </cell>
          <cell r="E50" t="str">
            <v>Chanyama - Mbalachanda - Munyanja - Kazuni</v>
          </cell>
          <cell r="F50" t="str">
            <v>S105</v>
          </cell>
          <cell r="G50">
            <v>1</v>
          </cell>
          <cell r="H50">
            <v>75</v>
          </cell>
          <cell r="I50" t="str">
            <v>F</v>
          </cell>
          <cell r="J50" t="str">
            <v>MZIMBA</v>
          </cell>
          <cell r="K50">
            <v>3</v>
          </cell>
        </row>
        <row r="51">
          <cell r="A51" t="str">
            <v>RS 198</v>
          </cell>
          <cell r="B51">
            <v>20</v>
          </cell>
          <cell r="C51" t="str">
            <v>N</v>
          </cell>
          <cell r="D51" t="str">
            <v>T</v>
          </cell>
          <cell r="E51" t="str">
            <v>Agripa Jere - Euthini - Mtantha</v>
          </cell>
          <cell r="F51" t="str">
            <v>S106</v>
          </cell>
          <cell r="G51">
            <v>1</v>
          </cell>
          <cell r="H51">
            <v>33.1</v>
          </cell>
          <cell r="I51" t="str">
            <v>F</v>
          </cell>
          <cell r="J51" t="str">
            <v>MZIMBA</v>
          </cell>
          <cell r="K51">
            <v>3</v>
          </cell>
        </row>
        <row r="52">
          <cell r="A52" t="str">
            <v>RS 199</v>
          </cell>
          <cell r="B52">
            <v>21</v>
          </cell>
          <cell r="C52" t="str">
            <v>N</v>
          </cell>
          <cell r="D52" t="str">
            <v>T</v>
          </cell>
          <cell r="E52" t="str">
            <v>Ekwendeni - Kafukule - Eswazini - junction M22</v>
          </cell>
          <cell r="F52" t="str">
            <v>S107</v>
          </cell>
          <cell r="G52">
            <v>1</v>
          </cell>
          <cell r="H52">
            <v>82</v>
          </cell>
          <cell r="I52" t="str">
            <v>F</v>
          </cell>
          <cell r="J52" t="str">
            <v>MZIMBA</v>
          </cell>
          <cell r="K52" t="str">
            <v>3,4</v>
          </cell>
        </row>
        <row r="53">
          <cell r="A53" t="str">
            <v>RS 200</v>
          </cell>
          <cell r="B53">
            <v>22</v>
          </cell>
          <cell r="C53" t="str">
            <v>N</v>
          </cell>
          <cell r="D53" t="str">
            <v>T</v>
          </cell>
          <cell r="E53" t="str">
            <v>Usisya - Bula - Choma Hill</v>
          </cell>
          <cell r="F53" t="str">
            <v>S108</v>
          </cell>
          <cell r="G53">
            <v>1</v>
          </cell>
          <cell r="H53">
            <v>22</v>
          </cell>
          <cell r="I53" t="str">
            <v>H</v>
          </cell>
          <cell r="J53" t="str">
            <v>MZIMBA</v>
          </cell>
          <cell r="K53">
            <v>3</v>
          </cell>
        </row>
        <row r="54">
          <cell r="A54" t="str">
            <v>RS 201</v>
          </cell>
          <cell r="B54">
            <v>23</v>
          </cell>
          <cell r="C54" t="str">
            <v>N</v>
          </cell>
          <cell r="D54" t="str">
            <v>T</v>
          </cell>
          <cell r="E54" t="str">
            <v>Choma Hill - Mzuzu</v>
          </cell>
          <cell r="F54" t="str">
            <v>S108</v>
          </cell>
          <cell r="G54">
            <v>2</v>
          </cell>
          <cell r="H54">
            <v>16.5</v>
          </cell>
          <cell r="I54" t="str">
            <v>F</v>
          </cell>
          <cell r="J54" t="str">
            <v>MZIMBA</v>
          </cell>
          <cell r="K54">
            <v>3</v>
          </cell>
        </row>
        <row r="55">
          <cell r="A55" t="str">
            <v>RS 202</v>
          </cell>
          <cell r="B55">
            <v>24</v>
          </cell>
          <cell r="C55" t="str">
            <v>N</v>
          </cell>
          <cell r="D55" t="str">
            <v>T</v>
          </cell>
          <cell r="E55" t="str">
            <v>Mwazisi River - Chikwawa</v>
          </cell>
          <cell r="F55" t="str">
            <v>S109</v>
          </cell>
          <cell r="G55">
            <v>1</v>
          </cell>
          <cell r="H55">
            <v>13.2</v>
          </cell>
          <cell r="I55" t="str">
            <v>F</v>
          </cell>
          <cell r="J55" t="str">
            <v>RUMPI</v>
          </cell>
          <cell r="K55">
            <v>3</v>
          </cell>
        </row>
        <row r="56">
          <cell r="A56" t="str">
            <v>RS 203</v>
          </cell>
          <cell r="B56">
            <v>25</v>
          </cell>
          <cell r="C56" t="str">
            <v>N</v>
          </cell>
          <cell r="D56" t="str">
            <v>T</v>
          </cell>
          <cell r="E56" t="str">
            <v>Chintheche - Mazamba Hill</v>
          </cell>
          <cell r="F56" t="str">
            <v>S110</v>
          </cell>
          <cell r="G56">
            <v>1</v>
          </cell>
          <cell r="H56">
            <v>41</v>
          </cell>
          <cell r="I56" t="str">
            <v>H</v>
          </cell>
          <cell r="J56" t="str">
            <v>NKHATA BAY</v>
          </cell>
          <cell r="K56">
            <v>3</v>
          </cell>
        </row>
        <row r="57">
          <cell r="A57" t="str">
            <v>RS 204</v>
          </cell>
          <cell r="B57">
            <v>26</v>
          </cell>
          <cell r="C57" t="str">
            <v>N</v>
          </cell>
          <cell r="D57" t="str">
            <v>T</v>
          </cell>
          <cell r="E57" t="str">
            <v>Engalaweni - Kandodo Chisi</v>
          </cell>
          <cell r="F57" t="str">
            <v>S111</v>
          </cell>
          <cell r="G57">
            <v>1</v>
          </cell>
          <cell r="H57">
            <v>25.9</v>
          </cell>
          <cell r="I57" t="str">
            <v>R</v>
          </cell>
          <cell r="J57" t="str">
            <v>MZIMBA</v>
          </cell>
          <cell r="K57">
            <v>4</v>
          </cell>
        </row>
        <row r="58">
          <cell r="A58" t="str">
            <v>RS 205</v>
          </cell>
          <cell r="B58">
            <v>27</v>
          </cell>
          <cell r="C58" t="str">
            <v>N</v>
          </cell>
          <cell r="D58" t="str">
            <v>T</v>
          </cell>
          <cell r="E58" t="str">
            <v>Chaiso - Kamteteka</v>
          </cell>
          <cell r="F58" t="str">
            <v>S112</v>
          </cell>
          <cell r="G58">
            <v>1</v>
          </cell>
          <cell r="H58">
            <v>7.1</v>
          </cell>
          <cell r="I58" t="str">
            <v>F</v>
          </cell>
          <cell r="J58" t="str">
            <v>MZIMBA</v>
          </cell>
          <cell r="K58">
            <v>4</v>
          </cell>
        </row>
        <row r="59">
          <cell r="A59" t="str">
            <v>RS 206</v>
          </cell>
          <cell r="B59">
            <v>28</v>
          </cell>
          <cell r="C59" t="str">
            <v>N</v>
          </cell>
          <cell r="D59" t="str">
            <v>T</v>
          </cell>
          <cell r="E59" t="str">
            <v>Kamteteka - Edingeni - Embangweni - Jenda</v>
          </cell>
          <cell r="F59" t="str">
            <v>S112</v>
          </cell>
          <cell r="G59">
            <v>2</v>
          </cell>
          <cell r="H59">
            <v>84</v>
          </cell>
          <cell r="I59" t="str">
            <v>F</v>
          </cell>
          <cell r="J59" t="str">
            <v>MZIMBA</v>
          </cell>
          <cell r="K59">
            <v>4</v>
          </cell>
        </row>
        <row r="60">
          <cell r="A60" t="str">
            <v>RS 207</v>
          </cell>
          <cell r="B60">
            <v>29</v>
          </cell>
          <cell r="C60" t="str">
            <v>N</v>
          </cell>
          <cell r="D60" t="str">
            <v>T</v>
          </cell>
          <cell r="E60" t="str">
            <v>Rumphi River - Luwelezi - Kakwale River</v>
          </cell>
          <cell r="F60" t="str">
            <v>S113</v>
          </cell>
          <cell r="G60">
            <v>1</v>
          </cell>
          <cell r="H60">
            <v>44.9</v>
          </cell>
          <cell r="I60" t="str">
            <v>H</v>
          </cell>
          <cell r="J60" t="str">
            <v>NKHATA BAY</v>
          </cell>
          <cell r="K60">
            <v>4</v>
          </cell>
        </row>
        <row r="61">
          <cell r="A61" t="str">
            <v>RS 226</v>
          </cell>
          <cell r="B61">
            <v>48</v>
          </cell>
          <cell r="C61" t="str">
            <v>C</v>
          </cell>
          <cell r="D61" t="str">
            <v>T</v>
          </cell>
          <cell r="E61" t="str">
            <v>Kachinda - Chimaliro Police</v>
          </cell>
          <cell r="F61" t="str">
            <v>S113</v>
          </cell>
          <cell r="G61">
            <v>2</v>
          </cell>
          <cell r="H61">
            <v>13</v>
          </cell>
          <cell r="I61" t="str">
            <v>F</v>
          </cell>
          <cell r="J61" t="str">
            <v>KASUNGU</v>
          </cell>
          <cell r="K61">
            <v>4</v>
          </cell>
        </row>
        <row r="62">
          <cell r="A62" t="str">
            <v>RS 229</v>
          </cell>
          <cell r="B62">
            <v>51</v>
          </cell>
          <cell r="C62" t="str">
            <v>C</v>
          </cell>
          <cell r="D62" t="str">
            <v>T</v>
          </cell>
          <cell r="E62" t="str">
            <v>Kasungu - Lifupa (Kasungu National Park)</v>
          </cell>
          <cell r="F62" t="str">
            <v>S114</v>
          </cell>
          <cell r="G62">
            <v>1</v>
          </cell>
          <cell r="H62">
            <v>47</v>
          </cell>
          <cell r="I62" t="str">
            <v>F</v>
          </cell>
          <cell r="J62" t="str">
            <v>KASUNGU</v>
          </cell>
          <cell r="K62">
            <v>5</v>
          </cell>
        </row>
        <row r="63">
          <cell r="A63" t="str">
            <v>RS 218</v>
          </cell>
          <cell r="B63">
            <v>40</v>
          </cell>
          <cell r="C63" t="str">
            <v>C</v>
          </cell>
          <cell r="D63" t="str">
            <v>T</v>
          </cell>
          <cell r="E63" t="str">
            <v>Zidunge - Senga</v>
          </cell>
          <cell r="F63" t="str">
            <v>S115</v>
          </cell>
          <cell r="G63">
            <v>1</v>
          </cell>
          <cell r="H63">
            <v>8.3000000000000007</v>
          </cell>
          <cell r="I63" t="str">
            <v>F</v>
          </cell>
          <cell r="J63" t="str">
            <v>DOWA</v>
          </cell>
          <cell r="K63">
            <v>6</v>
          </cell>
          <cell r="L63" t="str">
            <v>Changed designation from M16 to S115</v>
          </cell>
        </row>
        <row r="64">
          <cell r="A64" t="str">
            <v>RS 233</v>
          </cell>
          <cell r="B64">
            <v>55</v>
          </cell>
          <cell r="C64" t="str">
            <v>C</v>
          </cell>
          <cell r="D64" t="str">
            <v>T</v>
          </cell>
          <cell r="E64" t="str">
            <v>Senga - Dangaliro</v>
          </cell>
          <cell r="F64" t="str">
            <v>S115</v>
          </cell>
          <cell r="G64">
            <v>2</v>
          </cell>
          <cell r="H64">
            <v>10.7</v>
          </cell>
          <cell r="I64" t="str">
            <v>F</v>
          </cell>
          <cell r="J64" t="str">
            <v>DOWA</v>
          </cell>
          <cell r="K64">
            <v>6</v>
          </cell>
        </row>
        <row r="65">
          <cell r="A65" t="str">
            <v>RS 232</v>
          </cell>
          <cell r="B65">
            <v>54</v>
          </cell>
          <cell r="C65" t="str">
            <v>C</v>
          </cell>
          <cell r="D65" t="str">
            <v>T</v>
          </cell>
          <cell r="E65" t="str">
            <v>Dangaliro - Mkulumimba</v>
          </cell>
          <cell r="F65" t="str">
            <v>S115</v>
          </cell>
          <cell r="G65">
            <v>3</v>
          </cell>
          <cell r="H65">
            <v>15.4</v>
          </cell>
          <cell r="I65" t="str">
            <v>F</v>
          </cell>
          <cell r="J65" t="str">
            <v>DOWA</v>
          </cell>
          <cell r="K65">
            <v>6</v>
          </cell>
        </row>
        <row r="66">
          <cell r="A66" t="str">
            <v>RS 231</v>
          </cell>
          <cell r="B66">
            <v>53</v>
          </cell>
          <cell r="C66" t="str">
            <v>C</v>
          </cell>
          <cell r="D66" t="str">
            <v>T</v>
          </cell>
          <cell r="E66" t="str">
            <v>Mkulumimba - Bua River Bridge</v>
          </cell>
          <cell r="F66" t="str">
            <v>S115</v>
          </cell>
          <cell r="G66">
            <v>4</v>
          </cell>
          <cell r="H66">
            <v>13</v>
          </cell>
          <cell r="I66" t="str">
            <v>F</v>
          </cell>
          <cell r="J66" t="str">
            <v>DOWA &amp; LILONGWE</v>
          </cell>
          <cell r="K66">
            <v>6</v>
          </cell>
        </row>
        <row r="67">
          <cell r="A67" t="str">
            <v>RS 238</v>
          </cell>
          <cell r="B67">
            <v>60</v>
          </cell>
          <cell r="C67" t="str">
            <v>C</v>
          </cell>
          <cell r="D67" t="str">
            <v>T</v>
          </cell>
          <cell r="E67" t="str">
            <v>Mpala T.C. - Ganondo</v>
          </cell>
          <cell r="F67" t="str">
            <v>S116</v>
          </cell>
          <cell r="G67">
            <v>1</v>
          </cell>
          <cell r="H67">
            <v>3.8</v>
          </cell>
          <cell r="I67" t="str">
            <v>F</v>
          </cell>
          <cell r="J67" t="str">
            <v>NTCHISI</v>
          </cell>
          <cell r="K67">
            <v>5</v>
          </cell>
        </row>
        <row r="68">
          <cell r="A68" t="str">
            <v>RS 241</v>
          </cell>
          <cell r="B68">
            <v>63</v>
          </cell>
          <cell r="C68" t="str">
            <v>C</v>
          </cell>
          <cell r="D68" t="str">
            <v>T</v>
          </cell>
          <cell r="E68" t="str">
            <v>Gonondo - Kamsonga</v>
          </cell>
          <cell r="F68" t="str">
            <v>S116</v>
          </cell>
          <cell r="G68">
            <v>2</v>
          </cell>
          <cell r="H68">
            <v>12.3</v>
          </cell>
          <cell r="I68" t="str">
            <v>R</v>
          </cell>
          <cell r="J68" t="str">
            <v>NTCHISI</v>
          </cell>
          <cell r="K68">
            <v>5</v>
          </cell>
        </row>
        <row r="69">
          <cell r="A69" t="str">
            <v>RS 243</v>
          </cell>
          <cell r="B69">
            <v>65</v>
          </cell>
          <cell r="C69" t="str">
            <v>C</v>
          </cell>
          <cell r="D69" t="str">
            <v>T</v>
          </cell>
          <cell r="E69" t="str">
            <v>Kamsonga - Muchala</v>
          </cell>
          <cell r="F69" t="str">
            <v>S116</v>
          </cell>
          <cell r="G69">
            <v>3</v>
          </cell>
          <cell r="H69">
            <v>12.3</v>
          </cell>
          <cell r="I69" t="str">
            <v>R</v>
          </cell>
          <cell r="J69" t="str">
            <v>NTCHISI</v>
          </cell>
          <cell r="K69">
            <v>5</v>
          </cell>
        </row>
        <row r="70">
          <cell r="A70" t="str">
            <v>RS 236</v>
          </cell>
          <cell r="B70">
            <v>58</v>
          </cell>
          <cell r="C70" t="str">
            <v>C</v>
          </cell>
          <cell r="D70" t="str">
            <v>T</v>
          </cell>
          <cell r="E70" t="str">
            <v>Muchala - Chisoso</v>
          </cell>
          <cell r="F70" t="str">
            <v>S116</v>
          </cell>
          <cell r="G70">
            <v>4</v>
          </cell>
          <cell r="H70">
            <v>5.5</v>
          </cell>
          <cell r="I70" t="str">
            <v>F</v>
          </cell>
          <cell r="J70" t="str">
            <v>NTCHISI</v>
          </cell>
          <cell r="K70">
            <v>5</v>
          </cell>
        </row>
        <row r="71">
          <cell r="A71" t="str">
            <v>RS 242</v>
          </cell>
          <cell r="B71">
            <v>64</v>
          </cell>
          <cell r="C71" t="str">
            <v>C</v>
          </cell>
          <cell r="D71" t="str">
            <v>T</v>
          </cell>
          <cell r="E71" t="str">
            <v>Chisoso - Madisi</v>
          </cell>
          <cell r="F71" t="str">
            <v>S116</v>
          </cell>
          <cell r="G71">
            <v>5</v>
          </cell>
          <cell r="H71">
            <v>16.100000000000001</v>
          </cell>
          <cell r="I71" t="str">
            <v>F</v>
          </cell>
          <cell r="J71" t="str">
            <v>DOWA</v>
          </cell>
          <cell r="K71">
            <v>5</v>
          </cell>
        </row>
        <row r="72">
          <cell r="A72" t="str">
            <v>RS 234</v>
          </cell>
          <cell r="B72">
            <v>56</v>
          </cell>
          <cell r="C72" t="str">
            <v>C</v>
          </cell>
          <cell r="D72" t="str">
            <v>T</v>
          </cell>
          <cell r="E72" t="str">
            <v>Madisi - Bua River Bridge</v>
          </cell>
          <cell r="F72" t="str">
            <v>S116</v>
          </cell>
          <cell r="G72">
            <v>6</v>
          </cell>
          <cell r="H72">
            <v>14.1</v>
          </cell>
          <cell r="I72" t="str">
            <v>F</v>
          </cell>
          <cell r="J72" t="str">
            <v>DOWA</v>
          </cell>
          <cell r="K72">
            <v>5</v>
          </cell>
        </row>
        <row r="73">
          <cell r="A73" t="str">
            <v>RS 239</v>
          </cell>
          <cell r="B73">
            <v>61</v>
          </cell>
          <cell r="C73" t="str">
            <v>C</v>
          </cell>
          <cell r="D73" t="str">
            <v>T</v>
          </cell>
          <cell r="E73" t="str">
            <v>Matutu - Kamuzu School</v>
          </cell>
          <cell r="F73" t="str">
            <v>S116</v>
          </cell>
          <cell r="G73">
            <v>9</v>
          </cell>
          <cell r="H73">
            <v>21.6</v>
          </cell>
          <cell r="I73" t="str">
            <v>F</v>
          </cell>
          <cell r="J73" t="str">
            <v>MCHINJI</v>
          </cell>
          <cell r="K73">
            <v>6</v>
          </cell>
        </row>
        <row r="74">
          <cell r="A74" t="str">
            <v>RS 246</v>
          </cell>
          <cell r="B74">
            <v>68</v>
          </cell>
          <cell r="C74" t="str">
            <v>C</v>
          </cell>
          <cell r="D74" t="str">
            <v>T</v>
          </cell>
          <cell r="E74" t="str">
            <v xml:space="preserve"> Mbabzi - Chilobwe - Santhe</v>
          </cell>
          <cell r="F74" t="str">
            <v>S117</v>
          </cell>
          <cell r="G74">
            <v>3</v>
          </cell>
          <cell r="H74">
            <v>93</v>
          </cell>
          <cell r="I74" t="str">
            <v>F</v>
          </cell>
          <cell r="J74" t="str">
            <v>LL &amp; MC &amp; KU</v>
          </cell>
          <cell r="K74" t="str">
            <v>6,5</v>
          </cell>
        </row>
        <row r="75">
          <cell r="A75" t="str">
            <v>RS 247</v>
          </cell>
          <cell r="B75">
            <v>69</v>
          </cell>
          <cell r="C75" t="str">
            <v>C</v>
          </cell>
          <cell r="D75" t="str">
            <v>T</v>
          </cell>
          <cell r="E75" t="str">
            <v>Changuluwa - Kachenje School</v>
          </cell>
          <cell r="F75" t="str">
            <v>S118</v>
          </cell>
          <cell r="G75">
            <v>1</v>
          </cell>
          <cell r="H75">
            <v>21</v>
          </cell>
          <cell r="I75" t="str">
            <v>F</v>
          </cell>
          <cell r="J75" t="str">
            <v>KASUNGU</v>
          </cell>
          <cell r="K75">
            <v>5</v>
          </cell>
        </row>
        <row r="76">
          <cell r="A76" t="str">
            <v>RS 250</v>
          </cell>
          <cell r="B76">
            <v>72</v>
          </cell>
          <cell r="C76" t="str">
            <v>C</v>
          </cell>
          <cell r="D76" t="str">
            <v>T</v>
          </cell>
          <cell r="E76" t="str">
            <v>Kamutu Village - Mavumbi River</v>
          </cell>
          <cell r="F76" t="str">
            <v>S118</v>
          </cell>
          <cell r="G76">
            <v>2</v>
          </cell>
          <cell r="H76">
            <v>5</v>
          </cell>
          <cell r="I76" t="str">
            <v>F</v>
          </cell>
          <cell r="J76" t="str">
            <v>KASUNGU</v>
          </cell>
          <cell r="K76">
            <v>5</v>
          </cell>
        </row>
        <row r="77">
          <cell r="A77" t="str">
            <v>RS 249</v>
          </cell>
          <cell r="B77">
            <v>71</v>
          </cell>
          <cell r="C77" t="str">
            <v>C</v>
          </cell>
          <cell r="D77" t="str">
            <v>T</v>
          </cell>
          <cell r="E77" t="str">
            <v>Mavumbi River - G.F. Estate 54</v>
          </cell>
          <cell r="F77" t="str">
            <v>S118</v>
          </cell>
          <cell r="G77">
            <v>3</v>
          </cell>
          <cell r="H77">
            <v>11</v>
          </cell>
          <cell r="I77" t="str">
            <v>F</v>
          </cell>
          <cell r="J77" t="str">
            <v>KASUNGU</v>
          </cell>
          <cell r="K77">
            <v>5</v>
          </cell>
        </row>
        <row r="78">
          <cell r="A78" t="str">
            <v>RS 248</v>
          </cell>
          <cell r="B78">
            <v>70</v>
          </cell>
          <cell r="C78" t="str">
            <v>C</v>
          </cell>
          <cell r="D78" t="str">
            <v>T</v>
          </cell>
          <cell r="E78" t="str">
            <v>Plaka Estate - G.F. Estate 54</v>
          </cell>
          <cell r="F78" t="str">
            <v>S118</v>
          </cell>
          <cell r="G78">
            <v>4</v>
          </cell>
          <cell r="H78">
            <v>26.4</v>
          </cell>
          <cell r="I78" t="str">
            <v>F</v>
          </cell>
          <cell r="J78" t="str">
            <v>MCHINJI</v>
          </cell>
          <cell r="K78">
            <v>5</v>
          </cell>
        </row>
        <row r="79">
          <cell r="A79" t="str">
            <v>RS 253</v>
          </cell>
          <cell r="B79">
            <v>75</v>
          </cell>
          <cell r="C79" t="str">
            <v>C</v>
          </cell>
          <cell r="D79" t="str">
            <v>T</v>
          </cell>
          <cell r="E79" t="str">
            <v>Mkanda - Chawala T.C.</v>
          </cell>
          <cell r="F79" t="str">
            <v>S118</v>
          </cell>
          <cell r="G79">
            <v>5</v>
          </cell>
          <cell r="H79">
            <v>9.3000000000000007</v>
          </cell>
          <cell r="I79" t="str">
            <v>F</v>
          </cell>
          <cell r="J79" t="str">
            <v>MCHINJI</v>
          </cell>
          <cell r="K79" t="str">
            <v>5,6</v>
          </cell>
        </row>
        <row r="80">
          <cell r="A80" t="str">
            <v>RS 251</v>
          </cell>
          <cell r="B80">
            <v>73</v>
          </cell>
          <cell r="C80" t="str">
            <v>C</v>
          </cell>
          <cell r="D80" t="str">
            <v>T</v>
          </cell>
          <cell r="E80" t="str">
            <v>Chawala T.C. - Mchinji School</v>
          </cell>
          <cell r="F80" t="str">
            <v>S118</v>
          </cell>
          <cell r="G80">
            <v>6</v>
          </cell>
          <cell r="H80">
            <v>15.5</v>
          </cell>
          <cell r="I80" t="str">
            <v>F</v>
          </cell>
          <cell r="J80" t="str">
            <v>MCHINJI</v>
          </cell>
          <cell r="K80">
            <v>6</v>
          </cell>
        </row>
        <row r="81">
          <cell r="A81" t="str">
            <v>RS 252</v>
          </cell>
          <cell r="B81">
            <v>74</v>
          </cell>
          <cell r="C81" t="str">
            <v>C</v>
          </cell>
          <cell r="D81" t="str">
            <v>T</v>
          </cell>
          <cell r="E81" t="str">
            <v>Mchinji School - Kamuzu School</v>
          </cell>
          <cell r="F81" t="str">
            <v>S118</v>
          </cell>
          <cell r="G81">
            <v>7</v>
          </cell>
          <cell r="H81">
            <v>10.8</v>
          </cell>
          <cell r="I81" t="str">
            <v>F</v>
          </cell>
          <cell r="J81" t="str">
            <v>MCHINJI</v>
          </cell>
          <cell r="K81">
            <v>6</v>
          </cell>
        </row>
        <row r="82">
          <cell r="A82" t="str">
            <v>RS 257</v>
          </cell>
          <cell r="B82">
            <v>79</v>
          </cell>
          <cell r="C82" t="str">
            <v>C</v>
          </cell>
          <cell r="D82" t="str">
            <v>T</v>
          </cell>
          <cell r="E82" t="str">
            <v>Mchepa - Kaniche</v>
          </cell>
          <cell r="F82" t="str">
            <v>S119</v>
          </cell>
          <cell r="G82">
            <v>1</v>
          </cell>
          <cell r="H82">
            <v>3.4</v>
          </cell>
          <cell r="I82" t="str">
            <v>R</v>
          </cell>
          <cell r="J82" t="str">
            <v>SALIMA</v>
          </cell>
          <cell r="K82">
            <v>7</v>
          </cell>
        </row>
        <row r="83">
          <cell r="A83" t="str">
            <v>RS 256</v>
          </cell>
          <cell r="B83">
            <v>78</v>
          </cell>
          <cell r="C83" t="str">
            <v>C</v>
          </cell>
          <cell r="D83" t="str">
            <v>T</v>
          </cell>
          <cell r="E83" t="str">
            <v>Kaniche - Kanongola</v>
          </cell>
          <cell r="F83" t="str">
            <v>S119</v>
          </cell>
          <cell r="G83">
            <v>2</v>
          </cell>
          <cell r="H83">
            <v>9.4</v>
          </cell>
          <cell r="I83" t="str">
            <v>R</v>
          </cell>
          <cell r="J83" t="str">
            <v>SALIMA</v>
          </cell>
          <cell r="K83">
            <v>6</v>
          </cell>
        </row>
        <row r="84">
          <cell r="A84" t="str">
            <v>RS 255</v>
          </cell>
          <cell r="B84">
            <v>77</v>
          </cell>
          <cell r="C84" t="str">
            <v>C</v>
          </cell>
          <cell r="D84" t="str">
            <v>T</v>
          </cell>
          <cell r="E84" t="str">
            <v>Kanongola - Mafika</v>
          </cell>
          <cell r="F84" t="str">
            <v>S119</v>
          </cell>
          <cell r="G84">
            <v>3</v>
          </cell>
          <cell r="H84">
            <v>18.899999999999999</v>
          </cell>
          <cell r="I84" t="str">
            <v>R</v>
          </cell>
          <cell r="J84" t="str">
            <v>DOWA</v>
          </cell>
          <cell r="K84">
            <v>6</v>
          </cell>
        </row>
        <row r="85">
          <cell r="A85" t="str">
            <v>RS 254</v>
          </cell>
          <cell r="B85">
            <v>76</v>
          </cell>
          <cell r="C85" t="str">
            <v>C</v>
          </cell>
          <cell r="D85" t="str">
            <v>T</v>
          </cell>
          <cell r="E85" t="str">
            <v>Mafika - Lipanda</v>
          </cell>
          <cell r="F85" t="str">
            <v>S119</v>
          </cell>
          <cell r="G85">
            <v>4</v>
          </cell>
          <cell r="H85">
            <v>16.899999999999999</v>
          </cell>
          <cell r="I85" t="str">
            <v>R</v>
          </cell>
          <cell r="J85" t="str">
            <v>DOWA</v>
          </cell>
          <cell r="K85">
            <v>6</v>
          </cell>
        </row>
        <row r="86">
          <cell r="A86" t="str">
            <v>RS 272</v>
          </cell>
          <cell r="B86">
            <v>94</v>
          </cell>
          <cell r="C86" t="str">
            <v>C</v>
          </cell>
          <cell r="D86" t="str">
            <v>T</v>
          </cell>
          <cell r="E86" t="str">
            <v>Kachinchezo - Kachiwele</v>
          </cell>
          <cell r="F86" t="str">
            <v>S121</v>
          </cell>
          <cell r="G86">
            <v>1</v>
          </cell>
          <cell r="H86">
            <v>7.6</v>
          </cell>
          <cell r="I86" t="str">
            <v>F</v>
          </cell>
          <cell r="J86" t="str">
            <v>LILONGWE</v>
          </cell>
          <cell r="K86">
            <v>6</v>
          </cell>
        </row>
        <row r="87">
          <cell r="A87" t="str">
            <v>RS 267</v>
          </cell>
          <cell r="B87">
            <v>89</v>
          </cell>
          <cell r="C87" t="str">
            <v>C</v>
          </cell>
          <cell r="D87" t="str">
            <v>T</v>
          </cell>
          <cell r="E87" t="str">
            <v>Kachiwele - Lilongwe river</v>
          </cell>
          <cell r="F87" t="str">
            <v>S121</v>
          </cell>
          <cell r="G87">
            <v>2</v>
          </cell>
          <cell r="H87">
            <v>6.7</v>
          </cell>
          <cell r="I87" t="str">
            <v>H</v>
          </cell>
          <cell r="J87" t="str">
            <v>LILONGWE</v>
          </cell>
          <cell r="K87">
            <v>6</v>
          </cell>
        </row>
        <row r="88">
          <cell r="A88" t="str">
            <v>RS 268</v>
          </cell>
          <cell r="B88">
            <v>90</v>
          </cell>
          <cell r="C88" t="str">
            <v>C</v>
          </cell>
          <cell r="D88" t="str">
            <v>T</v>
          </cell>
          <cell r="E88" t="str">
            <v>Lilongwe River - Milungu</v>
          </cell>
          <cell r="F88" t="str">
            <v>S121</v>
          </cell>
          <cell r="G88">
            <v>3</v>
          </cell>
          <cell r="H88">
            <v>15.5</v>
          </cell>
          <cell r="I88" t="str">
            <v>R</v>
          </cell>
          <cell r="J88" t="str">
            <v>LILONGWE</v>
          </cell>
          <cell r="K88">
            <v>6</v>
          </cell>
        </row>
        <row r="89">
          <cell r="A89" t="str">
            <v>RS 270</v>
          </cell>
          <cell r="B89">
            <v>92</v>
          </cell>
          <cell r="C89" t="str">
            <v>C</v>
          </cell>
          <cell r="D89" t="str">
            <v>T</v>
          </cell>
          <cell r="E89" t="str">
            <v>Milungu - Chimbalanga</v>
          </cell>
          <cell r="F89" t="str">
            <v>S121</v>
          </cell>
          <cell r="G89">
            <v>4</v>
          </cell>
          <cell r="H89">
            <v>7.3</v>
          </cell>
          <cell r="I89" t="str">
            <v>H</v>
          </cell>
          <cell r="J89" t="str">
            <v>LILONGWE</v>
          </cell>
          <cell r="K89">
            <v>6</v>
          </cell>
        </row>
        <row r="90">
          <cell r="A90" t="str">
            <v>RS 264</v>
          </cell>
          <cell r="B90">
            <v>86</v>
          </cell>
          <cell r="C90" t="str">
            <v>C</v>
          </cell>
          <cell r="D90" t="str">
            <v>T</v>
          </cell>
          <cell r="E90" t="str">
            <v>Chimbalanga - Mphunzi</v>
          </cell>
          <cell r="F90" t="str">
            <v>S121</v>
          </cell>
          <cell r="G90">
            <v>5</v>
          </cell>
          <cell r="H90">
            <v>4.2</v>
          </cell>
          <cell r="I90" t="str">
            <v>R</v>
          </cell>
          <cell r="J90" t="str">
            <v>LILONGWE</v>
          </cell>
          <cell r="K90">
            <v>6</v>
          </cell>
        </row>
        <row r="91">
          <cell r="A91" t="str">
            <v>RS 262</v>
          </cell>
          <cell r="B91">
            <v>84</v>
          </cell>
          <cell r="C91" t="str">
            <v>C</v>
          </cell>
          <cell r="D91" t="str">
            <v>T</v>
          </cell>
          <cell r="E91" t="str">
            <v>Mphunzi - Mpeya T.C.</v>
          </cell>
          <cell r="F91" t="str">
            <v>S121</v>
          </cell>
          <cell r="G91">
            <v>6</v>
          </cell>
          <cell r="H91">
            <v>5.9</v>
          </cell>
          <cell r="I91" t="str">
            <v>F</v>
          </cell>
          <cell r="J91" t="str">
            <v>LILONGWE</v>
          </cell>
          <cell r="K91">
            <v>6</v>
          </cell>
        </row>
        <row r="92">
          <cell r="A92" t="str">
            <v>RS 269</v>
          </cell>
          <cell r="B92">
            <v>91</v>
          </cell>
          <cell r="C92" t="str">
            <v>C</v>
          </cell>
          <cell r="D92" t="str">
            <v>T</v>
          </cell>
          <cell r="E92" t="str">
            <v>Mpeya T.C. - Chamadenga</v>
          </cell>
          <cell r="F92" t="str">
            <v>S121</v>
          </cell>
          <cell r="G92">
            <v>7</v>
          </cell>
          <cell r="H92">
            <v>6.4</v>
          </cell>
          <cell r="I92" t="str">
            <v>F</v>
          </cell>
          <cell r="J92" t="str">
            <v>LILONGWE</v>
          </cell>
          <cell r="K92">
            <v>6</v>
          </cell>
        </row>
        <row r="93">
          <cell r="A93" t="str">
            <v>RS 273</v>
          </cell>
          <cell r="B93">
            <v>95</v>
          </cell>
          <cell r="C93" t="str">
            <v>C</v>
          </cell>
          <cell r="D93" t="str">
            <v>T</v>
          </cell>
          <cell r="E93" t="str">
            <v>Chamadenga - Kamphata</v>
          </cell>
          <cell r="F93" t="str">
            <v>S121</v>
          </cell>
          <cell r="G93">
            <v>8</v>
          </cell>
          <cell r="H93">
            <v>9.1</v>
          </cell>
          <cell r="I93" t="str">
            <v>F</v>
          </cell>
          <cell r="J93" t="str">
            <v>LILONGWE</v>
          </cell>
          <cell r="K93">
            <v>6</v>
          </cell>
        </row>
        <row r="94">
          <cell r="A94" t="str">
            <v>RS 278</v>
          </cell>
          <cell r="B94">
            <v>100</v>
          </cell>
          <cell r="C94" t="str">
            <v>C</v>
          </cell>
          <cell r="D94" t="str">
            <v>T</v>
          </cell>
          <cell r="E94" t="str">
            <v>Kaunda Road - Lingadzi River</v>
          </cell>
          <cell r="F94" t="str">
            <v>S123</v>
          </cell>
          <cell r="G94">
            <v>1</v>
          </cell>
          <cell r="H94">
            <v>6</v>
          </cell>
          <cell r="I94" t="str">
            <v>F</v>
          </cell>
          <cell r="J94" t="str">
            <v>LILONGWE</v>
          </cell>
          <cell r="K94">
            <v>6</v>
          </cell>
          <cell r="L94" t="str">
            <v>Section start changed to exclude Chendawaka Road (RS 154)</v>
          </cell>
        </row>
        <row r="95">
          <cell r="A95" t="str">
            <v>RS 277</v>
          </cell>
          <cell r="B95">
            <v>99</v>
          </cell>
          <cell r="C95" t="str">
            <v>C</v>
          </cell>
          <cell r="D95" t="str">
            <v>T</v>
          </cell>
          <cell r="E95" t="str">
            <v>Lingadzi River - Chitedze</v>
          </cell>
          <cell r="F95" t="str">
            <v>S123</v>
          </cell>
          <cell r="G95">
            <v>2</v>
          </cell>
          <cell r="H95">
            <v>15.2</v>
          </cell>
          <cell r="I95" t="str">
            <v>F</v>
          </cell>
          <cell r="J95" t="str">
            <v>LILONGWE</v>
          </cell>
          <cell r="K95">
            <v>6</v>
          </cell>
        </row>
        <row r="96">
          <cell r="A96" t="str">
            <v>RS 282</v>
          </cell>
          <cell r="B96">
            <v>104</v>
          </cell>
          <cell r="C96" t="str">
            <v>C</v>
          </cell>
          <cell r="D96" t="str">
            <v>T</v>
          </cell>
          <cell r="E96" t="str">
            <v>Likuni - Kakoma</v>
          </cell>
          <cell r="F96" t="str">
            <v>S124</v>
          </cell>
          <cell r="G96">
            <v>3</v>
          </cell>
          <cell r="H96">
            <v>10.3</v>
          </cell>
          <cell r="I96" t="str">
            <v>F</v>
          </cell>
          <cell r="J96" t="str">
            <v>LILONGWE</v>
          </cell>
          <cell r="K96">
            <v>6</v>
          </cell>
        </row>
        <row r="97">
          <cell r="A97" t="str">
            <v>RS 292</v>
          </cell>
          <cell r="B97">
            <v>114</v>
          </cell>
          <cell r="C97" t="str">
            <v>C</v>
          </cell>
          <cell r="D97" t="str">
            <v>T</v>
          </cell>
          <cell r="E97" t="str">
            <v>Kakoma - Malingunde</v>
          </cell>
          <cell r="F97" t="str">
            <v>S124</v>
          </cell>
          <cell r="G97">
            <v>4</v>
          </cell>
          <cell r="H97">
            <v>7</v>
          </cell>
          <cell r="I97" t="str">
            <v>F</v>
          </cell>
          <cell r="J97" t="str">
            <v>LILONGWE</v>
          </cell>
          <cell r="K97">
            <v>6</v>
          </cell>
        </row>
        <row r="98">
          <cell r="A98" t="str">
            <v>RS 564</v>
          </cell>
          <cell r="B98">
            <v>386</v>
          </cell>
          <cell r="C98" t="str">
            <v>C</v>
          </cell>
          <cell r="D98" t="str">
            <v>T</v>
          </cell>
          <cell r="E98" t="str">
            <v>Malingunde - Kabyzala Village</v>
          </cell>
          <cell r="F98" t="str">
            <v>S124</v>
          </cell>
          <cell r="G98">
            <v>5</v>
          </cell>
          <cell r="H98">
            <v>3.3</v>
          </cell>
          <cell r="I98" t="str">
            <v>F</v>
          </cell>
          <cell r="J98" t="str">
            <v>LILONGWE</v>
          </cell>
          <cell r="K98">
            <v>6</v>
          </cell>
          <cell r="L98" t="str">
            <v>Changed designation from T345 to S124</v>
          </cell>
        </row>
        <row r="99">
          <cell r="A99" t="str">
            <v>RS 271</v>
          </cell>
          <cell r="B99">
            <v>93</v>
          </cell>
          <cell r="C99" t="str">
            <v>C</v>
          </cell>
          <cell r="D99" t="str">
            <v>T</v>
          </cell>
          <cell r="E99" t="str">
            <v>Kabyzala Village - Nsengere</v>
          </cell>
          <cell r="F99" t="str">
            <v>S124</v>
          </cell>
          <cell r="G99">
            <v>6</v>
          </cell>
          <cell r="H99">
            <v>14.6</v>
          </cell>
          <cell r="I99" t="str">
            <v>F</v>
          </cell>
          <cell r="J99" t="str">
            <v>LILONGWE</v>
          </cell>
          <cell r="K99">
            <v>6</v>
          </cell>
        </row>
        <row r="100">
          <cell r="A100" t="str">
            <v>RS 279</v>
          </cell>
          <cell r="B100">
            <v>101</v>
          </cell>
          <cell r="C100" t="str">
            <v>C</v>
          </cell>
          <cell r="D100" t="str">
            <v>T</v>
          </cell>
          <cell r="E100" t="str">
            <v>Mitundu - Sitima</v>
          </cell>
          <cell r="F100" t="str">
            <v>S124</v>
          </cell>
          <cell r="G100">
            <v>7</v>
          </cell>
          <cell r="H100">
            <v>3.6</v>
          </cell>
          <cell r="I100" t="str">
            <v>F</v>
          </cell>
          <cell r="J100" t="str">
            <v>LILONGWE</v>
          </cell>
          <cell r="K100">
            <v>6</v>
          </cell>
        </row>
        <row r="101">
          <cell r="A101" t="str">
            <v>RS 661</v>
          </cell>
          <cell r="B101">
            <v>483</v>
          </cell>
          <cell r="C101" t="str">
            <v>C</v>
          </cell>
          <cell r="D101" t="str">
            <v>T</v>
          </cell>
          <cell r="E101" t="str">
            <v>Sitima - Kambalanje</v>
          </cell>
          <cell r="F101" t="str">
            <v>S124</v>
          </cell>
          <cell r="G101">
            <v>8</v>
          </cell>
          <cell r="H101">
            <v>1.9</v>
          </cell>
          <cell r="I101" t="str">
            <v>F</v>
          </cell>
          <cell r="J101" t="str">
            <v>LILONGWE</v>
          </cell>
          <cell r="K101">
            <v>6</v>
          </cell>
          <cell r="L101" t="str">
            <v>Changed designation from D198 to S124</v>
          </cell>
        </row>
        <row r="102">
          <cell r="A102" t="str">
            <v>RS 284</v>
          </cell>
          <cell r="B102">
            <v>106</v>
          </cell>
          <cell r="C102" t="str">
            <v>C</v>
          </cell>
          <cell r="D102" t="str">
            <v>T</v>
          </cell>
          <cell r="E102" t="str">
            <v>Kambalanje - Chisendera</v>
          </cell>
          <cell r="F102" t="str">
            <v>S124</v>
          </cell>
          <cell r="G102">
            <v>9</v>
          </cell>
          <cell r="H102">
            <v>7.5</v>
          </cell>
          <cell r="I102" t="str">
            <v>F</v>
          </cell>
          <cell r="J102" t="str">
            <v>LILONGWE</v>
          </cell>
          <cell r="K102">
            <v>6</v>
          </cell>
        </row>
        <row r="103">
          <cell r="A103" t="str">
            <v>RS 286</v>
          </cell>
          <cell r="B103">
            <v>108</v>
          </cell>
          <cell r="C103" t="str">
            <v>C</v>
          </cell>
          <cell r="D103" t="str">
            <v>T</v>
          </cell>
          <cell r="E103" t="str">
            <v>Chisendera - Mlozesi</v>
          </cell>
          <cell r="F103" t="str">
            <v>S124</v>
          </cell>
          <cell r="G103">
            <v>10</v>
          </cell>
          <cell r="H103">
            <v>4.9000000000000004</v>
          </cell>
          <cell r="I103" t="str">
            <v>F</v>
          </cell>
          <cell r="J103" t="str">
            <v>LILONGWE</v>
          </cell>
          <cell r="K103">
            <v>6</v>
          </cell>
        </row>
        <row r="104">
          <cell r="A104" t="str">
            <v>RS 288</v>
          </cell>
          <cell r="B104">
            <v>110</v>
          </cell>
          <cell r="C104" t="str">
            <v>C</v>
          </cell>
          <cell r="D104" t="str">
            <v>T</v>
          </cell>
          <cell r="E104" t="str">
            <v>Mlozesi - Diamphwe River</v>
          </cell>
          <cell r="F104" t="str">
            <v>S124</v>
          </cell>
          <cell r="G104">
            <v>11</v>
          </cell>
          <cell r="H104">
            <v>4.5</v>
          </cell>
          <cell r="I104" t="str">
            <v>F</v>
          </cell>
          <cell r="J104" t="str">
            <v>LILONGWE</v>
          </cell>
          <cell r="K104">
            <v>6</v>
          </cell>
        </row>
        <row r="105">
          <cell r="A105" t="str">
            <v>RS 290</v>
          </cell>
          <cell r="B105">
            <v>112</v>
          </cell>
          <cell r="C105" t="str">
            <v>C</v>
          </cell>
          <cell r="D105" t="str">
            <v>T</v>
          </cell>
          <cell r="E105" t="str">
            <v>Diamphwe River - Chidewere</v>
          </cell>
          <cell r="F105" t="str">
            <v>S124</v>
          </cell>
          <cell r="G105">
            <v>12</v>
          </cell>
          <cell r="H105">
            <v>9.4</v>
          </cell>
          <cell r="I105" t="str">
            <v>F</v>
          </cell>
          <cell r="J105" t="str">
            <v>DEDZA</v>
          </cell>
          <cell r="K105">
            <v>6</v>
          </cell>
        </row>
        <row r="106">
          <cell r="A106" t="str">
            <v>RS 281</v>
          </cell>
          <cell r="B106">
            <v>103</v>
          </cell>
          <cell r="C106" t="str">
            <v>C</v>
          </cell>
          <cell r="D106" t="str">
            <v>T</v>
          </cell>
          <cell r="E106" t="str">
            <v>Chidewere - Lobi</v>
          </cell>
          <cell r="F106" t="str">
            <v>S124</v>
          </cell>
          <cell r="G106">
            <v>13</v>
          </cell>
          <cell r="H106">
            <v>13</v>
          </cell>
          <cell r="I106" t="str">
            <v>F</v>
          </cell>
          <cell r="J106" t="str">
            <v>DEDZA</v>
          </cell>
          <cell r="K106">
            <v>6</v>
          </cell>
        </row>
        <row r="107">
          <cell r="A107" t="str">
            <v>RS 283</v>
          </cell>
          <cell r="B107">
            <v>105</v>
          </cell>
          <cell r="C107" t="str">
            <v>C</v>
          </cell>
          <cell r="D107" t="str">
            <v>T</v>
          </cell>
          <cell r="E107" t="str">
            <v>Lobi - Maonde</v>
          </cell>
          <cell r="F107" t="str">
            <v>S124</v>
          </cell>
          <cell r="G107">
            <v>14</v>
          </cell>
          <cell r="H107">
            <v>5.9</v>
          </cell>
          <cell r="I107" t="str">
            <v>F</v>
          </cell>
          <cell r="J107" t="str">
            <v>DEDZA</v>
          </cell>
          <cell r="K107">
            <v>6</v>
          </cell>
        </row>
        <row r="108">
          <cell r="A108" t="str">
            <v>RS 280</v>
          </cell>
          <cell r="B108">
            <v>102</v>
          </cell>
          <cell r="C108" t="str">
            <v>C</v>
          </cell>
          <cell r="D108" t="str">
            <v>T</v>
          </cell>
          <cell r="E108" t="str">
            <v>Maonde - Kaliyodzi</v>
          </cell>
          <cell r="F108" t="str">
            <v>S124</v>
          </cell>
          <cell r="G108">
            <v>15</v>
          </cell>
          <cell r="H108">
            <v>1.8</v>
          </cell>
          <cell r="I108" t="str">
            <v>F</v>
          </cell>
          <cell r="J108" t="str">
            <v>DEDZA</v>
          </cell>
          <cell r="K108">
            <v>6</v>
          </cell>
        </row>
        <row r="109">
          <cell r="A109" t="str">
            <v>RS 291</v>
          </cell>
          <cell r="B109">
            <v>113</v>
          </cell>
          <cell r="C109" t="str">
            <v>C</v>
          </cell>
          <cell r="D109" t="str">
            <v>T</v>
          </cell>
          <cell r="E109" t="str">
            <v>Kaliyodzi - Jumbe</v>
          </cell>
          <cell r="F109" t="str">
            <v>S124</v>
          </cell>
          <cell r="G109">
            <v>16</v>
          </cell>
          <cell r="H109">
            <v>7.8</v>
          </cell>
          <cell r="I109" t="str">
            <v>F</v>
          </cell>
          <cell r="J109" t="str">
            <v>DEDZA</v>
          </cell>
          <cell r="K109">
            <v>6</v>
          </cell>
        </row>
        <row r="110">
          <cell r="A110" t="str">
            <v>RS 285</v>
          </cell>
          <cell r="B110">
            <v>107</v>
          </cell>
          <cell r="C110" t="str">
            <v>C</v>
          </cell>
          <cell r="D110" t="str">
            <v>T</v>
          </cell>
          <cell r="E110" t="str">
            <v>Jumbe - Mchaneka</v>
          </cell>
          <cell r="F110" t="str">
            <v>S124</v>
          </cell>
          <cell r="G110">
            <v>17</v>
          </cell>
          <cell r="H110">
            <v>4.8</v>
          </cell>
          <cell r="I110" t="str">
            <v>F</v>
          </cell>
          <cell r="J110" t="str">
            <v>DEDZA</v>
          </cell>
          <cell r="K110">
            <v>6</v>
          </cell>
        </row>
        <row r="111">
          <cell r="A111" t="str">
            <v>RS 293</v>
          </cell>
          <cell r="B111">
            <v>115</v>
          </cell>
          <cell r="C111" t="str">
            <v>C</v>
          </cell>
          <cell r="D111" t="str">
            <v>T</v>
          </cell>
          <cell r="E111" t="str">
            <v>Bunda - Nsendere</v>
          </cell>
          <cell r="F111" t="str">
            <v>S125</v>
          </cell>
          <cell r="G111">
            <v>3</v>
          </cell>
          <cell r="H111">
            <v>4.5999999999999996</v>
          </cell>
          <cell r="I111" t="str">
            <v>F</v>
          </cell>
          <cell r="J111" t="str">
            <v>LILONGWE</v>
          </cell>
          <cell r="K111">
            <v>6</v>
          </cell>
        </row>
        <row r="112">
          <cell r="A112" t="str">
            <v>RS 296</v>
          </cell>
          <cell r="B112">
            <v>118</v>
          </cell>
          <cell r="C112" t="str">
            <v>C</v>
          </cell>
          <cell r="D112" t="str">
            <v>T</v>
          </cell>
          <cell r="E112" t="str">
            <v>Nsendere - Mitundu</v>
          </cell>
          <cell r="F112" t="str">
            <v>S125</v>
          </cell>
          <cell r="G112">
            <v>4</v>
          </cell>
          <cell r="H112">
            <v>2.7</v>
          </cell>
          <cell r="I112" t="str">
            <v>F</v>
          </cell>
          <cell r="J112" t="str">
            <v>LILONGWE</v>
          </cell>
          <cell r="K112">
            <v>6</v>
          </cell>
        </row>
        <row r="113">
          <cell r="A113" t="str">
            <v>RS 300</v>
          </cell>
          <cell r="B113">
            <v>122</v>
          </cell>
          <cell r="C113" t="str">
            <v>C</v>
          </cell>
          <cell r="D113" t="str">
            <v>T</v>
          </cell>
          <cell r="E113" t="str">
            <v>junction M1 - Thete</v>
          </cell>
          <cell r="F113" t="str">
            <v>S126</v>
          </cell>
          <cell r="G113">
            <v>1</v>
          </cell>
          <cell r="H113">
            <v>18</v>
          </cell>
          <cell r="I113" t="str">
            <v>F</v>
          </cell>
          <cell r="J113" t="str">
            <v>DEDZA</v>
          </cell>
          <cell r="K113">
            <v>6</v>
          </cell>
        </row>
        <row r="114">
          <cell r="A114" t="str">
            <v>RS 301</v>
          </cell>
          <cell r="B114">
            <v>123</v>
          </cell>
          <cell r="C114" t="str">
            <v>C</v>
          </cell>
          <cell r="D114" t="str">
            <v>T</v>
          </cell>
          <cell r="E114" t="str">
            <v>Thete - Lobi</v>
          </cell>
          <cell r="F114" t="str">
            <v>S126</v>
          </cell>
          <cell r="G114">
            <v>2</v>
          </cell>
          <cell r="H114">
            <v>9.1</v>
          </cell>
          <cell r="I114" t="str">
            <v>F</v>
          </cell>
          <cell r="J114" t="str">
            <v>DEDZA</v>
          </cell>
          <cell r="K114">
            <v>6</v>
          </cell>
        </row>
        <row r="115">
          <cell r="A115" t="str">
            <v>RS 306</v>
          </cell>
          <cell r="B115">
            <v>128</v>
          </cell>
          <cell r="C115" t="str">
            <v>C</v>
          </cell>
          <cell r="D115" t="str">
            <v>T</v>
          </cell>
          <cell r="E115" t="str">
            <v>Masasa (junction M1) - Chapita</v>
          </cell>
          <cell r="F115" t="str">
            <v>S127</v>
          </cell>
          <cell r="G115">
            <v>1</v>
          </cell>
          <cell r="H115">
            <v>2.2000000000000002</v>
          </cell>
          <cell r="I115" t="str">
            <v>F</v>
          </cell>
          <cell r="J115" t="str">
            <v>DEDZA</v>
          </cell>
          <cell r="K115">
            <v>7</v>
          </cell>
        </row>
        <row r="116">
          <cell r="A116" t="str">
            <v>RS 302</v>
          </cell>
          <cell r="B116">
            <v>124</v>
          </cell>
          <cell r="C116" t="str">
            <v>C</v>
          </cell>
          <cell r="D116" t="str">
            <v>T</v>
          </cell>
          <cell r="E116" t="str">
            <v>Chapita - Khwekhwelele</v>
          </cell>
          <cell r="F116" t="str">
            <v>S127</v>
          </cell>
          <cell r="G116">
            <v>2</v>
          </cell>
          <cell r="H116">
            <v>16.5</v>
          </cell>
          <cell r="I116" t="str">
            <v>R</v>
          </cell>
          <cell r="J116" t="str">
            <v>DEDZA</v>
          </cell>
          <cell r="K116">
            <v>7</v>
          </cell>
        </row>
        <row r="117">
          <cell r="A117" t="str">
            <v>RS 303</v>
          </cell>
          <cell r="B117">
            <v>125</v>
          </cell>
          <cell r="C117" t="str">
            <v>C</v>
          </cell>
          <cell r="D117" t="str">
            <v>T</v>
          </cell>
          <cell r="E117" t="str">
            <v>Chitambe River - Mganja</v>
          </cell>
          <cell r="F117" t="str">
            <v>S127</v>
          </cell>
          <cell r="G117">
            <v>3</v>
          </cell>
          <cell r="H117">
            <v>3.7</v>
          </cell>
          <cell r="I117" t="str">
            <v>R</v>
          </cell>
          <cell r="J117" t="str">
            <v>DEDZA</v>
          </cell>
          <cell r="K117">
            <v>7</v>
          </cell>
        </row>
        <row r="118">
          <cell r="A118" t="str">
            <v>RS 305</v>
          </cell>
          <cell r="B118">
            <v>127</v>
          </cell>
          <cell r="C118" t="str">
            <v>C</v>
          </cell>
          <cell r="D118" t="str">
            <v>T</v>
          </cell>
          <cell r="E118" t="str">
            <v>Golomoti - Liwenga</v>
          </cell>
          <cell r="F118" t="str">
            <v>S127</v>
          </cell>
          <cell r="G118">
            <v>5</v>
          </cell>
          <cell r="H118">
            <v>5.6</v>
          </cell>
          <cell r="I118" t="str">
            <v>R</v>
          </cell>
          <cell r="J118" t="str">
            <v>DEDZA</v>
          </cell>
          <cell r="K118">
            <v>7</v>
          </cell>
        </row>
        <row r="119">
          <cell r="A119" t="str">
            <v>RS 304</v>
          </cell>
          <cell r="B119">
            <v>126</v>
          </cell>
          <cell r="C119" t="str">
            <v>C</v>
          </cell>
          <cell r="D119" t="str">
            <v>T</v>
          </cell>
          <cell r="E119" t="str">
            <v>Liwenga - Kapiri (junction M10)</v>
          </cell>
          <cell r="F119" t="str">
            <v>S127</v>
          </cell>
          <cell r="G119">
            <v>6</v>
          </cell>
          <cell r="H119">
            <v>12</v>
          </cell>
          <cell r="I119" t="str">
            <v>F</v>
          </cell>
          <cell r="J119" t="str">
            <v>DEDZA</v>
          </cell>
          <cell r="K119">
            <v>7</v>
          </cell>
        </row>
        <row r="120">
          <cell r="A120" t="str">
            <v>RS 342</v>
          </cell>
          <cell r="B120">
            <v>164</v>
          </cell>
          <cell r="C120" t="str">
            <v>S</v>
          </cell>
          <cell r="D120" t="str">
            <v>T</v>
          </cell>
          <cell r="E120" t="str">
            <v>Maganga - Kwilasya</v>
          </cell>
          <cell r="F120" t="str">
            <v>S129</v>
          </cell>
          <cell r="G120">
            <v>1</v>
          </cell>
          <cell r="H120">
            <v>13.8</v>
          </cell>
          <cell r="I120" t="str">
            <v>F</v>
          </cell>
          <cell r="J120" t="str">
            <v>MANGOCHI</v>
          </cell>
          <cell r="K120">
            <v>7</v>
          </cell>
        </row>
        <row r="121">
          <cell r="A121" t="str">
            <v>RS 344</v>
          </cell>
          <cell r="B121">
            <v>166</v>
          </cell>
          <cell r="C121" t="str">
            <v>S</v>
          </cell>
          <cell r="D121" t="str">
            <v>T</v>
          </cell>
          <cell r="E121" t="str">
            <v>Kwilasya - Makanjira</v>
          </cell>
          <cell r="F121" t="str">
            <v>S129</v>
          </cell>
          <cell r="G121">
            <v>2</v>
          </cell>
          <cell r="H121">
            <v>15.8</v>
          </cell>
          <cell r="I121" t="str">
            <v>F</v>
          </cell>
          <cell r="J121" t="str">
            <v>MANGOCHI</v>
          </cell>
          <cell r="K121">
            <v>7</v>
          </cell>
        </row>
        <row r="122">
          <cell r="A122" t="str">
            <v>RS 340</v>
          </cell>
          <cell r="B122">
            <v>162</v>
          </cell>
          <cell r="C122" t="str">
            <v>S</v>
          </cell>
          <cell r="D122" t="str">
            <v>T</v>
          </cell>
          <cell r="E122" t="str">
            <v>Makanjira - Chilawe</v>
          </cell>
          <cell r="F122" t="str">
            <v>S129</v>
          </cell>
          <cell r="G122">
            <v>3</v>
          </cell>
          <cell r="H122">
            <v>13.6</v>
          </cell>
          <cell r="I122" t="str">
            <v>F</v>
          </cell>
          <cell r="J122" t="str">
            <v>MANGOCHI</v>
          </cell>
          <cell r="K122">
            <v>7</v>
          </cell>
        </row>
        <row r="123">
          <cell r="A123" t="str">
            <v>RS 338</v>
          </cell>
          <cell r="B123">
            <v>160</v>
          </cell>
          <cell r="C123" t="str">
            <v>S</v>
          </cell>
          <cell r="D123" t="str">
            <v>T</v>
          </cell>
          <cell r="E123" t="str">
            <v>Chilawe - Binali</v>
          </cell>
          <cell r="F123" t="str">
            <v>S129</v>
          </cell>
          <cell r="G123">
            <v>4</v>
          </cell>
          <cell r="H123">
            <v>11.8</v>
          </cell>
          <cell r="I123" t="str">
            <v>F</v>
          </cell>
          <cell r="J123" t="str">
            <v>MANGOCHI</v>
          </cell>
          <cell r="K123">
            <v>7</v>
          </cell>
        </row>
        <row r="124">
          <cell r="A124" t="str">
            <v>RS 341</v>
          </cell>
          <cell r="B124">
            <v>163</v>
          </cell>
          <cell r="C124" t="str">
            <v>S</v>
          </cell>
          <cell r="D124" t="str">
            <v>T</v>
          </cell>
          <cell r="E124" t="str">
            <v>Binali - Mdala</v>
          </cell>
          <cell r="F124" t="str">
            <v>S129</v>
          </cell>
          <cell r="G124">
            <v>5</v>
          </cell>
          <cell r="H124">
            <v>7.9</v>
          </cell>
          <cell r="I124" t="str">
            <v>F</v>
          </cell>
          <cell r="J124" t="str">
            <v>MANGOCHI</v>
          </cell>
          <cell r="K124">
            <v>7</v>
          </cell>
        </row>
        <row r="125">
          <cell r="A125" t="str">
            <v>RS 335</v>
          </cell>
          <cell r="B125">
            <v>157</v>
          </cell>
          <cell r="C125" t="str">
            <v>S</v>
          </cell>
          <cell r="D125" t="str">
            <v>T</v>
          </cell>
          <cell r="E125" t="str">
            <v>Mdala - Unga River</v>
          </cell>
          <cell r="F125" t="str">
            <v>S129</v>
          </cell>
          <cell r="G125">
            <v>6</v>
          </cell>
          <cell r="H125">
            <v>5.4</v>
          </cell>
          <cell r="I125" t="str">
            <v>F</v>
          </cell>
          <cell r="J125" t="str">
            <v>MANGOCHI</v>
          </cell>
          <cell r="K125">
            <v>7</v>
          </cell>
        </row>
        <row r="126">
          <cell r="A126" t="str">
            <v>RS 346</v>
          </cell>
          <cell r="B126">
            <v>168</v>
          </cell>
          <cell r="C126" t="str">
            <v>S</v>
          </cell>
          <cell r="D126" t="str">
            <v>T</v>
          </cell>
          <cell r="E126" t="str">
            <v>Unga River - Lilembe River</v>
          </cell>
          <cell r="F126" t="str">
            <v>S129</v>
          </cell>
          <cell r="G126">
            <v>7</v>
          </cell>
          <cell r="H126">
            <v>8.1</v>
          </cell>
          <cell r="I126" t="str">
            <v>F</v>
          </cell>
          <cell r="J126" t="str">
            <v>MANGOCHI</v>
          </cell>
          <cell r="K126">
            <v>7</v>
          </cell>
        </row>
        <row r="127">
          <cell r="A127" t="str">
            <v>RS 334</v>
          </cell>
          <cell r="B127">
            <v>156</v>
          </cell>
          <cell r="C127" t="str">
            <v>S</v>
          </cell>
          <cell r="D127" t="str">
            <v>T</v>
          </cell>
          <cell r="E127" t="str">
            <v>Lilembe River - Lungwena River</v>
          </cell>
          <cell r="F127" t="str">
            <v>S129</v>
          </cell>
          <cell r="G127">
            <v>8</v>
          </cell>
          <cell r="H127">
            <v>23.5</v>
          </cell>
          <cell r="I127" t="str">
            <v>F</v>
          </cell>
          <cell r="J127" t="str">
            <v>MANGOCHI</v>
          </cell>
          <cell r="K127">
            <v>7</v>
          </cell>
        </row>
        <row r="128">
          <cell r="A128" t="str">
            <v>RS 345</v>
          </cell>
          <cell r="B128">
            <v>167</v>
          </cell>
          <cell r="C128" t="str">
            <v>S</v>
          </cell>
          <cell r="D128" t="str">
            <v>T</v>
          </cell>
          <cell r="E128" t="str">
            <v>Lungwena River - Malindi</v>
          </cell>
          <cell r="F128" t="str">
            <v>S129</v>
          </cell>
          <cell r="G128">
            <v>9</v>
          </cell>
          <cell r="H128">
            <v>14.3</v>
          </cell>
          <cell r="I128" t="str">
            <v>F</v>
          </cell>
          <cell r="J128" t="str">
            <v>MANGOCHI</v>
          </cell>
          <cell r="K128">
            <v>7</v>
          </cell>
        </row>
        <row r="129">
          <cell r="A129" t="str">
            <v>RS 336</v>
          </cell>
          <cell r="B129">
            <v>158</v>
          </cell>
          <cell r="C129" t="str">
            <v>S</v>
          </cell>
          <cell r="D129" t="str">
            <v>T</v>
          </cell>
          <cell r="E129" t="str">
            <v>Malindi - Chingo (junction M3)</v>
          </cell>
          <cell r="F129" t="str">
            <v>S129</v>
          </cell>
          <cell r="G129">
            <v>10</v>
          </cell>
          <cell r="H129">
            <v>12</v>
          </cell>
          <cell r="I129" t="str">
            <v>F</v>
          </cell>
          <cell r="J129" t="str">
            <v>MANGOCHI</v>
          </cell>
          <cell r="K129">
            <v>7</v>
          </cell>
        </row>
        <row r="130">
          <cell r="A130" t="str">
            <v>RS 350</v>
          </cell>
          <cell r="B130">
            <v>172</v>
          </cell>
          <cell r="C130" t="str">
            <v>S</v>
          </cell>
          <cell r="D130" t="str">
            <v>T</v>
          </cell>
          <cell r="E130" t="str">
            <v>Chiponde (junction M3) - Mandimba</v>
          </cell>
          <cell r="F130" t="str">
            <v>S131</v>
          </cell>
          <cell r="G130">
            <v>1</v>
          </cell>
          <cell r="H130">
            <v>1</v>
          </cell>
          <cell r="I130" t="str">
            <v>R</v>
          </cell>
          <cell r="J130" t="str">
            <v>MANGOCHI</v>
          </cell>
          <cell r="K130">
            <v>7</v>
          </cell>
        </row>
        <row r="131">
          <cell r="A131" t="str">
            <v>RS 353</v>
          </cell>
          <cell r="B131">
            <v>175</v>
          </cell>
          <cell r="C131" t="str">
            <v>S</v>
          </cell>
          <cell r="D131" t="str">
            <v>T</v>
          </cell>
          <cell r="E131" t="str">
            <v>Mandimba - Masuku</v>
          </cell>
          <cell r="F131" t="str">
            <v>S131</v>
          </cell>
          <cell r="G131">
            <v>2</v>
          </cell>
          <cell r="H131">
            <v>10.9</v>
          </cell>
          <cell r="I131" t="str">
            <v>F</v>
          </cell>
          <cell r="J131" t="str">
            <v>MANGOCHI</v>
          </cell>
          <cell r="K131">
            <v>8</v>
          </cell>
        </row>
        <row r="132">
          <cell r="A132" t="str">
            <v>RS 356</v>
          </cell>
          <cell r="B132">
            <v>178</v>
          </cell>
          <cell r="C132" t="str">
            <v>S</v>
          </cell>
          <cell r="D132" t="str">
            <v>T</v>
          </cell>
          <cell r="E132" t="str">
            <v>Masuku - Nkumba</v>
          </cell>
          <cell r="F132" t="str">
            <v>S131</v>
          </cell>
          <cell r="G132">
            <v>3</v>
          </cell>
          <cell r="H132">
            <v>17.600000000000001</v>
          </cell>
          <cell r="I132" t="str">
            <v>R</v>
          </cell>
          <cell r="J132" t="str">
            <v>MACHINGA</v>
          </cell>
          <cell r="K132">
            <v>8</v>
          </cell>
        </row>
        <row r="133">
          <cell r="A133" t="str">
            <v>RS 349</v>
          </cell>
          <cell r="B133">
            <v>171</v>
          </cell>
          <cell r="C133" t="str">
            <v>S</v>
          </cell>
          <cell r="D133" t="str">
            <v>T</v>
          </cell>
          <cell r="E133" t="str">
            <v>Nkumba - Nselema</v>
          </cell>
          <cell r="F133" t="str">
            <v>S131</v>
          </cell>
          <cell r="G133">
            <v>4</v>
          </cell>
          <cell r="H133">
            <v>17.600000000000001</v>
          </cell>
          <cell r="I133" t="str">
            <v>R</v>
          </cell>
          <cell r="J133" t="str">
            <v>MACHINGA</v>
          </cell>
          <cell r="K133">
            <v>8</v>
          </cell>
        </row>
        <row r="134">
          <cell r="A134" t="str">
            <v>RS 355</v>
          </cell>
          <cell r="B134">
            <v>177</v>
          </cell>
          <cell r="C134" t="str">
            <v>S</v>
          </cell>
          <cell r="D134" t="str">
            <v>T</v>
          </cell>
          <cell r="E134" t="str">
            <v>Matope - Ntaja</v>
          </cell>
          <cell r="F134" t="str">
            <v>S131</v>
          </cell>
          <cell r="G134">
            <v>5</v>
          </cell>
          <cell r="H134">
            <v>7.5</v>
          </cell>
          <cell r="I134" t="str">
            <v>R</v>
          </cell>
          <cell r="J134" t="str">
            <v>MACHINGA</v>
          </cell>
          <cell r="K134">
            <v>8</v>
          </cell>
        </row>
        <row r="135">
          <cell r="A135" t="str">
            <v>RS 845</v>
          </cell>
          <cell r="B135" t="str">
            <v>n.a.</v>
          </cell>
          <cell r="C135" t="str">
            <v>S</v>
          </cell>
          <cell r="D135" t="str">
            <v>T</v>
          </cell>
          <cell r="E135" t="str">
            <v>Ntaja - Singwa</v>
          </cell>
          <cell r="F135" t="str">
            <v>S131</v>
          </cell>
          <cell r="G135">
            <v>6</v>
          </cell>
          <cell r="H135">
            <v>11.2</v>
          </cell>
          <cell r="I135" t="str">
            <v>R</v>
          </cell>
          <cell r="J135" t="str">
            <v>MACHINGA</v>
          </cell>
          <cell r="K135">
            <v>8</v>
          </cell>
          <cell r="L135" t="str">
            <v>New section added to cover origional RS 352</v>
          </cell>
        </row>
        <row r="136">
          <cell r="A136" t="str">
            <v>RS 347</v>
          </cell>
          <cell r="B136">
            <v>169</v>
          </cell>
          <cell r="C136" t="str">
            <v>S</v>
          </cell>
          <cell r="D136" t="str">
            <v>T</v>
          </cell>
          <cell r="E136" t="str">
            <v>Singwa - Nsanama</v>
          </cell>
          <cell r="F136" t="str">
            <v>S131</v>
          </cell>
          <cell r="G136">
            <v>7</v>
          </cell>
          <cell r="H136">
            <v>13.2</v>
          </cell>
          <cell r="I136" t="str">
            <v>R</v>
          </cell>
          <cell r="J136" t="str">
            <v>MACHINGA</v>
          </cell>
          <cell r="K136">
            <v>8</v>
          </cell>
        </row>
        <row r="137">
          <cell r="A137" t="str">
            <v>RS 351</v>
          </cell>
          <cell r="B137">
            <v>173</v>
          </cell>
          <cell r="C137" t="str">
            <v>S</v>
          </cell>
          <cell r="D137" t="str">
            <v>T</v>
          </cell>
          <cell r="E137" t="str">
            <v>Nsanama - Naminga</v>
          </cell>
          <cell r="F137" t="str">
            <v>S131</v>
          </cell>
          <cell r="G137">
            <v>8</v>
          </cell>
          <cell r="H137">
            <v>8.6999999999999993</v>
          </cell>
          <cell r="I137" t="str">
            <v>R</v>
          </cell>
          <cell r="J137" t="str">
            <v>MACHINGA</v>
          </cell>
          <cell r="K137">
            <v>8</v>
          </cell>
        </row>
        <row r="138">
          <cell r="A138" t="str">
            <v>RS 685</v>
          </cell>
          <cell r="B138">
            <v>507</v>
          </cell>
          <cell r="C138" t="str">
            <v>S</v>
          </cell>
          <cell r="D138" t="str">
            <v>T</v>
          </cell>
          <cell r="E138" t="str">
            <v>Singwa (junction S131) - Mbonechera</v>
          </cell>
          <cell r="F138" t="str">
            <v>S132</v>
          </cell>
          <cell r="G138">
            <v>1</v>
          </cell>
          <cell r="H138">
            <v>6.6</v>
          </cell>
          <cell r="I138" t="str">
            <v>R</v>
          </cell>
          <cell r="J138" t="str">
            <v>MACHINGA</v>
          </cell>
          <cell r="K138">
            <v>8</v>
          </cell>
          <cell r="L138" t="str">
            <v>Changed designation from T388 to S132</v>
          </cell>
        </row>
        <row r="139">
          <cell r="A139" t="str">
            <v>RS 358</v>
          </cell>
          <cell r="B139">
            <v>180</v>
          </cell>
          <cell r="C139" t="str">
            <v>S</v>
          </cell>
          <cell r="D139" t="str">
            <v>T</v>
          </cell>
          <cell r="E139" t="str">
            <v>Mbonechera - Mweso</v>
          </cell>
          <cell r="F139" t="str">
            <v>S132</v>
          </cell>
          <cell r="G139">
            <v>2</v>
          </cell>
          <cell r="H139">
            <v>11</v>
          </cell>
          <cell r="I139" t="str">
            <v>R</v>
          </cell>
          <cell r="J139" t="str">
            <v>MACHINGA</v>
          </cell>
          <cell r="K139">
            <v>8</v>
          </cell>
        </row>
        <row r="140">
          <cell r="A140" t="str">
            <v>RS 357</v>
          </cell>
          <cell r="B140">
            <v>179</v>
          </cell>
          <cell r="C140" t="str">
            <v>S</v>
          </cell>
          <cell r="D140" t="str">
            <v>T</v>
          </cell>
          <cell r="E140" t="str">
            <v>Mweso - Namandanje River</v>
          </cell>
          <cell r="F140" t="str">
            <v>S132</v>
          </cell>
          <cell r="G140">
            <v>3</v>
          </cell>
          <cell r="H140">
            <v>3</v>
          </cell>
          <cell r="I140" t="str">
            <v>R</v>
          </cell>
          <cell r="J140" t="str">
            <v>MACHINGA</v>
          </cell>
          <cell r="K140">
            <v>8</v>
          </cell>
        </row>
        <row r="141">
          <cell r="A141" t="str">
            <v>RS 359</v>
          </cell>
          <cell r="B141">
            <v>181</v>
          </cell>
          <cell r="C141" t="str">
            <v>S</v>
          </cell>
          <cell r="D141" t="str">
            <v>T</v>
          </cell>
          <cell r="E141" t="str">
            <v>Balaka - Mbela</v>
          </cell>
          <cell r="F141" t="str">
            <v>S133</v>
          </cell>
          <cell r="G141">
            <v>1</v>
          </cell>
          <cell r="H141">
            <v>14.5</v>
          </cell>
          <cell r="I141" t="str">
            <v>R</v>
          </cell>
          <cell r="J141" t="str">
            <v>MACHINGA</v>
          </cell>
          <cell r="K141">
            <v>8</v>
          </cell>
        </row>
        <row r="142">
          <cell r="A142" t="str">
            <v>RS 361</v>
          </cell>
          <cell r="B142">
            <v>183</v>
          </cell>
          <cell r="C142" t="str">
            <v>S</v>
          </cell>
          <cell r="D142" t="str">
            <v>T</v>
          </cell>
          <cell r="E142" t="str">
            <v>Mbela - Mzimundilinde</v>
          </cell>
          <cell r="F142" t="str">
            <v>S133</v>
          </cell>
          <cell r="G142">
            <v>2</v>
          </cell>
          <cell r="H142">
            <v>7.9</v>
          </cell>
          <cell r="I142" t="str">
            <v>F</v>
          </cell>
          <cell r="J142" t="str">
            <v>MACHINGA</v>
          </cell>
          <cell r="K142">
            <v>8</v>
          </cell>
        </row>
        <row r="143">
          <cell r="A143" t="str">
            <v>RS 360</v>
          </cell>
          <cell r="B143">
            <v>182</v>
          </cell>
          <cell r="C143" t="str">
            <v>S</v>
          </cell>
          <cell r="D143" t="str">
            <v>T</v>
          </cell>
          <cell r="E143" t="str">
            <v>Mzimundilinde - Hoba</v>
          </cell>
          <cell r="F143" t="str">
            <v>S133</v>
          </cell>
          <cell r="G143">
            <v>3</v>
          </cell>
          <cell r="H143">
            <v>6</v>
          </cell>
          <cell r="I143" t="str">
            <v>F</v>
          </cell>
          <cell r="J143" t="str">
            <v>MACHINGA</v>
          </cell>
          <cell r="K143">
            <v>8</v>
          </cell>
        </row>
        <row r="144">
          <cell r="A144" t="str">
            <v>RS 310</v>
          </cell>
          <cell r="B144">
            <v>132</v>
          </cell>
          <cell r="C144" t="str">
            <v>C</v>
          </cell>
          <cell r="D144" t="str">
            <v>T</v>
          </cell>
          <cell r="E144" t="str">
            <v>Kasinje (junction M5) - Mtambalika</v>
          </cell>
          <cell r="F144" t="str">
            <v>S134</v>
          </cell>
          <cell r="G144">
            <v>1</v>
          </cell>
          <cell r="H144">
            <v>5.0999999999999996</v>
          </cell>
          <cell r="I144" t="str">
            <v>H</v>
          </cell>
          <cell r="J144" t="str">
            <v>NTCHEU</v>
          </cell>
          <cell r="K144">
            <v>8</v>
          </cell>
        </row>
        <row r="145">
          <cell r="A145" t="str">
            <v>RS 311</v>
          </cell>
          <cell r="B145">
            <v>133</v>
          </cell>
          <cell r="C145" t="str">
            <v>C</v>
          </cell>
          <cell r="D145" t="str">
            <v>T</v>
          </cell>
          <cell r="E145" t="str">
            <v>Mtambalika - Kandeu</v>
          </cell>
          <cell r="F145" t="str">
            <v>S134</v>
          </cell>
          <cell r="G145">
            <v>2</v>
          </cell>
          <cell r="H145">
            <v>8.4</v>
          </cell>
          <cell r="I145" t="str">
            <v>H</v>
          </cell>
          <cell r="J145" t="str">
            <v>NTCHEU</v>
          </cell>
          <cell r="K145">
            <v>8</v>
          </cell>
        </row>
        <row r="146">
          <cell r="A146" t="str">
            <v>RS 308</v>
          </cell>
          <cell r="B146">
            <v>130</v>
          </cell>
          <cell r="C146" t="str">
            <v>C</v>
          </cell>
          <cell r="D146" t="str">
            <v>T</v>
          </cell>
          <cell r="E146" t="str">
            <v>Kandeu - Sitolo</v>
          </cell>
          <cell r="F146" t="str">
            <v>S134</v>
          </cell>
          <cell r="G146">
            <v>3</v>
          </cell>
          <cell r="H146">
            <v>4.8</v>
          </cell>
          <cell r="I146" t="str">
            <v>M</v>
          </cell>
          <cell r="J146" t="str">
            <v>NTCHEU</v>
          </cell>
          <cell r="K146">
            <v>8</v>
          </cell>
        </row>
        <row r="147">
          <cell r="A147" t="str">
            <v>RS 309</v>
          </cell>
          <cell r="B147">
            <v>131</v>
          </cell>
          <cell r="C147" t="str">
            <v>C</v>
          </cell>
          <cell r="D147" t="str">
            <v>T</v>
          </cell>
          <cell r="E147" t="str">
            <v>Sitolo - Kabekele</v>
          </cell>
          <cell r="F147" t="str">
            <v>S134</v>
          </cell>
          <cell r="G147">
            <v>4</v>
          </cell>
          <cell r="H147">
            <v>4.7</v>
          </cell>
          <cell r="I147" t="str">
            <v>H</v>
          </cell>
          <cell r="J147" t="str">
            <v>NTCHEU</v>
          </cell>
          <cell r="K147">
            <v>8</v>
          </cell>
        </row>
        <row r="148">
          <cell r="A148" t="str">
            <v>RS 312</v>
          </cell>
          <cell r="B148">
            <v>134</v>
          </cell>
          <cell r="C148" t="str">
            <v>C</v>
          </cell>
          <cell r="D148" t="str">
            <v>T</v>
          </cell>
          <cell r="E148" t="str">
            <v>Kabekele - Kansapato (junction T384)</v>
          </cell>
          <cell r="F148" t="str">
            <v>S134</v>
          </cell>
          <cell r="G148">
            <v>6</v>
          </cell>
          <cell r="H148">
            <v>7.8</v>
          </cell>
          <cell r="I148" t="str">
            <v>R</v>
          </cell>
          <cell r="J148" t="str">
            <v>NTCHEU</v>
          </cell>
          <cell r="K148">
            <v>8</v>
          </cell>
        </row>
        <row r="149">
          <cell r="A149" t="str">
            <v>RS 644</v>
          </cell>
          <cell r="B149">
            <v>466</v>
          </cell>
          <cell r="C149" t="str">
            <v>C</v>
          </cell>
          <cell r="D149" t="str">
            <v>T</v>
          </cell>
          <cell r="E149" t="str">
            <v>Kazembe - Ntcheu (junction M1)</v>
          </cell>
          <cell r="F149" t="str">
            <v>S134</v>
          </cell>
          <cell r="G149">
            <v>8</v>
          </cell>
          <cell r="H149">
            <v>9</v>
          </cell>
          <cell r="I149" t="str">
            <v>FL</v>
          </cell>
          <cell r="J149" t="str">
            <v>NTCHEU</v>
          </cell>
          <cell r="K149">
            <v>8</v>
          </cell>
          <cell r="L149" t="str">
            <v>Changed designation from T384 to S134</v>
          </cell>
        </row>
        <row r="150">
          <cell r="A150" t="str">
            <v>RS 295</v>
          </cell>
          <cell r="B150">
            <v>117</v>
          </cell>
          <cell r="C150" t="str">
            <v>C</v>
          </cell>
          <cell r="D150" t="str">
            <v>T</v>
          </cell>
          <cell r="E150" t="str">
            <v>Biriwiri (junction M1) - Kalonga</v>
          </cell>
          <cell r="F150" t="str">
            <v>S135</v>
          </cell>
          <cell r="G150">
            <v>1</v>
          </cell>
          <cell r="H150">
            <v>13.7</v>
          </cell>
          <cell r="I150" t="str">
            <v>R</v>
          </cell>
          <cell r="J150" t="str">
            <v>NTCHEU</v>
          </cell>
          <cell r="K150">
            <v>8</v>
          </cell>
          <cell r="L150" t="str">
            <v>Changed designation from S124 to S135</v>
          </cell>
        </row>
        <row r="151">
          <cell r="A151" t="str">
            <v>RS 299</v>
          </cell>
          <cell r="B151">
            <v>121</v>
          </cell>
          <cell r="C151" t="str">
            <v>C</v>
          </cell>
          <cell r="D151" t="str">
            <v>T</v>
          </cell>
          <cell r="E151" t="str">
            <v>Kalonga - Biliate</v>
          </cell>
          <cell r="F151" t="str">
            <v>S135</v>
          </cell>
          <cell r="G151">
            <v>2</v>
          </cell>
          <cell r="H151">
            <v>20.9</v>
          </cell>
          <cell r="I151" t="str">
            <v>R</v>
          </cell>
          <cell r="J151" t="str">
            <v>NTCHEU</v>
          </cell>
          <cell r="K151">
            <v>8</v>
          </cell>
          <cell r="L151" t="str">
            <v>Changed designation from S124 to S135</v>
          </cell>
        </row>
        <row r="152">
          <cell r="A152" t="str">
            <v>RS 297</v>
          </cell>
          <cell r="B152">
            <v>119</v>
          </cell>
          <cell r="C152" t="str">
            <v>C</v>
          </cell>
          <cell r="D152" t="str">
            <v>T</v>
          </cell>
          <cell r="E152" t="str">
            <v>Biliate - Doviko</v>
          </cell>
          <cell r="F152" t="str">
            <v>S135</v>
          </cell>
          <cell r="G152">
            <v>3</v>
          </cell>
          <cell r="H152">
            <v>11.2</v>
          </cell>
          <cell r="I152" t="str">
            <v>FL</v>
          </cell>
          <cell r="J152" t="str">
            <v>NTCHEU</v>
          </cell>
          <cell r="K152">
            <v>8</v>
          </cell>
          <cell r="L152" t="str">
            <v>Changed designation from S124 to S135</v>
          </cell>
        </row>
        <row r="153">
          <cell r="A153" t="str">
            <v>RS 313</v>
          </cell>
          <cell r="B153">
            <v>135</v>
          </cell>
          <cell r="C153" t="str">
            <v>C</v>
          </cell>
          <cell r="D153" t="str">
            <v>T</v>
          </cell>
          <cell r="E153" t="str">
            <v>Doviko - Chilengo</v>
          </cell>
          <cell r="F153" t="str">
            <v>S135</v>
          </cell>
          <cell r="G153">
            <v>4</v>
          </cell>
          <cell r="H153">
            <v>20.5</v>
          </cell>
          <cell r="I153" t="str">
            <v>H</v>
          </cell>
          <cell r="J153" t="str">
            <v>NTCHEU</v>
          </cell>
          <cell r="K153">
            <v>8</v>
          </cell>
        </row>
        <row r="154">
          <cell r="A154" t="str">
            <v>RS 716</v>
          </cell>
          <cell r="B154">
            <v>538</v>
          </cell>
          <cell r="C154" t="str">
            <v>S</v>
          </cell>
          <cell r="D154" t="str">
            <v>T</v>
          </cell>
          <cell r="E154" t="str">
            <v>Chilengo - Kweneza</v>
          </cell>
          <cell r="F154" t="str">
            <v>S135</v>
          </cell>
          <cell r="G154">
            <v>6</v>
          </cell>
          <cell r="H154">
            <v>10.7</v>
          </cell>
          <cell r="I154" t="str">
            <v>R</v>
          </cell>
          <cell r="J154" t="str">
            <v>MWANZA</v>
          </cell>
          <cell r="K154">
            <v>8</v>
          </cell>
          <cell r="L154" t="str">
            <v>Changed designation from T398 to S135</v>
          </cell>
        </row>
        <row r="155">
          <cell r="A155" t="str">
            <v>RS 715</v>
          </cell>
          <cell r="B155">
            <v>537</v>
          </cell>
          <cell r="C155" t="str">
            <v>S</v>
          </cell>
          <cell r="D155" t="str">
            <v>T</v>
          </cell>
          <cell r="E155" t="str">
            <v>Kweneza - Kanjiwa</v>
          </cell>
          <cell r="F155" t="str">
            <v>S135</v>
          </cell>
          <cell r="G155">
            <v>7</v>
          </cell>
          <cell r="H155">
            <v>8.4</v>
          </cell>
          <cell r="I155" t="str">
            <v>H</v>
          </cell>
          <cell r="J155" t="str">
            <v>MWANZA</v>
          </cell>
          <cell r="K155">
            <v>8</v>
          </cell>
          <cell r="L155" t="str">
            <v>Changed designation from T398 to S135</v>
          </cell>
        </row>
        <row r="156">
          <cell r="A156" t="str">
            <v>RS 365</v>
          </cell>
          <cell r="B156">
            <v>187</v>
          </cell>
          <cell r="C156" t="str">
            <v>S</v>
          </cell>
          <cell r="D156" t="str">
            <v>T</v>
          </cell>
          <cell r="E156" t="str">
            <v>Kanjiwa - Chipondeni</v>
          </cell>
          <cell r="F156" t="str">
            <v>S135</v>
          </cell>
          <cell r="G156">
            <v>8</v>
          </cell>
          <cell r="H156">
            <v>22.2</v>
          </cell>
          <cell r="I156" t="str">
            <v>H</v>
          </cell>
          <cell r="J156" t="str">
            <v>MWANZA</v>
          </cell>
          <cell r="K156">
            <v>9</v>
          </cell>
        </row>
        <row r="157">
          <cell r="A157" t="str">
            <v>RS 362</v>
          </cell>
          <cell r="B157">
            <v>184</v>
          </cell>
          <cell r="C157" t="str">
            <v>S</v>
          </cell>
          <cell r="D157" t="str">
            <v>T</v>
          </cell>
          <cell r="E157" t="str">
            <v>Chipondeni - Kunenekude</v>
          </cell>
          <cell r="F157" t="str">
            <v>S135</v>
          </cell>
          <cell r="G157">
            <v>9</v>
          </cell>
          <cell r="H157">
            <v>5.5</v>
          </cell>
          <cell r="I157" t="str">
            <v>H</v>
          </cell>
          <cell r="J157" t="str">
            <v>MWANZA</v>
          </cell>
          <cell r="K157">
            <v>9</v>
          </cell>
        </row>
        <row r="158">
          <cell r="A158" t="str">
            <v>RS 363</v>
          </cell>
          <cell r="B158">
            <v>185</v>
          </cell>
          <cell r="C158" t="str">
            <v>S</v>
          </cell>
          <cell r="D158" t="str">
            <v>T</v>
          </cell>
          <cell r="E158" t="str">
            <v>Kunenekude - Mwanza Admarc</v>
          </cell>
          <cell r="F158" t="str">
            <v>S135</v>
          </cell>
          <cell r="G158">
            <v>10</v>
          </cell>
          <cell r="H158">
            <v>12</v>
          </cell>
          <cell r="I158" t="str">
            <v>H</v>
          </cell>
          <cell r="J158" t="str">
            <v>MWANZA</v>
          </cell>
          <cell r="K158">
            <v>9</v>
          </cell>
        </row>
        <row r="159">
          <cell r="A159" t="str">
            <v>RS 364</v>
          </cell>
          <cell r="B159">
            <v>186</v>
          </cell>
          <cell r="C159" t="str">
            <v>S</v>
          </cell>
          <cell r="D159" t="str">
            <v>T</v>
          </cell>
          <cell r="E159" t="str">
            <v>Mwanza Admarc - Liwonde Village (junction M6)</v>
          </cell>
          <cell r="F159" t="str">
            <v>S135</v>
          </cell>
          <cell r="G159">
            <v>11</v>
          </cell>
          <cell r="H159">
            <v>3.8</v>
          </cell>
          <cell r="I159" t="str">
            <v>R</v>
          </cell>
          <cell r="J159" t="str">
            <v>MWANZA</v>
          </cell>
          <cell r="K159">
            <v>9</v>
          </cell>
        </row>
        <row r="160">
          <cell r="A160" t="str">
            <v>RS 367</v>
          </cell>
          <cell r="B160">
            <v>189</v>
          </cell>
          <cell r="C160" t="str">
            <v>S</v>
          </cell>
          <cell r="D160" t="str">
            <v>T</v>
          </cell>
          <cell r="E160" t="str">
            <v>Mwanza (junction M6) - Chimulango</v>
          </cell>
          <cell r="F160" t="str">
            <v>S136</v>
          </cell>
          <cell r="G160">
            <v>1</v>
          </cell>
          <cell r="H160">
            <v>10.7</v>
          </cell>
          <cell r="I160" t="str">
            <v>R</v>
          </cell>
          <cell r="J160" t="str">
            <v>MWANZA</v>
          </cell>
          <cell r="K160">
            <v>9</v>
          </cell>
        </row>
        <row r="161">
          <cell r="A161" t="str">
            <v>RS 374</v>
          </cell>
          <cell r="B161">
            <v>196</v>
          </cell>
          <cell r="C161" t="str">
            <v>S</v>
          </cell>
          <cell r="D161" t="str">
            <v>T</v>
          </cell>
          <cell r="E161" t="str">
            <v>Chimulango - Chikoleka</v>
          </cell>
          <cell r="F161" t="str">
            <v>S136</v>
          </cell>
          <cell r="G161">
            <v>2</v>
          </cell>
          <cell r="H161">
            <v>5.9</v>
          </cell>
          <cell r="I161" t="str">
            <v>R</v>
          </cell>
          <cell r="J161" t="str">
            <v>MWANZA</v>
          </cell>
          <cell r="K161">
            <v>9</v>
          </cell>
        </row>
        <row r="162">
          <cell r="A162" t="str">
            <v>RS 372</v>
          </cell>
          <cell r="B162">
            <v>194</v>
          </cell>
          <cell r="C162" t="str">
            <v>S</v>
          </cell>
          <cell r="D162" t="str">
            <v>T</v>
          </cell>
          <cell r="E162" t="str">
            <v>Chikoleka - Thambani</v>
          </cell>
          <cell r="F162" t="str">
            <v>S136</v>
          </cell>
          <cell r="G162">
            <v>3</v>
          </cell>
          <cell r="H162">
            <v>6.6</v>
          </cell>
          <cell r="I162" t="str">
            <v>H</v>
          </cell>
          <cell r="J162" t="str">
            <v>MWANZA</v>
          </cell>
          <cell r="K162">
            <v>9</v>
          </cell>
        </row>
        <row r="163">
          <cell r="A163" t="str">
            <v>RS 370</v>
          </cell>
          <cell r="B163">
            <v>192</v>
          </cell>
          <cell r="C163" t="str">
            <v>S</v>
          </cell>
          <cell r="D163" t="str">
            <v>T</v>
          </cell>
          <cell r="E163" t="str">
            <v>Thambani - Ngoma River</v>
          </cell>
          <cell r="F163" t="str">
            <v>S136</v>
          </cell>
          <cell r="G163">
            <v>4</v>
          </cell>
          <cell r="H163">
            <v>7.5</v>
          </cell>
          <cell r="I163" t="str">
            <v>R</v>
          </cell>
          <cell r="J163" t="str">
            <v>MWANZA</v>
          </cell>
          <cell r="K163">
            <v>9</v>
          </cell>
        </row>
        <row r="164">
          <cell r="A164" t="str">
            <v>RS 371</v>
          </cell>
          <cell r="B164">
            <v>193</v>
          </cell>
          <cell r="C164" t="str">
            <v>S</v>
          </cell>
          <cell r="D164" t="str">
            <v>T</v>
          </cell>
          <cell r="E164" t="str">
            <v>Ngoma River - Changoima</v>
          </cell>
          <cell r="F164" t="str">
            <v>S136</v>
          </cell>
          <cell r="G164">
            <v>5</v>
          </cell>
          <cell r="H164">
            <v>10.9</v>
          </cell>
          <cell r="I164" t="str">
            <v>FL</v>
          </cell>
          <cell r="J164" t="str">
            <v>CHIKWAWA</v>
          </cell>
          <cell r="K164">
            <v>9</v>
          </cell>
        </row>
        <row r="165">
          <cell r="A165" t="str">
            <v>RS 376</v>
          </cell>
          <cell r="B165">
            <v>198</v>
          </cell>
          <cell r="C165" t="str">
            <v>S</v>
          </cell>
          <cell r="D165" t="str">
            <v>T</v>
          </cell>
          <cell r="E165" t="str">
            <v>Changoima - Balalika</v>
          </cell>
          <cell r="F165" t="str">
            <v>S136</v>
          </cell>
          <cell r="G165">
            <v>6</v>
          </cell>
          <cell r="H165">
            <v>9.1</v>
          </cell>
          <cell r="I165" t="str">
            <v>R</v>
          </cell>
          <cell r="J165" t="str">
            <v>CHIKWAWA</v>
          </cell>
          <cell r="K165">
            <v>9</v>
          </cell>
        </row>
        <row r="166">
          <cell r="A166" t="str">
            <v>RS 369</v>
          </cell>
          <cell r="B166">
            <v>191</v>
          </cell>
          <cell r="C166" t="str">
            <v>S</v>
          </cell>
          <cell r="D166" t="str">
            <v>T</v>
          </cell>
          <cell r="E166" t="str">
            <v>Balalika - Mwanza River</v>
          </cell>
          <cell r="F166" t="str">
            <v>S136</v>
          </cell>
          <cell r="G166">
            <v>7</v>
          </cell>
          <cell r="H166">
            <v>10.4</v>
          </cell>
          <cell r="I166" t="str">
            <v>R</v>
          </cell>
          <cell r="J166" t="str">
            <v>CHIKWAWA</v>
          </cell>
          <cell r="K166">
            <v>9</v>
          </cell>
        </row>
        <row r="167">
          <cell r="A167" t="str">
            <v>RS 377</v>
          </cell>
          <cell r="B167">
            <v>199</v>
          </cell>
          <cell r="C167" t="str">
            <v>S</v>
          </cell>
          <cell r="D167" t="str">
            <v>T</v>
          </cell>
          <cell r="E167" t="str">
            <v>Mwanza River - Nkhongono</v>
          </cell>
          <cell r="F167" t="str">
            <v>S136</v>
          </cell>
          <cell r="G167">
            <v>8</v>
          </cell>
          <cell r="H167">
            <v>16.399999999999999</v>
          </cell>
          <cell r="I167" t="str">
            <v>F</v>
          </cell>
          <cell r="J167" t="str">
            <v>CHIKWAWA</v>
          </cell>
          <cell r="K167">
            <v>9</v>
          </cell>
        </row>
        <row r="168">
          <cell r="A168" t="str">
            <v>RS 366</v>
          </cell>
          <cell r="B168">
            <v>188</v>
          </cell>
          <cell r="C168" t="str">
            <v>S</v>
          </cell>
          <cell r="D168" t="str">
            <v>T</v>
          </cell>
          <cell r="E168" t="str">
            <v>Nkhongono - Fombe</v>
          </cell>
          <cell r="F168" t="str">
            <v>S136</v>
          </cell>
          <cell r="G168">
            <v>9</v>
          </cell>
          <cell r="H168">
            <v>10.8</v>
          </cell>
          <cell r="I168" t="str">
            <v>R</v>
          </cell>
          <cell r="J168" t="str">
            <v>CHIKWAWA</v>
          </cell>
          <cell r="K168">
            <v>9</v>
          </cell>
        </row>
        <row r="169">
          <cell r="A169" t="str">
            <v>RS 378</v>
          </cell>
          <cell r="B169">
            <v>200</v>
          </cell>
          <cell r="C169" t="str">
            <v>S</v>
          </cell>
          <cell r="D169" t="str">
            <v>T</v>
          </cell>
          <cell r="E169" t="str">
            <v>Fombe - Chikwawa (junction T416)</v>
          </cell>
          <cell r="F169" t="str">
            <v>S136</v>
          </cell>
          <cell r="G169">
            <v>10</v>
          </cell>
          <cell r="H169">
            <v>8</v>
          </cell>
          <cell r="I169" t="str">
            <v>P</v>
          </cell>
          <cell r="J169" t="str">
            <v>CHIKWAWA</v>
          </cell>
          <cell r="K169">
            <v>9</v>
          </cell>
        </row>
        <row r="170">
          <cell r="A170" t="str">
            <v>RS 379</v>
          </cell>
          <cell r="B170">
            <v>201</v>
          </cell>
          <cell r="C170" t="str">
            <v>S</v>
          </cell>
          <cell r="D170" t="str">
            <v>T</v>
          </cell>
          <cell r="E170" t="str">
            <v>Moffati (junction M6) - Feremu</v>
          </cell>
          <cell r="F170" t="str">
            <v>S137</v>
          </cell>
          <cell r="G170">
            <v>1</v>
          </cell>
          <cell r="H170">
            <v>10.1</v>
          </cell>
          <cell r="I170" t="str">
            <v>R</v>
          </cell>
          <cell r="J170" t="str">
            <v>MWANZA</v>
          </cell>
          <cell r="K170">
            <v>9</v>
          </cell>
        </row>
        <row r="171">
          <cell r="A171" t="str">
            <v>RS 380</v>
          </cell>
          <cell r="B171">
            <v>202</v>
          </cell>
          <cell r="C171" t="str">
            <v>S</v>
          </cell>
          <cell r="D171" t="str">
            <v>T</v>
          </cell>
          <cell r="E171" t="str">
            <v>Feremu - Mpatamanga Gorge</v>
          </cell>
          <cell r="F171" t="str">
            <v>S137</v>
          </cell>
          <cell r="G171">
            <v>2</v>
          </cell>
          <cell r="H171">
            <v>14.7</v>
          </cell>
          <cell r="I171" t="str">
            <v>R</v>
          </cell>
          <cell r="J171" t="str">
            <v>MWANZA</v>
          </cell>
          <cell r="K171">
            <v>9</v>
          </cell>
        </row>
        <row r="172">
          <cell r="A172" t="str">
            <v>RS 381</v>
          </cell>
          <cell r="B172">
            <v>203</v>
          </cell>
          <cell r="C172" t="str">
            <v>S</v>
          </cell>
          <cell r="D172" t="str">
            <v>T</v>
          </cell>
          <cell r="E172" t="str">
            <v>Mpatamanga Gorge - Kaliati</v>
          </cell>
          <cell r="F172" t="str">
            <v>S137</v>
          </cell>
          <cell r="G172">
            <v>3</v>
          </cell>
          <cell r="H172">
            <v>14.3</v>
          </cell>
          <cell r="I172" t="str">
            <v>R</v>
          </cell>
          <cell r="J172" t="str">
            <v>BLANTYRE</v>
          </cell>
          <cell r="K172">
            <v>9</v>
          </cell>
        </row>
        <row r="173">
          <cell r="A173" t="str">
            <v>RS 383</v>
          </cell>
          <cell r="B173">
            <v>205</v>
          </cell>
          <cell r="C173" t="str">
            <v>S</v>
          </cell>
          <cell r="D173" t="str">
            <v>T</v>
          </cell>
          <cell r="E173" t="str">
            <v>Kaliati - Kunthembwe</v>
          </cell>
          <cell r="F173" t="str">
            <v>S137</v>
          </cell>
          <cell r="G173">
            <v>4</v>
          </cell>
          <cell r="H173">
            <v>8.6999999999999993</v>
          </cell>
          <cell r="I173" t="str">
            <v>R</v>
          </cell>
          <cell r="J173" t="str">
            <v>BLANTYRE</v>
          </cell>
          <cell r="K173">
            <v>9</v>
          </cell>
        </row>
        <row r="174">
          <cell r="A174" t="str">
            <v>RS 384</v>
          </cell>
          <cell r="B174">
            <v>206</v>
          </cell>
          <cell r="C174" t="str">
            <v>S</v>
          </cell>
          <cell r="D174" t="str">
            <v>T</v>
          </cell>
          <cell r="E174" t="str">
            <v>Kunthembwe - Chileka Airport</v>
          </cell>
          <cell r="F174" t="str">
            <v>S137</v>
          </cell>
          <cell r="G174">
            <v>5</v>
          </cell>
          <cell r="H174">
            <v>13.2</v>
          </cell>
          <cell r="I174" t="str">
            <v>F</v>
          </cell>
          <cell r="J174" t="str">
            <v>BLANTYRE</v>
          </cell>
          <cell r="K174">
            <v>9</v>
          </cell>
        </row>
        <row r="175">
          <cell r="A175" t="str">
            <v>RS 387</v>
          </cell>
          <cell r="B175">
            <v>209</v>
          </cell>
          <cell r="C175" t="str">
            <v>S</v>
          </cell>
          <cell r="D175" t="str">
            <v>T</v>
          </cell>
          <cell r="E175" t="str">
            <v>Sanama (junction S137) - Mtengowambalame</v>
          </cell>
          <cell r="F175" t="str">
            <v>S138</v>
          </cell>
          <cell r="G175">
            <v>1</v>
          </cell>
          <cell r="H175">
            <v>5.5</v>
          </cell>
          <cell r="I175" t="str">
            <v>R</v>
          </cell>
          <cell r="J175" t="str">
            <v>BLANTYRE</v>
          </cell>
          <cell r="K175">
            <v>9</v>
          </cell>
        </row>
        <row r="176">
          <cell r="A176" t="str">
            <v>RS 385</v>
          </cell>
          <cell r="B176">
            <v>207</v>
          </cell>
          <cell r="C176" t="str">
            <v>S</v>
          </cell>
          <cell r="D176" t="str">
            <v>T</v>
          </cell>
          <cell r="E176" t="str">
            <v>Mtengowambalame - Nkula</v>
          </cell>
          <cell r="F176" t="str">
            <v>S138</v>
          </cell>
          <cell r="G176">
            <v>2</v>
          </cell>
          <cell r="H176">
            <v>16.399999999999999</v>
          </cell>
          <cell r="I176" t="str">
            <v>R</v>
          </cell>
          <cell r="J176" t="str">
            <v>BLANTYRE</v>
          </cell>
          <cell r="K176">
            <v>9</v>
          </cell>
        </row>
        <row r="177">
          <cell r="A177" t="str">
            <v>RS 386</v>
          </cell>
          <cell r="B177">
            <v>208</v>
          </cell>
          <cell r="C177" t="str">
            <v>S</v>
          </cell>
          <cell r="D177" t="str">
            <v>T</v>
          </cell>
          <cell r="E177" t="str">
            <v>Nkula - Tedzani</v>
          </cell>
          <cell r="F177" t="str">
            <v>S138</v>
          </cell>
          <cell r="G177">
            <v>3</v>
          </cell>
          <cell r="H177">
            <v>10.199999999999999</v>
          </cell>
          <cell r="I177" t="str">
            <v>R</v>
          </cell>
          <cell r="J177" t="str">
            <v>BLANTYRE</v>
          </cell>
          <cell r="K177">
            <v>9</v>
          </cell>
        </row>
        <row r="178">
          <cell r="A178" t="str">
            <v>RS 388</v>
          </cell>
          <cell r="B178">
            <v>210</v>
          </cell>
          <cell r="C178" t="str">
            <v>S</v>
          </cell>
          <cell r="D178" t="str">
            <v>T</v>
          </cell>
          <cell r="E178" t="str">
            <v>Lirangwe (junction M1) - Namatumu railway crossing</v>
          </cell>
          <cell r="F178" t="str">
            <v>S139</v>
          </cell>
          <cell r="G178">
            <v>1</v>
          </cell>
          <cell r="H178">
            <v>13.1</v>
          </cell>
          <cell r="I178" t="str">
            <v>R</v>
          </cell>
          <cell r="J178" t="str">
            <v>BLANTYRE</v>
          </cell>
          <cell r="K178">
            <v>9</v>
          </cell>
        </row>
        <row r="179">
          <cell r="A179" t="str">
            <v>RS 337</v>
          </cell>
          <cell r="B179">
            <v>159</v>
          </cell>
          <cell r="C179" t="str">
            <v>S</v>
          </cell>
          <cell r="D179" t="str">
            <v>T</v>
          </cell>
          <cell r="E179" t="str">
            <v>Kasangale - Koloti River</v>
          </cell>
          <cell r="F179" t="str">
            <v>S139</v>
          </cell>
          <cell r="G179">
            <v>2</v>
          </cell>
          <cell r="H179">
            <v>19.8</v>
          </cell>
          <cell r="I179" t="str">
            <v>R</v>
          </cell>
          <cell r="J179" t="str">
            <v>ZOMBA</v>
          </cell>
          <cell r="K179">
            <v>9</v>
          </cell>
          <cell r="L179" t="str">
            <v>Changed designation from S129 to S139</v>
          </cell>
        </row>
        <row r="180">
          <cell r="A180" t="str">
            <v>RS 343</v>
          </cell>
          <cell r="B180">
            <v>165</v>
          </cell>
          <cell r="C180" t="str">
            <v>S</v>
          </cell>
          <cell r="D180" t="str">
            <v>T</v>
          </cell>
          <cell r="E180" t="str">
            <v>Koloti River - Chikwenga</v>
          </cell>
          <cell r="F180" t="str">
            <v>S139</v>
          </cell>
          <cell r="G180">
            <v>3</v>
          </cell>
          <cell r="H180">
            <v>5.0999999999999996</v>
          </cell>
          <cell r="I180" t="str">
            <v>R</v>
          </cell>
          <cell r="J180" t="str">
            <v>ZOMBA</v>
          </cell>
          <cell r="K180">
            <v>9</v>
          </cell>
        </row>
        <row r="181">
          <cell r="A181" t="str">
            <v>RS 339</v>
          </cell>
          <cell r="B181">
            <v>161</v>
          </cell>
          <cell r="C181" t="str">
            <v>S</v>
          </cell>
          <cell r="D181" t="str">
            <v>T</v>
          </cell>
          <cell r="E181" t="str">
            <v>Changalume - Kaunde</v>
          </cell>
          <cell r="F181" t="str">
            <v>S139</v>
          </cell>
          <cell r="G181">
            <v>4</v>
          </cell>
          <cell r="H181">
            <v>3.4</v>
          </cell>
          <cell r="I181" t="str">
            <v>R</v>
          </cell>
          <cell r="J181" t="str">
            <v>ZOMBA</v>
          </cell>
          <cell r="K181">
            <v>9</v>
          </cell>
          <cell r="L181" t="str">
            <v>Changed designation from S129 to S139</v>
          </cell>
        </row>
        <row r="182">
          <cell r="A182" t="str">
            <v>RS 389</v>
          </cell>
          <cell r="B182">
            <v>211</v>
          </cell>
          <cell r="C182" t="str">
            <v>S</v>
          </cell>
          <cell r="D182" t="str">
            <v>T</v>
          </cell>
          <cell r="E182" t="str">
            <v>Likangala River - Kuntiya</v>
          </cell>
          <cell r="F182" t="str">
            <v>S139</v>
          </cell>
          <cell r="G182">
            <v>5</v>
          </cell>
          <cell r="H182">
            <v>5.8</v>
          </cell>
          <cell r="I182" t="str">
            <v>R</v>
          </cell>
          <cell r="J182" t="str">
            <v>ZOMBA</v>
          </cell>
          <cell r="K182">
            <v>9</v>
          </cell>
          <cell r="L182" t="str">
            <v>Changed designation from S142 to S139</v>
          </cell>
        </row>
        <row r="183">
          <cell r="A183" t="str">
            <v>RS 390</v>
          </cell>
          <cell r="B183">
            <v>212</v>
          </cell>
          <cell r="C183" t="str">
            <v>S</v>
          </cell>
          <cell r="D183" t="str">
            <v>T</v>
          </cell>
          <cell r="E183" t="str">
            <v>Likangala River - Nkoloma</v>
          </cell>
          <cell r="F183" t="str">
            <v>S142</v>
          </cell>
          <cell r="G183">
            <v>1</v>
          </cell>
          <cell r="H183">
            <v>8.1999999999999993</v>
          </cell>
          <cell r="I183" t="str">
            <v>R</v>
          </cell>
          <cell r="J183" t="str">
            <v>ZOMBA</v>
          </cell>
          <cell r="K183">
            <v>9</v>
          </cell>
        </row>
        <row r="184">
          <cell r="A184" t="str">
            <v>RS 394</v>
          </cell>
          <cell r="B184">
            <v>216</v>
          </cell>
          <cell r="C184" t="str">
            <v>S</v>
          </cell>
          <cell r="D184" t="str">
            <v>T</v>
          </cell>
          <cell r="E184" t="str">
            <v>Ndege (Air Wing) - Mpyupyu T.C.</v>
          </cell>
          <cell r="F184" t="str">
            <v>S143</v>
          </cell>
          <cell r="G184">
            <v>2</v>
          </cell>
          <cell r="H184">
            <v>14.1</v>
          </cell>
          <cell r="I184" t="str">
            <v>F</v>
          </cell>
          <cell r="J184" t="str">
            <v>ZOMBA</v>
          </cell>
          <cell r="K184">
            <v>9</v>
          </cell>
        </row>
        <row r="185">
          <cell r="A185" t="str">
            <v>RS 392</v>
          </cell>
          <cell r="B185">
            <v>214</v>
          </cell>
          <cell r="C185" t="str">
            <v>S</v>
          </cell>
          <cell r="D185" t="str">
            <v>T</v>
          </cell>
          <cell r="E185" t="str">
            <v>Mpyupyu T.C. - Kachulu Habour</v>
          </cell>
          <cell r="F185" t="str">
            <v>S143</v>
          </cell>
          <cell r="G185">
            <v>3</v>
          </cell>
          <cell r="H185">
            <v>9.4</v>
          </cell>
          <cell r="I185" t="str">
            <v>F</v>
          </cell>
          <cell r="J185" t="str">
            <v>ZOMBA</v>
          </cell>
          <cell r="K185">
            <v>9</v>
          </cell>
        </row>
        <row r="186">
          <cell r="A186" t="str">
            <v>RS 398</v>
          </cell>
          <cell r="B186">
            <v>220</v>
          </cell>
          <cell r="C186" t="str">
            <v>S</v>
          </cell>
          <cell r="D186" t="str">
            <v>T</v>
          </cell>
          <cell r="E186" t="str">
            <v>Ndege (junction S143) - Jali</v>
          </cell>
          <cell r="F186" t="str">
            <v>S144</v>
          </cell>
          <cell r="G186">
            <v>1</v>
          </cell>
          <cell r="H186">
            <v>16.899999999999999</v>
          </cell>
          <cell r="I186" t="str">
            <v>F</v>
          </cell>
          <cell r="J186" t="str">
            <v>ZOMBA</v>
          </cell>
          <cell r="K186">
            <v>9</v>
          </cell>
        </row>
        <row r="187">
          <cell r="A187" t="str">
            <v>RS 397</v>
          </cell>
          <cell r="B187">
            <v>219</v>
          </cell>
          <cell r="C187" t="str">
            <v>S</v>
          </cell>
          <cell r="D187" t="str">
            <v>T</v>
          </cell>
          <cell r="E187" t="str">
            <v>Jali - Namadzi River (Mlamwa)</v>
          </cell>
          <cell r="F187" t="str">
            <v>S144</v>
          </cell>
          <cell r="G187">
            <v>2</v>
          </cell>
          <cell r="H187">
            <v>15.8</v>
          </cell>
          <cell r="I187" t="str">
            <v>F</v>
          </cell>
          <cell r="J187" t="str">
            <v>ZOMBA</v>
          </cell>
          <cell r="K187">
            <v>9</v>
          </cell>
        </row>
        <row r="188">
          <cell r="A188" t="str">
            <v>RS 395</v>
          </cell>
          <cell r="B188">
            <v>217</v>
          </cell>
          <cell r="C188" t="str">
            <v>S</v>
          </cell>
          <cell r="D188" t="str">
            <v>T</v>
          </cell>
          <cell r="E188" t="str">
            <v>Namadzi River (Mlamwa) - Mumbuwa</v>
          </cell>
          <cell r="F188" t="str">
            <v>S144</v>
          </cell>
          <cell r="G188">
            <v>3</v>
          </cell>
          <cell r="H188">
            <v>8.8000000000000007</v>
          </cell>
          <cell r="I188" t="str">
            <v>F</v>
          </cell>
          <cell r="J188" t="str">
            <v>ZOMBA</v>
          </cell>
          <cell r="K188">
            <v>9</v>
          </cell>
        </row>
        <row r="189">
          <cell r="A189" t="str">
            <v>RS 396</v>
          </cell>
          <cell r="B189">
            <v>218</v>
          </cell>
          <cell r="C189" t="str">
            <v>S</v>
          </cell>
          <cell r="D189" t="str">
            <v>T</v>
          </cell>
          <cell r="E189" t="str">
            <v>Mumbuwa - Phalombe (junction S147)</v>
          </cell>
          <cell r="F189" t="str">
            <v>S144</v>
          </cell>
          <cell r="G189">
            <v>4</v>
          </cell>
          <cell r="H189">
            <v>23.6</v>
          </cell>
          <cell r="I189" t="str">
            <v>F</v>
          </cell>
          <cell r="J189" t="str">
            <v>PHALOMBE</v>
          </cell>
          <cell r="K189">
            <v>9</v>
          </cell>
        </row>
        <row r="190">
          <cell r="A190" t="str">
            <v>RS 401</v>
          </cell>
          <cell r="B190">
            <v>223</v>
          </cell>
          <cell r="C190" t="str">
            <v>S</v>
          </cell>
          <cell r="D190" t="str">
            <v>T</v>
          </cell>
          <cell r="E190" t="str">
            <v>Mikochi - Malangalanga River</v>
          </cell>
          <cell r="F190" t="str">
            <v>S145</v>
          </cell>
          <cell r="G190">
            <v>1</v>
          </cell>
          <cell r="H190">
            <v>4.4000000000000004</v>
          </cell>
          <cell r="I190" t="str">
            <v>R</v>
          </cell>
          <cell r="J190" t="str">
            <v>CHIRADZULU</v>
          </cell>
          <cell r="K190">
            <v>9</v>
          </cell>
        </row>
        <row r="191">
          <cell r="A191" t="str">
            <v>RS 405</v>
          </cell>
          <cell r="B191">
            <v>227</v>
          </cell>
          <cell r="C191" t="str">
            <v>S</v>
          </cell>
          <cell r="D191" t="str">
            <v>T</v>
          </cell>
          <cell r="E191" t="str">
            <v>Malangalanga River - Milepa</v>
          </cell>
          <cell r="F191" t="str">
            <v>S145</v>
          </cell>
          <cell r="G191">
            <v>2</v>
          </cell>
          <cell r="H191">
            <v>11.5</v>
          </cell>
          <cell r="I191" t="str">
            <v>F</v>
          </cell>
          <cell r="J191" t="str">
            <v>CHIRADZULU</v>
          </cell>
          <cell r="K191">
            <v>9</v>
          </cell>
        </row>
        <row r="192">
          <cell r="A192" t="str">
            <v>RS 402</v>
          </cell>
          <cell r="B192">
            <v>224</v>
          </cell>
          <cell r="C192" t="str">
            <v>S</v>
          </cell>
          <cell r="D192" t="str">
            <v>T</v>
          </cell>
          <cell r="E192" t="str">
            <v>Milepa - Sangawa</v>
          </cell>
          <cell r="F192" t="str">
            <v>S145</v>
          </cell>
          <cell r="G192">
            <v>3</v>
          </cell>
          <cell r="H192">
            <v>3</v>
          </cell>
          <cell r="I192" t="str">
            <v>F</v>
          </cell>
          <cell r="J192" t="str">
            <v>CHIRADZULU</v>
          </cell>
          <cell r="K192">
            <v>9</v>
          </cell>
        </row>
        <row r="193">
          <cell r="A193" t="str">
            <v>RS 404</v>
          </cell>
          <cell r="B193">
            <v>226</v>
          </cell>
          <cell r="C193" t="str">
            <v>S</v>
          </cell>
          <cell r="D193" t="str">
            <v>T</v>
          </cell>
          <cell r="E193" t="str">
            <v>Sangawa - Phalombe River</v>
          </cell>
          <cell r="F193" t="str">
            <v>S145</v>
          </cell>
          <cell r="G193">
            <v>4</v>
          </cell>
          <cell r="H193">
            <v>18.899999999999999</v>
          </cell>
          <cell r="I193" t="str">
            <v>F</v>
          </cell>
          <cell r="J193" t="str">
            <v>PHALOMBE</v>
          </cell>
          <cell r="K193">
            <v>9</v>
          </cell>
        </row>
        <row r="194">
          <cell r="A194" t="str">
            <v>RS 403</v>
          </cell>
          <cell r="B194">
            <v>225</v>
          </cell>
          <cell r="C194" t="str">
            <v>S</v>
          </cell>
          <cell r="D194" t="str">
            <v>T</v>
          </cell>
          <cell r="E194" t="str">
            <v>Phalombe River - Namangani</v>
          </cell>
          <cell r="F194" t="str">
            <v>S145</v>
          </cell>
          <cell r="G194">
            <v>5</v>
          </cell>
          <cell r="H194">
            <v>10.3</v>
          </cell>
          <cell r="I194" t="str">
            <v>R</v>
          </cell>
          <cell r="J194" t="str">
            <v>PHALOMBE</v>
          </cell>
          <cell r="K194">
            <v>9</v>
          </cell>
        </row>
        <row r="195">
          <cell r="A195" t="str">
            <v>RS 400</v>
          </cell>
          <cell r="B195">
            <v>222</v>
          </cell>
          <cell r="C195" t="str">
            <v>S</v>
          </cell>
          <cell r="D195" t="str">
            <v>T</v>
          </cell>
          <cell r="E195" t="str">
            <v>Namangani - Holo</v>
          </cell>
          <cell r="F195" t="str">
            <v>S145</v>
          </cell>
          <cell r="G195">
            <v>6</v>
          </cell>
          <cell r="H195">
            <v>7.3</v>
          </cell>
          <cell r="I195" t="str">
            <v>F</v>
          </cell>
          <cell r="J195" t="str">
            <v>PHALOMBE</v>
          </cell>
          <cell r="K195">
            <v>9</v>
          </cell>
        </row>
        <row r="196">
          <cell r="A196" t="str">
            <v>RS 399</v>
          </cell>
          <cell r="B196">
            <v>221</v>
          </cell>
          <cell r="C196" t="str">
            <v>S</v>
          </cell>
          <cell r="D196" t="str">
            <v>T</v>
          </cell>
          <cell r="E196" t="str">
            <v>Holo - Kalinde (junction S147)</v>
          </cell>
          <cell r="F196" t="str">
            <v>S145</v>
          </cell>
          <cell r="G196">
            <v>7</v>
          </cell>
          <cell r="H196">
            <v>10.4</v>
          </cell>
          <cell r="I196" t="str">
            <v>F</v>
          </cell>
          <cell r="J196" t="str">
            <v>PHALOMBE</v>
          </cell>
          <cell r="K196">
            <v>9</v>
          </cell>
        </row>
        <row r="197">
          <cell r="A197" t="str">
            <v>RS 409</v>
          </cell>
          <cell r="B197">
            <v>231</v>
          </cell>
          <cell r="C197" t="str">
            <v>S</v>
          </cell>
          <cell r="D197" t="str">
            <v>T</v>
          </cell>
          <cell r="E197" t="str">
            <v>Mbulumbuzi (junction M3) - Mikochi</v>
          </cell>
          <cell r="F197" t="str">
            <v>S146</v>
          </cell>
          <cell r="G197">
            <v>1</v>
          </cell>
          <cell r="H197">
            <v>8.5</v>
          </cell>
          <cell r="I197" t="str">
            <v>R</v>
          </cell>
          <cell r="J197" t="str">
            <v>CHIRADZULU</v>
          </cell>
          <cell r="K197">
            <v>9</v>
          </cell>
        </row>
        <row r="198">
          <cell r="A198" t="str">
            <v>RS 408</v>
          </cell>
          <cell r="B198">
            <v>230</v>
          </cell>
          <cell r="C198" t="str">
            <v>S</v>
          </cell>
          <cell r="D198" t="str">
            <v>T</v>
          </cell>
          <cell r="E198" t="str">
            <v>Mikochi - Chiradzulu</v>
          </cell>
          <cell r="F198" t="str">
            <v>S146</v>
          </cell>
          <cell r="G198">
            <v>2</v>
          </cell>
          <cell r="H198">
            <v>2.5</v>
          </cell>
          <cell r="I198" t="str">
            <v>R</v>
          </cell>
          <cell r="J198" t="str">
            <v>CHIRADZULU</v>
          </cell>
          <cell r="K198">
            <v>9</v>
          </cell>
        </row>
        <row r="199">
          <cell r="A199" t="str">
            <v>RS 418</v>
          </cell>
          <cell r="B199">
            <v>240</v>
          </cell>
          <cell r="C199" t="str">
            <v>S</v>
          </cell>
          <cell r="D199" t="str">
            <v>T</v>
          </cell>
          <cell r="E199" t="str">
            <v>Mandawala - Nambazo</v>
          </cell>
          <cell r="F199" t="str">
            <v>S147</v>
          </cell>
          <cell r="G199">
            <v>1</v>
          </cell>
          <cell r="H199">
            <v>4.0999999999999996</v>
          </cell>
          <cell r="I199" t="str">
            <v>F</v>
          </cell>
          <cell r="J199" t="str">
            <v>MULANJE</v>
          </cell>
          <cell r="K199">
            <v>9</v>
          </cell>
        </row>
        <row r="200">
          <cell r="A200" t="str">
            <v>RS 416</v>
          </cell>
          <cell r="B200">
            <v>238</v>
          </cell>
          <cell r="C200" t="str">
            <v>S</v>
          </cell>
          <cell r="D200" t="str">
            <v>T</v>
          </cell>
          <cell r="E200" t="str">
            <v>Nambazo - Nambera</v>
          </cell>
          <cell r="F200" t="str">
            <v>S147</v>
          </cell>
          <cell r="G200">
            <v>2</v>
          </cell>
          <cell r="H200">
            <v>10.9</v>
          </cell>
          <cell r="I200" t="str">
            <v>F</v>
          </cell>
          <cell r="J200" t="str">
            <v>PHALOMBE</v>
          </cell>
          <cell r="K200">
            <v>9</v>
          </cell>
        </row>
        <row r="201">
          <cell r="A201" t="str">
            <v>RS 414</v>
          </cell>
          <cell r="B201">
            <v>236</v>
          </cell>
          <cell r="C201" t="str">
            <v>S</v>
          </cell>
          <cell r="D201" t="str">
            <v>T</v>
          </cell>
          <cell r="E201" t="str">
            <v>Nambera - Kalinde</v>
          </cell>
          <cell r="F201" t="str">
            <v>S147</v>
          </cell>
          <cell r="G201">
            <v>3</v>
          </cell>
          <cell r="H201">
            <v>6.2</v>
          </cell>
          <cell r="I201" t="str">
            <v>F</v>
          </cell>
          <cell r="J201" t="str">
            <v>PHALOMBE</v>
          </cell>
          <cell r="K201">
            <v>9</v>
          </cell>
        </row>
        <row r="202">
          <cell r="A202" t="str">
            <v>RS 412</v>
          </cell>
          <cell r="B202">
            <v>234</v>
          </cell>
          <cell r="C202" t="str">
            <v>S</v>
          </cell>
          <cell r="D202" t="str">
            <v>T</v>
          </cell>
          <cell r="E202" t="str">
            <v>Kalinde - Singano</v>
          </cell>
          <cell r="F202" t="str">
            <v>S147</v>
          </cell>
          <cell r="G202">
            <v>4</v>
          </cell>
          <cell r="H202">
            <v>5</v>
          </cell>
          <cell r="I202" t="str">
            <v>F</v>
          </cell>
          <cell r="J202" t="str">
            <v>PHALOMBE</v>
          </cell>
          <cell r="K202">
            <v>9</v>
          </cell>
        </row>
        <row r="203">
          <cell r="A203" t="str">
            <v>RS 419</v>
          </cell>
          <cell r="B203">
            <v>241</v>
          </cell>
          <cell r="C203" t="str">
            <v>S</v>
          </cell>
          <cell r="D203" t="str">
            <v>T</v>
          </cell>
          <cell r="E203" t="str">
            <v>Singano - Phalombe</v>
          </cell>
          <cell r="F203" t="str">
            <v>S147</v>
          </cell>
          <cell r="G203">
            <v>5</v>
          </cell>
          <cell r="H203">
            <v>17.100000000000001</v>
          </cell>
          <cell r="I203" t="str">
            <v>R</v>
          </cell>
          <cell r="J203" t="str">
            <v>PHALOMBE</v>
          </cell>
          <cell r="K203">
            <v>9</v>
          </cell>
        </row>
        <row r="204">
          <cell r="A204" t="str">
            <v>RS 413</v>
          </cell>
          <cell r="B204">
            <v>235</v>
          </cell>
          <cell r="C204" t="str">
            <v>S</v>
          </cell>
          <cell r="D204" t="str">
            <v>T</v>
          </cell>
          <cell r="E204" t="str">
            <v>Bwanaisa - Thuchila River</v>
          </cell>
          <cell r="F204" t="str">
            <v>S147</v>
          </cell>
          <cell r="G204">
            <v>6</v>
          </cell>
          <cell r="H204">
            <v>10.7</v>
          </cell>
          <cell r="I204" t="str">
            <v>F</v>
          </cell>
          <cell r="J204" t="str">
            <v>PHALOMBE</v>
          </cell>
          <cell r="K204">
            <v>9</v>
          </cell>
        </row>
        <row r="205">
          <cell r="A205" t="str">
            <v>RS 415</v>
          </cell>
          <cell r="B205">
            <v>237</v>
          </cell>
          <cell r="C205" t="str">
            <v>S</v>
          </cell>
          <cell r="D205" t="str">
            <v>T</v>
          </cell>
          <cell r="E205" t="str">
            <v>Thuchila River - Liwamba Village</v>
          </cell>
          <cell r="F205" t="str">
            <v>S147</v>
          </cell>
          <cell r="G205">
            <v>7</v>
          </cell>
          <cell r="H205">
            <v>13.3</v>
          </cell>
          <cell r="I205" t="str">
            <v>F</v>
          </cell>
          <cell r="J205" t="str">
            <v>MULANJE</v>
          </cell>
          <cell r="K205">
            <v>9</v>
          </cell>
        </row>
        <row r="206">
          <cell r="A206" t="str">
            <v>RS 411</v>
          </cell>
          <cell r="B206">
            <v>233</v>
          </cell>
          <cell r="C206" t="str">
            <v>S</v>
          </cell>
          <cell r="D206" t="str">
            <v>T</v>
          </cell>
          <cell r="E206" t="str">
            <v>Liwamba Village - Fundisi Cross (junction M4)</v>
          </cell>
          <cell r="F206" t="str">
            <v>S147</v>
          </cell>
          <cell r="G206">
            <v>8</v>
          </cell>
          <cell r="H206">
            <v>11.3</v>
          </cell>
          <cell r="I206" t="str">
            <v>F</v>
          </cell>
          <cell r="J206" t="str">
            <v>PHALOMBE</v>
          </cell>
          <cell r="K206">
            <v>9</v>
          </cell>
        </row>
        <row r="207">
          <cell r="A207" t="str">
            <v>RS 420</v>
          </cell>
          <cell r="B207">
            <v>242</v>
          </cell>
          <cell r="C207" t="str">
            <v>S</v>
          </cell>
          <cell r="D207" t="str">
            <v>T</v>
          </cell>
          <cell r="E207" t="str">
            <v>Liwamba Village - Chitakale</v>
          </cell>
          <cell r="F207" t="str">
            <v>S148</v>
          </cell>
          <cell r="G207">
            <v>1</v>
          </cell>
          <cell r="H207">
            <v>12</v>
          </cell>
          <cell r="I207" t="str">
            <v>H</v>
          </cell>
          <cell r="J207" t="str">
            <v>MULANJE</v>
          </cell>
          <cell r="K207">
            <v>9</v>
          </cell>
        </row>
        <row r="208">
          <cell r="A208" t="str">
            <v>RS 425</v>
          </cell>
          <cell r="B208">
            <v>247</v>
          </cell>
          <cell r="C208" t="str">
            <v>S</v>
          </cell>
          <cell r="D208" t="str">
            <v>T</v>
          </cell>
          <cell r="E208" t="str">
            <v>Chonde (junction M2) - Msikawanjala</v>
          </cell>
          <cell r="F208" t="str">
            <v>S149</v>
          </cell>
          <cell r="G208">
            <v>1</v>
          </cell>
          <cell r="H208">
            <v>9.1999999999999993</v>
          </cell>
          <cell r="I208" t="str">
            <v>R</v>
          </cell>
          <cell r="J208" t="str">
            <v>MULANJE</v>
          </cell>
          <cell r="K208">
            <v>9</v>
          </cell>
        </row>
        <row r="209">
          <cell r="A209" t="str">
            <v>RS 422</v>
          </cell>
          <cell r="B209">
            <v>244</v>
          </cell>
          <cell r="C209" t="str">
            <v>S</v>
          </cell>
          <cell r="D209" t="str">
            <v>T</v>
          </cell>
          <cell r="E209" t="str">
            <v>Msikawanjala - Mitombozi</v>
          </cell>
          <cell r="F209" t="str">
            <v>S149</v>
          </cell>
          <cell r="G209">
            <v>2</v>
          </cell>
          <cell r="H209">
            <v>11.4</v>
          </cell>
          <cell r="I209" t="str">
            <v>F</v>
          </cell>
          <cell r="J209" t="str">
            <v>MULANJE</v>
          </cell>
          <cell r="K209">
            <v>9</v>
          </cell>
        </row>
        <row r="210">
          <cell r="A210" t="str">
            <v>RS 421</v>
          </cell>
          <cell r="B210">
            <v>243</v>
          </cell>
          <cell r="C210" t="str">
            <v>S</v>
          </cell>
          <cell r="D210" t="str">
            <v>T</v>
          </cell>
          <cell r="E210" t="str">
            <v>Mitombozi - Thanguzi River</v>
          </cell>
          <cell r="F210" t="str">
            <v>S149</v>
          </cell>
          <cell r="G210">
            <v>3</v>
          </cell>
          <cell r="H210">
            <v>1</v>
          </cell>
          <cell r="I210" t="str">
            <v>R</v>
          </cell>
          <cell r="J210" t="str">
            <v>MULANJE</v>
          </cell>
          <cell r="K210">
            <v>9</v>
          </cell>
        </row>
        <row r="211">
          <cell r="A211" t="str">
            <v>RS 426</v>
          </cell>
          <cell r="B211">
            <v>248</v>
          </cell>
          <cell r="C211" t="str">
            <v>S</v>
          </cell>
          <cell r="D211" t="str">
            <v>T</v>
          </cell>
          <cell r="E211" t="str">
            <v>Thanguzi River - Matambi</v>
          </cell>
          <cell r="F211" t="str">
            <v>S149</v>
          </cell>
          <cell r="G211">
            <v>4</v>
          </cell>
          <cell r="H211">
            <v>12.6</v>
          </cell>
          <cell r="I211" t="str">
            <v>F</v>
          </cell>
          <cell r="J211" t="str">
            <v>MULANJE</v>
          </cell>
          <cell r="K211">
            <v>9</v>
          </cell>
        </row>
        <row r="212">
          <cell r="A212" t="str">
            <v>RS 423</v>
          </cell>
          <cell r="B212">
            <v>245</v>
          </cell>
          <cell r="C212" t="str">
            <v>S</v>
          </cell>
          <cell r="D212" t="str">
            <v>T</v>
          </cell>
          <cell r="E212" t="str">
            <v>Matambi - Mimosa (junction M2)</v>
          </cell>
          <cell r="F212" t="str">
            <v>S149</v>
          </cell>
          <cell r="G212">
            <v>5</v>
          </cell>
          <cell r="H212">
            <v>9.8000000000000007</v>
          </cell>
          <cell r="I212" t="str">
            <v>R</v>
          </cell>
          <cell r="J212" t="str">
            <v>MULANJE</v>
          </cell>
          <cell r="K212">
            <v>9</v>
          </cell>
        </row>
        <row r="213">
          <cell r="A213" t="str">
            <v>RS 430</v>
          </cell>
          <cell r="B213">
            <v>252</v>
          </cell>
          <cell r="C213" t="str">
            <v>S</v>
          </cell>
          <cell r="D213" t="str">
            <v>T</v>
          </cell>
          <cell r="E213" t="str">
            <v>Luchenza (junction M2) - Namilonje</v>
          </cell>
          <cell r="F213" t="str">
            <v>S150</v>
          </cell>
          <cell r="G213">
            <v>1</v>
          </cell>
          <cell r="H213">
            <v>9</v>
          </cell>
          <cell r="I213" t="str">
            <v>R</v>
          </cell>
          <cell r="J213" t="str">
            <v>THYOLO</v>
          </cell>
          <cell r="K213">
            <v>9</v>
          </cell>
        </row>
        <row r="214">
          <cell r="A214" t="str">
            <v>RS 428</v>
          </cell>
          <cell r="B214">
            <v>250</v>
          </cell>
          <cell r="C214" t="str">
            <v>S</v>
          </cell>
          <cell r="D214" t="str">
            <v>T</v>
          </cell>
          <cell r="E214" t="str">
            <v>Namilonje - Goliati</v>
          </cell>
          <cell r="F214" t="str">
            <v>S150</v>
          </cell>
          <cell r="G214">
            <v>2</v>
          </cell>
          <cell r="H214">
            <v>8.1</v>
          </cell>
          <cell r="I214" t="str">
            <v>R</v>
          </cell>
          <cell r="J214" t="str">
            <v>THYOLO</v>
          </cell>
          <cell r="K214">
            <v>9</v>
          </cell>
        </row>
        <row r="215">
          <cell r="A215" t="str">
            <v>RS 427</v>
          </cell>
          <cell r="B215">
            <v>249</v>
          </cell>
          <cell r="C215" t="str">
            <v>S</v>
          </cell>
          <cell r="D215" t="str">
            <v>T</v>
          </cell>
          <cell r="E215" t="str">
            <v>Goliati - Nansadi</v>
          </cell>
          <cell r="F215" t="str">
            <v>S150</v>
          </cell>
          <cell r="G215">
            <v>3</v>
          </cell>
          <cell r="H215">
            <v>6.5</v>
          </cell>
          <cell r="I215" t="str">
            <v>R</v>
          </cell>
          <cell r="J215" t="str">
            <v>THYOLO</v>
          </cell>
          <cell r="K215">
            <v>9</v>
          </cell>
        </row>
        <row r="216">
          <cell r="A216" t="str">
            <v>RS 429</v>
          </cell>
          <cell r="B216">
            <v>251</v>
          </cell>
          <cell r="C216" t="str">
            <v>S</v>
          </cell>
          <cell r="D216" t="str">
            <v>T</v>
          </cell>
          <cell r="E216" t="str">
            <v>Nansadi - Mikolongwe (junction M4)</v>
          </cell>
          <cell r="F216" t="str">
            <v>S150</v>
          </cell>
          <cell r="G216">
            <v>4</v>
          </cell>
          <cell r="H216">
            <v>5.7</v>
          </cell>
          <cell r="I216" t="str">
            <v>R</v>
          </cell>
          <cell r="J216" t="str">
            <v>THYOLO</v>
          </cell>
          <cell r="K216">
            <v>9</v>
          </cell>
        </row>
        <row r="217">
          <cell r="A217" t="str">
            <v>RS 433</v>
          </cell>
          <cell r="B217">
            <v>255</v>
          </cell>
          <cell r="C217" t="str">
            <v>S</v>
          </cell>
          <cell r="D217" t="str">
            <v>T</v>
          </cell>
          <cell r="E217" t="str">
            <v>Thyolo (junction M2) - Nawadzi River Bridge</v>
          </cell>
          <cell r="F217" t="str">
            <v>S151</v>
          </cell>
          <cell r="G217">
            <v>1</v>
          </cell>
          <cell r="H217">
            <v>5.0999999999999996</v>
          </cell>
          <cell r="I217" t="str">
            <v>R</v>
          </cell>
          <cell r="J217" t="str">
            <v>THYOLO</v>
          </cell>
          <cell r="K217">
            <v>9</v>
          </cell>
        </row>
        <row r="218">
          <cell r="A218" t="str">
            <v>RS 431</v>
          </cell>
          <cell r="B218">
            <v>253</v>
          </cell>
          <cell r="C218" t="str">
            <v>S</v>
          </cell>
          <cell r="D218" t="str">
            <v>T</v>
          </cell>
          <cell r="E218" t="str">
            <v>Nawadzi River Bridge - Makwasa</v>
          </cell>
          <cell r="F218" t="str">
            <v>S151</v>
          </cell>
          <cell r="G218">
            <v>2</v>
          </cell>
          <cell r="H218">
            <v>16.5</v>
          </cell>
          <cell r="I218" t="str">
            <v>H</v>
          </cell>
          <cell r="J218" t="str">
            <v>THYOLO</v>
          </cell>
          <cell r="K218">
            <v>9</v>
          </cell>
        </row>
        <row r="219">
          <cell r="A219" t="str">
            <v>RS 434</v>
          </cell>
          <cell r="B219">
            <v>256</v>
          </cell>
          <cell r="C219" t="str">
            <v>S</v>
          </cell>
          <cell r="D219" t="str">
            <v>T</v>
          </cell>
          <cell r="E219" t="str">
            <v>Makwasa - Chinzama</v>
          </cell>
          <cell r="F219" t="str">
            <v>S151</v>
          </cell>
          <cell r="G219">
            <v>3</v>
          </cell>
          <cell r="H219">
            <v>18</v>
          </cell>
          <cell r="I219" t="str">
            <v>H</v>
          </cell>
          <cell r="J219" t="str">
            <v>THYOLO</v>
          </cell>
          <cell r="K219">
            <v>9</v>
          </cell>
        </row>
        <row r="220">
          <cell r="A220" t="str">
            <v>RS 432</v>
          </cell>
          <cell r="B220">
            <v>254</v>
          </cell>
          <cell r="C220" t="str">
            <v>S</v>
          </cell>
          <cell r="D220" t="str">
            <v>T</v>
          </cell>
          <cell r="E220" t="str">
            <v>Chinzama - Thekerani</v>
          </cell>
          <cell r="F220" t="str">
            <v>S151</v>
          </cell>
          <cell r="G220">
            <v>4</v>
          </cell>
          <cell r="H220">
            <v>14.8</v>
          </cell>
          <cell r="I220" t="str">
            <v>H</v>
          </cell>
          <cell r="J220" t="str">
            <v>THYOLO</v>
          </cell>
          <cell r="K220">
            <v>10</v>
          </cell>
        </row>
        <row r="221">
          <cell r="A221" t="str">
            <v>RS 437</v>
          </cell>
          <cell r="B221">
            <v>259</v>
          </cell>
          <cell r="C221" t="str">
            <v>S</v>
          </cell>
          <cell r="D221" t="str">
            <v>T</v>
          </cell>
          <cell r="E221" t="str">
            <v>Thekerani - Chiphwanya</v>
          </cell>
          <cell r="F221" t="str">
            <v>S151</v>
          </cell>
          <cell r="G221">
            <v>5</v>
          </cell>
          <cell r="H221">
            <v>8.6999999999999993</v>
          </cell>
          <cell r="I221" t="str">
            <v>H</v>
          </cell>
          <cell r="J221" t="str">
            <v>THYOLO</v>
          </cell>
          <cell r="K221">
            <v>10</v>
          </cell>
        </row>
        <row r="222">
          <cell r="A222" t="str">
            <v>RS 442</v>
          </cell>
          <cell r="B222">
            <v>264</v>
          </cell>
          <cell r="C222" t="str">
            <v>S</v>
          </cell>
          <cell r="D222" t="str">
            <v>T</v>
          </cell>
          <cell r="E222" t="str">
            <v>Chiphwanya - Mlambala River</v>
          </cell>
          <cell r="F222" t="str">
            <v>S151</v>
          </cell>
          <cell r="G222">
            <v>6</v>
          </cell>
          <cell r="H222">
            <v>9.3000000000000007</v>
          </cell>
          <cell r="I222" t="str">
            <v>R</v>
          </cell>
          <cell r="J222" t="str">
            <v>NSANJE</v>
          </cell>
          <cell r="K222">
            <v>10</v>
          </cell>
          <cell r="L222" t="str">
            <v>Changed designation from S156 to S151</v>
          </cell>
        </row>
        <row r="223">
          <cell r="A223" t="str">
            <v>RS 440</v>
          </cell>
          <cell r="B223">
            <v>262</v>
          </cell>
          <cell r="C223" t="str">
            <v>S</v>
          </cell>
          <cell r="D223" t="str">
            <v>T</v>
          </cell>
          <cell r="E223" t="str">
            <v>Thabwa (junction M1) - Mapelera River</v>
          </cell>
          <cell r="F223" t="str">
            <v>S152</v>
          </cell>
          <cell r="G223">
            <v>1</v>
          </cell>
          <cell r="H223">
            <v>10</v>
          </cell>
          <cell r="I223" t="str">
            <v>R</v>
          </cell>
          <cell r="J223" t="str">
            <v>CHIKWAWA</v>
          </cell>
          <cell r="K223">
            <v>9</v>
          </cell>
        </row>
        <row r="224">
          <cell r="A224" t="str">
            <v>RS 441</v>
          </cell>
          <cell r="B224">
            <v>263</v>
          </cell>
          <cell r="C224" t="str">
            <v>S</v>
          </cell>
          <cell r="D224" t="str">
            <v>T</v>
          </cell>
          <cell r="E224" t="str">
            <v>Maperela River - Livunzi River</v>
          </cell>
          <cell r="F224" t="str">
            <v>S152</v>
          </cell>
          <cell r="G224">
            <v>2</v>
          </cell>
          <cell r="H224">
            <v>16.2</v>
          </cell>
          <cell r="I224" t="str">
            <v>R</v>
          </cell>
          <cell r="J224" t="str">
            <v>CHIKWAWA</v>
          </cell>
          <cell r="K224">
            <v>9</v>
          </cell>
        </row>
        <row r="225">
          <cell r="A225" t="str">
            <v>RS 438</v>
          </cell>
          <cell r="B225">
            <v>260</v>
          </cell>
          <cell r="C225" t="str">
            <v>S</v>
          </cell>
          <cell r="D225" t="str">
            <v>T</v>
          </cell>
          <cell r="E225" t="str">
            <v>Livunzu River - Milole River</v>
          </cell>
          <cell r="F225" t="str">
            <v>S152</v>
          </cell>
          <cell r="G225">
            <v>3</v>
          </cell>
          <cell r="H225">
            <v>19.100000000000001</v>
          </cell>
          <cell r="I225" t="str">
            <v>H</v>
          </cell>
          <cell r="J225" t="str">
            <v>CHIKWAWA</v>
          </cell>
          <cell r="K225">
            <v>9</v>
          </cell>
        </row>
        <row r="226">
          <cell r="A226" t="str">
            <v>RS 439</v>
          </cell>
          <cell r="B226">
            <v>261</v>
          </cell>
          <cell r="C226" t="str">
            <v>S</v>
          </cell>
          <cell r="D226" t="str">
            <v>T</v>
          </cell>
          <cell r="E226" t="str">
            <v>Milole River - Mlambala</v>
          </cell>
          <cell r="F226" t="str">
            <v>S152</v>
          </cell>
          <cell r="G226">
            <v>4</v>
          </cell>
          <cell r="H226">
            <v>14.5</v>
          </cell>
          <cell r="I226" t="str">
            <v>R</v>
          </cell>
          <cell r="J226" t="str">
            <v>CHIKWAWA</v>
          </cell>
          <cell r="K226">
            <v>10</v>
          </cell>
        </row>
        <row r="227">
          <cell r="A227" t="str">
            <v>RS 332</v>
          </cell>
          <cell r="B227">
            <v>154</v>
          </cell>
          <cell r="C227" t="str">
            <v>S</v>
          </cell>
          <cell r="D227" t="str">
            <v>T</v>
          </cell>
          <cell r="E227" t="str">
            <v>Mwona - Makhanga</v>
          </cell>
          <cell r="F227" t="str">
            <v>S152</v>
          </cell>
          <cell r="G227">
            <v>5</v>
          </cell>
          <cell r="H227">
            <v>12</v>
          </cell>
          <cell r="I227" t="str">
            <v>F</v>
          </cell>
          <cell r="J227" t="str">
            <v>NSANJE</v>
          </cell>
          <cell r="K227">
            <v>10</v>
          </cell>
          <cell r="L227" t="str">
            <v>Changed designation from M9 to S152</v>
          </cell>
        </row>
        <row r="228">
          <cell r="A228" t="str">
            <v>RS 436</v>
          </cell>
          <cell r="B228">
            <v>258</v>
          </cell>
          <cell r="C228" t="str">
            <v>S</v>
          </cell>
          <cell r="D228" t="str">
            <v>T</v>
          </cell>
          <cell r="E228" t="str">
            <v>Makhanga - Bangula (junction M1)</v>
          </cell>
          <cell r="F228" t="str">
            <v>S152</v>
          </cell>
          <cell r="G228">
            <v>6</v>
          </cell>
          <cell r="H228">
            <v>9</v>
          </cell>
          <cell r="I228" t="str">
            <v>H</v>
          </cell>
          <cell r="J228" t="str">
            <v>NSANJE</v>
          </cell>
          <cell r="K228">
            <v>10</v>
          </cell>
          <cell r="L228" t="str">
            <v>Changed designation from S151 to S152</v>
          </cell>
        </row>
        <row r="229">
          <cell r="A229" t="str">
            <v>RS 417</v>
          </cell>
          <cell r="B229">
            <v>239</v>
          </cell>
          <cell r="C229" t="str">
            <v>S</v>
          </cell>
          <cell r="D229" t="str">
            <v>T</v>
          </cell>
          <cell r="E229" t="str">
            <v>Kuchawe - Zomba City Boundary (down road)</v>
          </cell>
          <cell r="F229" t="str">
            <v>UD</v>
          </cell>
          <cell r="G229">
            <v>6</v>
          </cell>
          <cell r="H229">
            <v>5.9</v>
          </cell>
          <cell r="I229" t="str">
            <v>H</v>
          </cell>
          <cell r="J229" t="str">
            <v xml:space="preserve">ZOMBA </v>
          </cell>
          <cell r="K229" t="str">
            <v>C</v>
          </cell>
        </row>
        <row r="230">
          <cell r="A230" t="str">
            <v>RS 850</v>
          </cell>
          <cell r="B230" t="str">
            <v>n.a</v>
          </cell>
          <cell r="C230" t="str">
            <v>N</v>
          </cell>
          <cell r="D230" t="str">
            <v>Urban</v>
          </cell>
          <cell r="E230" t="str">
            <v>Viphya Drive (Mazuzu Hotel to end)</v>
          </cell>
          <cell r="F230" t="str">
            <v>Urban</v>
          </cell>
          <cell r="G230" t="str">
            <v>U</v>
          </cell>
          <cell r="H230">
            <v>1.5</v>
          </cell>
          <cell r="J230" t="str">
            <v>MUZUZU</v>
          </cell>
          <cell r="K230" t="str">
            <v>C</v>
          </cell>
          <cell r="L230" t="str">
            <v>Part of origional RS 148</v>
          </cell>
        </row>
        <row r="231">
          <cell r="A231" t="str">
            <v>RS 150</v>
          </cell>
          <cell r="B231">
            <v>150</v>
          </cell>
          <cell r="C231" t="str">
            <v>N</v>
          </cell>
          <cell r="D231" t="str">
            <v>U</v>
          </cell>
          <cell r="E231" t="str">
            <v>Viphya Drive - via Prison - Kamuzu Drive</v>
          </cell>
          <cell r="F231" t="str">
            <v>Urban</v>
          </cell>
          <cell r="G231">
            <v>27</v>
          </cell>
          <cell r="H231">
            <v>2</v>
          </cell>
          <cell r="I231" t="str">
            <v>F</v>
          </cell>
          <cell r="J231" t="str">
            <v>MZUZU CITY</v>
          </cell>
          <cell r="K231" t="str">
            <v>C</v>
          </cell>
          <cell r="L231" t="str">
            <v>Road section redefined</v>
          </cell>
        </row>
        <row r="232">
          <cell r="A232" t="str">
            <v>RS 842</v>
          </cell>
          <cell r="B232">
            <v>170</v>
          </cell>
          <cell r="C232" t="str">
            <v>S</v>
          </cell>
          <cell r="D232" t="str">
            <v>U</v>
          </cell>
          <cell r="E232" t="str">
            <v>Zomba - Chikanda (end bitumen to end road)</v>
          </cell>
          <cell r="F232" t="str">
            <v>Urban</v>
          </cell>
          <cell r="G232">
            <v>18</v>
          </cell>
          <cell r="H232">
            <v>2.6</v>
          </cell>
          <cell r="I232" t="str">
            <v>R</v>
          </cell>
          <cell r="J232" t="str">
            <v>ZOMBA CITY</v>
          </cell>
          <cell r="K232" t="str">
            <v>C</v>
          </cell>
        </row>
        <row r="233">
          <cell r="A233" t="str">
            <v>RS 844</v>
          </cell>
          <cell r="B233">
            <v>172</v>
          </cell>
          <cell r="C233" t="str">
            <v>S</v>
          </cell>
          <cell r="D233" t="str">
            <v>U</v>
          </cell>
          <cell r="E233" t="str">
            <v>Chancellor College Road (end bitumen to end road)</v>
          </cell>
          <cell r="F233" t="str">
            <v>Urban</v>
          </cell>
          <cell r="G233">
            <v>20</v>
          </cell>
          <cell r="H233">
            <v>2.2000000000000002</v>
          </cell>
          <cell r="I233" t="str">
            <v>R</v>
          </cell>
          <cell r="J233" t="str">
            <v>ZOMBA CITY</v>
          </cell>
          <cell r="K233" t="str">
            <v>C</v>
          </cell>
        </row>
        <row r="235">
          <cell r="A235" t="str">
            <v>Count</v>
          </cell>
          <cell r="B235">
            <v>224</v>
          </cell>
          <cell r="E235" t="str">
            <v>Total length</v>
          </cell>
          <cell r="F235">
            <v>3752.4000000000005</v>
          </cell>
          <cell r="J235" t="str">
            <v>km</v>
          </cell>
        </row>
      </sheetData>
      <sheetData sheetId="2" refreshError="1">
        <row r="1">
          <cell r="A1" t="str">
            <v xml:space="preserve">Table A2 - Road Sections (as given in Terms of Reference) Not Used In The Study </v>
          </cell>
        </row>
        <row r="2">
          <cell r="A2" t="str">
            <v>Road Section No.</v>
          </cell>
          <cell r="B2" t="str">
            <v>MOWS Project No.</v>
          </cell>
          <cell r="C2" t="str">
            <v>Region</v>
          </cell>
          <cell r="D2" t="str">
            <v>Road class</v>
          </cell>
          <cell r="E2" t="str">
            <v>Road section</v>
          </cell>
          <cell r="F2" t="str">
            <v>Road designation</v>
          </cell>
          <cell r="G2" t="str">
            <v>Sequence</v>
          </cell>
          <cell r="H2" t="str">
            <v>Length (km)</v>
          </cell>
          <cell r="I2" t="str">
            <v>Map sheet No.</v>
          </cell>
          <cell r="J2" t="str">
            <v>Trrrain</v>
          </cell>
          <cell r="K2" t="str">
            <v>Reason for change &amp; district</v>
          </cell>
          <cell r="L2" t="str">
            <v>Comments</v>
          </cell>
        </row>
        <row r="3">
          <cell r="A3" t="str">
            <v>RS 001</v>
          </cell>
          <cell r="B3" t="str">
            <v>1</v>
          </cell>
          <cell r="C3" t="str">
            <v>N</v>
          </cell>
          <cell r="D3" t="str">
            <v>T</v>
          </cell>
          <cell r="E3" t="str">
            <v>Songwe - Chitimba River</v>
          </cell>
          <cell r="F3" t="str">
            <v>M01</v>
          </cell>
          <cell r="G3">
            <v>99</v>
          </cell>
          <cell r="H3">
            <v>120</v>
          </cell>
          <cell r="I3">
            <v>1</v>
          </cell>
          <cell r="J3" t="str">
            <v>F</v>
          </cell>
          <cell r="K3" t="str">
            <v>Split into RS 839 &amp; 840.</v>
          </cell>
          <cell r="L3" t="str">
            <v>Section not used in Study</v>
          </cell>
        </row>
        <row r="4">
          <cell r="A4" t="str">
            <v>RS 839</v>
          </cell>
          <cell r="B4" t="str">
            <v>n.a</v>
          </cell>
          <cell r="C4" t="str">
            <v>N</v>
          </cell>
          <cell r="D4" t="str">
            <v>T</v>
          </cell>
          <cell r="E4" t="str">
            <v>Songwe - Karonga</v>
          </cell>
          <cell r="F4" t="str">
            <v>M01</v>
          </cell>
          <cell r="G4">
            <v>1</v>
          </cell>
          <cell r="H4">
            <v>43</v>
          </cell>
          <cell r="I4">
            <v>1</v>
          </cell>
          <cell r="J4" t="str">
            <v>F</v>
          </cell>
          <cell r="K4" t="str">
            <v>KARONGA</v>
          </cell>
          <cell r="L4" t="str">
            <v>New section, part of RS1</v>
          </cell>
        </row>
        <row r="5">
          <cell r="A5" t="str">
            <v>RS 840</v>
          </cell>
          <cell r="B5" t="str">
            <v>n.a</v>
          </cell>
          <cell r="C5" t="str">
            <v>N</v>
          </cell>
          <cell r="D5" t="str">
            <v>T</v>
          </cell>
          <cell r="E5" t="str">
            <v>Karonga - Chitimba River</v>
          </cell>
          <cell r="F5" t="str">
            <v>M01</v>
          </cell>
          <cell r="G5">
            <v>2</v>
          </cell>
          <cell r="H5">
            <v>77</v>
          </cell>
          <cell r="I5">
            <v>1</v>
          </cell>
          <cell r="J5" t="str">
            <v>F</v>
          </cell>
          <cell r="K5" t="str">
            <v>KARONGA</v>
          </cell>
          <cell r="L5" t="str">
            <v>New section, part of RS1</v>
          </cell>
        </row>
        <row r="6">
          <cell r="A6" t="str">
            <v>RS 006</v>
          </cell>
          <cell r="B6" t="str">
            <v>6</v>
          </cell>
          <cell r="C6" t="str">
            <v>N</v>
          </cell>
          <cell r="D6" t="str">
            <v>T</v>
          </cell>
          <cell r="E6" t="str">
            <v>Mzuzu -Nkhata Bay Border</v>
          </cell>
          <cell r="F6" t="str">
            <v>M05</v>
          </cell>
          <cell r="G6">
            <v>99</v>
          </cell>
          <cell r="H6">
            <v>8</v>
          </cell>
          <cell r="I6" t="str">
            <v>-</v>
          </cell>
          <cell r="J6" t="str">
            <v>-</v>
          </cell>
          <cell r="K6" t="str">
            <v>Contained within RS 005</v>
          </cell>
          <cell r="L6" t="str">
            <v>Section not used in Study</v>
          </cell>
        </row>
        <row r="7">
          <cell r="A7" t="str">
            <v>RS 005</v>
          </cell>
          <cell r="B7" t="str">
            <v>5</v>
          </cell>
          <cell r="C7" t="str">
            <v>N</v>
          </cell>
          <cell r="D7" t="str">
            <v>T</v>
          </cell>
          <cell r="E7" t="str">
            <v>Mzuzu - Nkhata Bay</v>
          </cell>
          <cell r="F7" t="str">
            <v>M05</v>
          </cell>
          <cell r="G7">
            <v>1</v>
          </cell>
          <cell r="H7">
            <v>45</v>
          </cell>
          <cell r="I7">
            <v>3</v>
          </cell>
          <cell r="J7" t="str">
            <v>F</v>
          </cell>
          <cell r="K7" t="str">
            <v>MZIMBA &amp; NKHATA BAY</v>
          </cell>
        </row>
        <row r="8">
          <cell r="A8" t="str">
            <v>RS 039</v>
          </cell>
          <cell r="B8">
            <v>39</v>
          </cell>
          <cell r="C8" t="str">
            <v>C</v>
          </cell>
          <cell r="D8" t="str">
            <v>T</v>
          </cell>
          <cell r="E8" t="str">
            <v>Dedza - Lilongwe</v>
          </cell>
          <cell r="F8" t="str">
            <v>M01</v>
          </cell>
          <cell r="G8">
            <v>99</v>
          </cell>
          <cell r="H8">
            <v>84</v>
          </cell>
          <cell r="I8" t="str">
            <v>-</v>
          </cell>
          <cell r="J8" t="str">
            <v>-</v>
          </cell>
          <cell r="K8" t="str">
            <v>Contains RS 20,28,12,37,25,10,38,23,33</v>
          </cell>
          <cell r="L8" t="str">
            <v>Section not used in Study</v>
          </cell>
        </row>
        <row r="9">
          <cell r="A9" t="str">
            <v>RS 020</v>
          </cell>
          <cell r="B9">
            <v>20</v>
          </cell>
          <cell r="C9" t="str">
            <v>C</v>
          </cell>
          <cell r="D9" t="str">
            <v>T</v>
          </cell>
          <cell r="E9" t="str">
            <v>Lumbadzi River Bridge -  Chitsame</v>
          </cell>
          <cell r="F9" t="str">
            <v>M01</v>
          </cell>
          <cell r="G9">
            <v>15</v>
          </cell>
          <cell r="H9">
            <v>33</v>
          </cell>
          <cell r="I9">
            <v>6</v>
          </cell>
          <cell r="J9" t="str">
            <v>F</v>
          </cell>
          <cell r="K9" t="str">
            <v>LILONGWE</v>
          </cell>
        </row>
        <row r="10">
          <cell r="A10" t="str">
            <v>RS 028</v>
          </cell>
          <cell r="B10">
            <v>28</v>
          </cell>
          <cell r="C10" t="str">
            <v>C</v>
          </cell>
          <cell r="D10" t="str">
            <v>T</v>
          </cell>
          <cell r="E10" t="str">
            <v>Chitsime - Kamchere</v>
          </cell>
          <cell r="F10" t="str">
            <v>M01</v>
          </cell>
          <cell r="G10">
            <v>16</v>
          </cell>
          <cell r="H10">
            <v>8.8000000000000007</v>
          </cell>
          <cell r="I10">
            <v>6</v>
          </cell>
          <cell r="J10" t="str">
            <v>F</v>
          </cell>
          <cell r="K10" t="str">
            <v>LILONGWE</v>
          </cell>
        </row>
        <row r="11">
          <cell r="A11" t="str">
            <v>RS 012</v>
          </cell>
          <cell r="B11">
            <v>12</v>
          </cell>
          <cell r="C11" t="str">
            <v>C</v>
          </cell>
          <cell r="D11" t="str">
            <v>T</v>
          </cell>
          <cell r="E11" t="str">
            <v>Kamchere - Kalumba T/Off</v>
          </cell>
          <cell r="F11" t="str">
            <v>M01</v>
          </cell>
          <cell r="G11">
            <v>17</v>
          </cell>
          <cell r="H11">
            <v>13.4</v>
          </cell>
          <cell r="I11">
            <v>6</v>
          </cell>
          <cell r="J11" t="str">
            <v>F</v>
          </cell>
          <cell r="K11" t="str">
            <v>LILONGWE</v>
          </cell>
        </row>
        <row r="12">
          <cell r="A12" t="str">
            <v>RS 037</v>
          </cell>
          <cell r="B12">
            <v>37</v>
          </cell>
          <cell r="C12" t="str">
            <v>C</v>
          </cell>
          <cell r="D12" t="str">
            <v>T</v>
          </cell>
          <cell r="E12" t="str">
            <v>Kalumba T/Off - Diamphwe River Bridge</v>
          </cell>
          <cell r="F12" t="str">
            <v>M01</v>
          </cell>
          <cell r="G12">
            <v>18</v>
          </cell>
          <cell r="H12">
            <v>18.7</v>
          </cell>
          <cell r="I12">
            <v>6</v>
          </cell>
          <cell r="J12" t="str">
            <v>F</v>
          </cell>
          <cell r="K12" t="str">
            <v>LILONGWE</v>
          </cell>
        </row>
        <row r="13">
          <cell r="A13" t="str">
            <v>RS 025</v>
          </cell>
          <cell r="B13">
            <v>25</v>
          </cell>
          <cell r="C13" t="str">
            <v>C</v>
          </cell>
          <cell r="D13" t="str">
            <v>T</v>
          </cell>
          <cell r="E13" t="str">
            <v>Diamphwe River - Junction S126</v>
          </cell>
          <cell r="F13" t="str">
            <v>M01</v>
          </cell>
          <cell r="G13">
            <v>19</v>
          </cell>
          <cell r="H13">
            <v>5.4</v>
          </cell>
          <cell r="I13">
            <v>6</v>
          </cell>
          <cell r="J13" t="str">
            <v>R</v>
          </cell>
          <cell r="K13" t="str">
            <v>DEDZA</v>
          </cell>
        </row>
        <row r="14">
          <cell r="A14" t="str">
            <v>RS 010</v>
          </cell>
          <cell r="B14">
            <v>10</v>
          </cell>
          <cell r="C14" t="str">
            <v>C</v>
          </cell>
          <cell r="D14" t="str">
            <v>T</v>
          </cell>
          <cell r="E14" t="str">
            <v>Junction S126 - Linthipe</v>
          </cell>
          <cell r="F14" t="str">
            <v>M01</v>
          </cell>
          <cell r="G14">
            <v>20</v>
          </cell>
          <cell r="H14">
            <v>8.1</v>
          </cell>
          <cell r="I14">
            <v>6</v>
          </cell>
          <cell r="J14" t="str">
            <v>R</v>
          </cell>
          <cell r="K14" t="str">
            <v>DEDZA</v>
          </cell>
        </row>
        <row r="15">
          <cell r="A15" t="str">
            <v>RS 038</v>
          </cell>
          <cell r="B15">
            <v>38</v>
          </cell>
          <cell r="C15" t="str">
            <v>C</v>
          </cell>
          <cell r="D15" t="str">
            <v>T</v>
          </cell>
          <cell r="E15" t="str">
            <v>Linthipe - Chimbiya</v>
          </cell>
          <cell r="F15" t="str">
            <v>M01</v>
          </cell>
          <cell r="G15">
            <v>21</v>
          </cell>
          <cell r="H15">
            <v>6.3</v>
          </cell>
          <cell r="I15">
            <v>6</v>
          </cell>
          <cell r="J15" t="str">
            <v>R</v>
          </cell>
          <cell r="K15" t="str">
            <v>LILONGWE</v>
          </cell>
        </row>
        <row r="16">
          <cell r="A16" t="str">
            <v>RS 023</v>
          </cell>
          <cell r="B16">
            <v>23</v>
          </cell>
          <cell r="C16" t="str">
            <v>C</v>
          </cell>
          <cell r="D16" t="str">
            <v>T</v>
          </cell>
          <cell r="E16" t="str">
            <v>Chimbiya - Zuze</v>
          </cell>
          <cell r="F16" t="str">
            <v>M01</v>
          </cell>
          <cell r="G16">
            <v>22</v>
          </cell>
          <cell r="H16">
            <v>31.8</v>
          </cell>
          <cell r="I16">
            <v>6</v>
          </cell>
          <cell r="J16" t="str">
            <v>H</v>
          </cell>
          <cell r="K16" t="str">
            <v>DEDZA</v>
          </cell>
        </row>
        <row r="17">
          <cell r="A17" t="str">
            <v>RS 033</v>
          </cell>
          <cell r="B17">
            <v>33</v>
          </cell>
          <cell r="C17" t="str">
            <v>C</v>
          </cell>
          <cell r="D17" t="str">
            <v>T</v>
          </cell>
          <cell r="E17" t="str">
            <v>Dauya - Kapesi</v>
          </cell>
          <cell r="F17" t="str">
            <v>M01</v>
          </cell>
          <cell r="G17">
            <v>23</v>
          </cell>
          <cell r="H17">
            <v>12.5</v>
          </cell>
          <cell r="I17">
            <v>7</v>
          </cell>
          <cell r="J17" t="str">
            <v>F</v>
          </cell>
          <cell r="K17" t="str">
            <v>DEDZA</v>
          </cell>
        </row>
        <row r="18">
          <cell r="A18" t="str">
            <v>RS 040</v>
          </cell>
          <cell r="B18">
            <v>40</v>
          </cell>
          <cell r="C18" t="str">
            <v>C</v>
          </cell>
          <cell r="D18" t="str">
            <v>T</v>
          </cell>
          <cell r="E18" t="str">
            <v>Salima - Benga - Nkhotakota - Dwangwa</v>
          </cell>
          <cell r="F18" t="str">
            <v>M05</v>
          </cell>
          <cell r="G18">
            <v>99</v>
          </cell>
          <cell r="H18">
            <v>169</v>
          </cell>
          <cell r="I18" t="str">
            <v>-</v>
          </cell>
          <cell r="J18" t="str">
            <v>-</v>
          </cell>
          <cell r="K18" t="str">
            <v>Contains RS 43,66,50,54,53,61,42,58</v>
          </cell>
          <cell r="L18" t="str">
            <v>Section not used in Study</v>
          </cell>
        </row>
        <row r="19">
          <cell r="A19" t="str">
            <v>RS 043</v>
          </cell>
          <cell r="B19">
            <v>43</v>
          </cell>
          <cell r="C19" t="str">
            <v>C</v>
          </cell>
          <cell r="D19" t="str">
            <v>T</v>
          </cell>
          <cell r="E19" t="str">
            <v>Musenjere River- Bua River</v>
          </cell>
          <cell r="F19" t="str">
            <v>M05</v>
          </cell>
          <cell r="G19">
            <v>7</v>
          </cell>
          <cell r="H19">
            <v>14.7</v>
          </cell>
          <cell r="I19">
            <v>5</v>
          </cell>
          <cell r="J19" t="str">
            <v>R</v>
          </cell>
          <cell r="K19" t="str">
            <v>NKHOTA KOTA</v>
          </cell>
        </row>
        <row r="20">
          <cell r="A20" t="str">
            <v>RS 066</v>
          </cell>
          <cell r="B20">
            <v>66</v>
          </cell>
          <cell r="C20" t="str">
            <v>C</v>
          </cell>
          <cell r="D20" t="str">
            <v>T</v>
          </cell>
          <cell r="E20" t="str">
            <v>Bua River - Nkhota-kota</v>
          </cell>
          <cell r="F20" t="str">
            <v>M05</v>
          </cell>
          <cell r="G20">
            <v>8</v>
          </cell>
          <cell r="H20">
            <v>14.8</v>
          </cell>
          <cell r="I20">
            <v>5</v>
          </cell>
          <cell r="J20" t="str">
            <v>F</v>
          </cell>
          <cell r="K20" t="str">
            <v>NKHOTA KOTA</v>
          </cell>
        </row>
        <row r="21">
          <cell r="A21" t="str">
            <v>RS 050</v>
          </cell>
          <cell r="B21">
            <v>50</v>
          </cell>
          <cell r="C21" t="str">
            <v>C</v>
          </cell>
          <cell r="D21" t="str">
            <v>T</v>
          </cell>
          <cell r="E21" t="str">
            <v>Km 11.6-Km 18.3 (Nkhota-kota - Chia)</v>
          </cell>
          <cell r="F21" t="str">
            <v>M05</v>
          </cell>
          <cell r="G21">
            <v>10</v>
          </cell>
          <cell r="H21">
            <v>6.7</v>
          </cell>
          <cell r="I21">
            <v>5</v>
          </cell>
          <cell r="J21" t="str">
            <v>F</v>
          </cell>
          <cell r="K21" t="str">
            <v>NKHOTA KOTA</v>
          </cell>
        </row>
        <row r="22">
          <cell r="A22" t="str">
            <v>RS 054</v>
          </cell>
          <cell r="B22">
            <v>54</v>
          </cell>
          <cell r="C22" t="str">
            <v>C</v>
          </cell>
          <cell r="D22" t="str">
            <v>T</v>
          </cell>
          <cell r="E22" t="str">
            <v>Km 18.3-Chia River</v>
          </cell>
          <cell r="F22" t="str">
            <v>M05</v>
          </cell>
          <cell r="G22">
            <v>11</v>
          </cell>
          <cell r="H22">
            <v>5.4</v>
          </cell>
          <cell r="I22">
            <v>5</v>
          </cell>
          <cell r="J22" t="str">
            <v>F</v>
          </cell>
          <cell r="K22" t="str">
            <v>NKHOTA KOTA</v>
          </cell>
        </row>
        <row r="23">
          <cell r="A23" t="str">
            <v>RS 053</v>
          </cell>
          <cell r="B23">
            <v>53</v>
          </cell>
          <cell r="C23" t="str">
            <v>C</v>
          </cell>
          <cell r="D23" t="str">
            <v>T</v>
          </cell>
          <cell r="E23" t="str">
            <v>Chia River-Benga</v>
          </cell>
          <cell r="F23" t="str">
            <v>M05</v>
          </cell>
          <cell r="G23">
            <v>12</v>
          </cell>
          <cell r="H23">
            <v>29.4</v>
          </cell>
          <cell r="I23">
            <v>5</v>
          </cell>
          <cell r="J23" t="str">
            <v>F</v>
          </cell>
          <cell r="K23" t="str">
            <v>NKHOTA KOTA</v>
          </cell>
        </row>
        <row r="24">
          <cell r="A24" t="str">
            <v>RS 061</v>
          </cell>
          <cell r="B24">
            <v>61</v>
          </cell>
          <cell r="C24" t="str">
            <v>C</v>
          </cell>
          <cell r="D24" t="str">
            <v>T</v>
          </cell>
          <cell r="E24" t="str">
            <v>Benga-Kachisoka</v>
          </cell>
          <cell r="F24" t="str">
            <v>M05</v>
          </cell>
          <cell r="G24">
            <v>13</v>
          </cell>
          <cell r="H24">
            <v>2.7</v>
          </cell>
          <cell r="I24">
            <v>5</v>
          </cell>
          <cell r="J24" t="str">
            <v>F</v>
          </cell>
          <cell r="K24" t="str">
            <v>NKHOTA KOTA</v>
          </cell>
        </row>
        <row r="25">
          <cell r="A25" t="str">
            <v>RS 042</v>
          </cell>
          <cell r="B25">
            <v>42</v>
          </cell>
          <cell r="C25" t="str">
            <v>C</v>
          </cell>
          <cell r="D25" t="str">
            <v>T</v>
          </cell>
          <cell r="E25" t="str">
            <v>Chirua River Bridge - Thavite River Bridge</v>
          </cell>
          <cell r="F25" t="str">
            <v>M05</v>
          </cell>
          <cell r="G25">
            <v>14</v>
          </cell>
          <cell r="H25">
            <v>6</v>
          </cell>
          <cell r="I25">
            <v>5</v>
          </cell>
          <cell r="J25" t="str">
            <v>F</v>
          </cell>
          <cell r="K25" t="str">
            <v>SALIMA</v>
          </cell>
        </row>
        <row r="26">
          <cell r="A26" t="str">
            <v>RS 058</v>
          </cell>
          <cell r="B26">
            <v>58</v>
          </cell>
          <cell r="C26" t="str">
            <v>C</v>
          </cell>
          <cell r="D26" t="str">
            <v>T</v>
          </cell>
          <cell r="E26" t="str">
            <v>Thavite River Bridge - Kamphatenga</v>
          </cell>
          <cell r="F26" t="str">
            <v>M05</v>
          </cell>
          <cell r="G26">
            <v>15</v>
          </cell>
          <cell r="H26">
            <v>32.5</v>
          </cell>
          <cell r="I26">
            <v>7</v>
          </cell>
          <cell r="J26" t="str">
            <v>F</v>
          </cell>
          <cell r="K26" t="str">
            <v>SALIMA</v>
          </cell>
        </row>
        <row r="27">
          <cell r="A27" t="str">
            <v>RS 057</v>
          </cell>
          <cell r="B27">
            <v>57</v>
          </cell>
          <cell r="C27" t="str">
            <v>C</v>
          </cell>
          <cell r="D27" t="str">
            <v>T</v>
          </cell>
          <cell r="E27" t="str">
            <v>Malenga-Km 11.6</v>
          </cell>
          <cell r="F27" t="str">
            <v>M05</v>
          </cell>
          <cell r="G27">
            <v>99</v>
          </cell>
          <cell r="H27">
            <v>11.6</v>
          </cell>
          <cell r="I27" t="str">
            <v>-</v>
          </cell>
          <cell r="J27" t="str">
            <v>-</v>
          </cell>
          <cell r="K27" t="str">
            <v xml:space="preserve">Link does not exist </v>
          </cell>
          <cell r="L27" t="str">
            <v>Section not used in Study</v>
          </cell>
        </row>
        <row r="28">
          <cell r="A28" t="str">
            <v>RS 073</v>
          </cell>
          <cell r="B28">
            <v>73</v>
          </cell>
          <cell r="C28" t="str">
            <v>C</v>
          </cell>
          <cell r="D28" t="str">
            <v>T</v>
          </cell>
          <cell r="E28" t="str">
            <v>Kapiri - Bwanje River</v>
          </cell>
          <cell r="F28" t="str">
            <v>M10</v>
          </cell>
          <cell r="G28">
            <v>99</v>
          </cell>
          <cell r="H28">
            <v>9</v>
          </cell>
          <cell r="I28">
            <v>7</v>
          </cell>
          <cell r="J28" t="str">
            <v>F</v>
          </cell>
          <cell r="K28" t="str">
            <v>Contained within RS 72</v>
          </cell>
          <cell r="L28" t="str">
            <v>Section not used in Study</v>
          </cell>
        </row>
        <row r="29">
          <cell r="A29" t="str">
            <v>RS 072</v>
          </cell>
          <cell r="B29">
            <v>72</v>
          </cell>
          <cell r="C29" t="str">
            <v>C</v>
          </cell>
          <cell r="D29" t="str">
            <v>T</v>
          </cell>
          <cell r="E29" t="str">
            <v>Malambalala - Bwanje River</v>
          </cell>
          <cell r="F29" t="str">
            <v>M10</v>
          </cell>
          <cell r="G29">
            <v>3</v>
          </cell>
          <cell r="H29">
            <v>9</v>
          </cell>
          <cell r="I29">
            <v>7</v>
          </cell>
          <cell r="J29" t="str">
            <v>F</v>
          </cell>
          <cell r="K29" t="str">
            <v>DEDZA &amp; MANGOCHI</v>
          </cell>
        </row>
        <row r="30">
          <cell r="A30" t="str">
            <v>RS 078</v>
          </cell>
          <cell r="B30">
            <v>78</v>
          </cell>
          <cell r="C30" t="str">
            <v>C</v>
          </cell>
          <cell r="D30" t="str">
            <v>T</v>
          </cell>
          <cell r="E30" t="str">
            <v>Lilongwe-Mchinji</v>
          </cell>
          <cell r="F30" t="str">
            <v>M12</v>
          </cell>
          <cell r="G30">
            <v>99</v>
          </cell>
          <cell r="H30">
            <v>120</v>
          </cell>
          <cell r="I30">
            <v>6</v>
          </cell>
          <cell r="J30" t="str">
            <v>R</v>
          </cell>
          <cell r="K30" t="str">
            <v>Contains RS 80,79,77,76,75,836,74</v>
          </cell>
          <cell r="L30" t="str">
            <v>Section not used in Study</v>
          </cell>
        </row>
        <row r="31">
          <cell r="A31" t="str">
            <v>RS 080</v>
          </cell>
          <cell r="B31">
            <v>80</v>
          </cell>
          <cell r="C31" t="str">
            <v>C</v>
          </cell>
          <cell r="D31" t="str">
            <v>T</v>
          </cell>
          <cell r="E31" t="str">
            <v>International Border - Mchinji</v>
          </cell>
          <cell r="F31" t="str">
            <v>M12</v>
          </cell>
          <cell r="G31">
            <v>1</v>
          </cell>
          <cell r="H31">
            <v>11.5</v>
          </cell>
          <cell r="I31">
            <v>6</v>
          </cell>
          <cell r="J31" t="str">
            <v>F</v>
          </cell>
          <cell r="K31" t="str">
            <v>MCHINJI</v>
          </cell>
        </row>
        <row r="32">
          <cell r="A32" t="str">
            <v>RS 079</v>
          </cell>
          <cell r="B32">
            <v>79</v>
          </cell>
          <cell r="C32" t="str">
            <v>C</v>
          </cell>
          <cell r="D32" t="str">
            <v>T</v>
          </cell>
          <cell r="E32" t="str">
            <v>Mchinji - Kamwendo</v>
          </cell>
          <cell r="F32" t="str">
            <v>M12</v>
          </cell>
          <cell r="G32">
            <v>2</v>
          </cell>
          <cell r="H32">
            <v>19.100000000000001</v>
          </cell>
          <cell r="I32">
            <v>6</v>
          </cell>
          <cell r="J32" t="str">
            <v>F</v>
          </cell>
          <cell r="K32" t="str">
            <v>MCHINJI</v>
          </cell>
        </row>
        <row r="33">
          <cell r="A33" t="str">
            <v>RS 077</v>
          </cell>
          <cell r="B33">
            <v>77</v>
          </cell>
          <cell r="C33" t="str">
            <v>C</v>
          </cell>
          <cell r="D33" t="str">
            <v>T</v>
          </cell>
          <cell r="E33" t="str">
            <v>Kamwendo - Bua River</v>
          </cell>
          <cell r="F33" t="str">
            <v>M12</v>
          </cell>
          <cell r="G33">
            <v>3</v>
          </cell>
          <cell r="H33">
            <v>14.7</v>
          </cell>
          <cell r="I33">
            <v>6</v>
          </cell>
          <cell r="J33" t="str">
            <v>F</v>
          </cell>
          <cell r="K33" t="str">
            <v>MCHINJI</v>
          </cell>
        </row>
        <row r="34">
          <cell r="A34" t="str">
            <v>RS 076</v>
          </cell>
          <cell r="B34">
            <v>76</v>
          </cell>
          <cell r="C34" t="str">
            <v>C</v>
          </cell>
          <cell r="D34" t="str">
            <v>T</v>
          </cell>
          <cell r="E34" t="str">
            <v>Bua River - Namitete River Bridge</v>
          </cell>
          <cell r="F34" t="str">
            <v>M12</v>
          </cell>
          <cell r="G34">
            <v>4</v>
          </cell>
          <cell r="H34">
            <v>27.9</v>
          </cell>
          <cell r="I34">
            <v>6</v>
          </cell>
          <cell r="J34" t="str">
            <v>F</v>
          </cell>
          <cell r="K34" t="str">
            <v>MCHINJI</v>
          </cell>
        </row>
        <row r="35">
          <cell r="A35" t="str">
            <v>RS 075</v>
          </cell>
          <cell r="B35">
            <v>75</v>
          </cell>
          <cell r="C35" t="str">
            <v>C</v>
          </cell>
          <cell r="D35" t="str">
            <v>T</v>
          </cell>
          <cell r="E35" t="str">
            <v>Namitete River Bridge - Chileka</v>
          </cell>
          <cell r="F35" t="str">
            <v>M12</v>
          </cell>
          <cell r="G35">
            <v>5</v>
          </cell>
          <cell r="H35">
            <v>4.0999999999999996</v>
          </cell>
          <cell r="I35">
            <v>6</v>
          </cell>
          <cell r="J35" t="str">
            <v>R</v>
          </cell>
          <cell r="K35" t="str">
            <v>LILONGWE</v>
          </cell>
        </row>
        <row r="36">
          <cell r="A36" t="str">
            <v>RS 836</v>
          </cell>
          <cell r="B36" t="str">
            <v>n.a.</v>
          </cell>
          <cell r="C36" t="str">
            <v>C</v>
          </cell>
          <cell r="D36" t="str">
            <v>T</v>
          </cell>
          <cell r="E36" t="str">
            <v>Chileka - Chankhandwe</v>
          </cell>
          <cell r="F36" t="str">
            <v>M12</v>
          </cell>
          <cell r="G36">
            <v>6</v>
          </cell>
          <cell r="H36">
            <v>31.4</v>
          </cell>
          <cell r="I36">
            <v>6</v>
          </cell>
          <cell r="J36" t="str">
            <v>R</v>
          </cell>
          <cell r="K36" t="str">
            <v>LILONGWE</v>
          </cell>
          <cell r="L36" t="str">
            <v xml:space="preserve">New section part of RS 78 </v>
          </cell>
        </row>
        <row r="37">
          <cell r="A37" t="str">
            <v>RS 074</v>
          </cell>
          <cell r="B37">
            <v>74</v>
          </cell>
          <cell r="C37" t="str">
            <v>C</v>
          </cell>
          <cell r="D37" t="str">
            <v>T</v>
          </cell>
          <cell r="E37" t="str">
            <v>Chankhandwe - Njewa</v>
          </cell>
          <cell r="F37" t="str">
            <v>M12</v>
          </cell>
          <cell r="G37">
            <v>7</v>
          </cell>
          <cell r="H37">
            <v>11.3</v>
          </cell>
          <cell r="I37">
            <v>6</v>
          </cell>
          <cell r="J37" t="str">
            <v>R</v>
          </cell>
          <cell r="K37" t="str">
            <v>LILONGWE</v>
          </cell>
        </row>
        <row r="38">
          <cell r="A38" t="str">
            <v>RS 083</v>
          </cell>
          <cell r="B38">
            <v>83</v>
          </cell>
          <cell r="C38" t="str">
            <v>C</v>
          </cell>
          <cell r="D38" t="str">
            <v>T</v>
          </cell>
          <cell r="E38" t="str">
            <v>Chembe Railroad - Kaphatenga</v>
          </cell>
          <cell r="F38" t="str">
            <v>M14</v>
          </cell>
          <cell r="G38">
            <v>99</v>
          </cell>
          <cell r="H38">
            <v>8.6999999999999993</v>
          </cell>
          <cell r="I38">
            <v>6</v>
          </cell>
          <cell r="J38" t="str">
            <v>F</v>
          </cell>
          <cell r="K38" t="str">
            <v>Contains RS 60 &amp; 45</v>
          </cell>
          <cell r="L38" t="str">
            <v>Section not used in Study</v>
          </cell>
        </row>
        <row r="39">
          <cell r="A39" t="str">
            <v>RS 060</v>
          </cell>
          <cell r="B39">
            <v>60</v>
          </cell>
          <cell r="C39" t="str">
            <v>C</v>
          </cell>
          <cell r="D39" t="str">
            <v>T</v>
          </cell>
          <cell r="E39" t="str">
            <v>Chembe Railroad Bridge - Makande</v>
          </cell>
          <cell r="F39" t="str">
            <v>M14</v>
          </cell>
          <cell r="G39" t="str">
            <v>T</v>
          </cell>
          <cell r="H39">
            <v>6.8</v>
          </cell>
          <cell r="I39">
            <v>7</v>
          </cell>
          <cell r="J39" t="str">
            <v>F</v>
          </cell>
          <cell r="K39" t="str">
            <v>SALIMA</v>
          </cell>
          <cell r="L39" t="str">
            <v>Changed designation from M5 to M14</v>
          </cell>
        </row>
        <row r="40">
          <cell r="A40" t="str">
            <v>RS 045</v>
          </cell>
          <cell r="B40">
            <v>45</v>
          </cell>
          <cell r="C40" t="str">
            <v>C</v>
          </cell>
          <cell r="D40" t="str">
            <v>T</v>
          </cell>
          <cell r="E40" t="str">
            <v>Makande - Kaphatenga</v>
          </cell>
          <cell r="F40" t="str">
            <v>M14</v>
          </cell>
          <cell r="G40">
            <v>8</v>
          </cell>
          <cell r="H40">
            <v>4.5999999999999996</v>
          </cell>
          <cell r="I40">
            <v>6</v>
          </cell>
          <cell r="J40" t="str">
            <v>F</v>
          </cell>
          <cell r="K40" t="str">
            <v>SALIMA</v>
          </cell>
          <cell r="L40" t="str">
            <v>Changed designation from M5 to M14</v>
          </cell>
        </row>
        <row r="41">
          <cell r="A41" t="str">
            <v>RS 085</v>
          </cell>
          <cell r="B41">
            <v>85</v>
          </cell>
          <cell r="C41" t="str">
            <v>C</v>
          </cell>
          <cell r="D41" t="str">
            <v>T</v>
          </cell>
          <cell r="E41" t="str">
            <v>Salima - Senga Bay</v>
          </cell>
          <cell r="F41" t="str">
            <v>S122</v>
          </cell>
          <cell r="G41">
            <v>99</v>
          </cell>
          <cell r="H41">
            <v>22</v>
          </cell>
          <cell r="I41">
            <v>7</v>
          </cell>
          <cell r="J41" t="str">
            <v>F</v>
          </cell>
          <cell r="K41" t="str">
            <v>Contains RS276 &amp; 275</v>
          </cell>
          <cell r="L41" t="str">
            <v>Section not used in Study</v>
          </cell>
        </row>
        <row r="42">
          <cell r="A42" t="str">
            <v>RS 276</v>
          </cell>
          <cell r="B42">
            <v>98</v>
          </cell>
          <cell r="C42" t="str">
            <v>C</v>
          </cell>
          <cell r="D42" t="str">
            <v>T</v>
          </cell>
          <cell r="E42" t="str">
            <v>Salima railway crossing - Mikute</v>
          </cell>
          <cell r="F42" t="str">
            <v>S122</v>
          </cell>
          <cell r="G42">
            <v>2</v>
          </cell>
          <cell r="H42">
            <v>14.4</v>
          </cell>
          <cell r="I42">
            <v>7</v>
          </cell>
          <cell r="J42" t="str">
            <v>F</v>
          </cell>
          <cell r="K42" t="str">
            <v>SALIMA</v>
          </cell>
        </row>
        <row r="43">
          <cell r="A43" t="str">
            <v>RS 275</v>
          </cell>
          <cell r="B43">
            <v>97</v>
          </cell>
          <cell r="C43" t="str">
            <v>C</v>
          </cell>
          <cell r="D43" t="str">
            <v>T</v>
          </cell>
          <cell r="E43" t="str">
            <v>Mikute - Grand Beach</v>
          </cell>
          <cell r="F43" t="str">
            <v>S122</v>
          </cell>
          <cell r="G43">
            <v>3</v>
          </cell>
          <cell r="H43">
            <v>5.6</v>
          </cell>
          <cell r="I43">
            <v>7</v>
          </cell>
          <cell r="J43" t="str">
            <v>F</v>
          </cell>
          <cell r="K43" t="str">
            <v>SALIMA</v>
          </cell>
        </row>
        <row r="44">
          <cell r="A44" t="str">
            <v>RS 086</v>
          </cell>
          <cell r="B44">
            <v>86</v>
          </cell>
          <cell r="C44" t="str">
            <v>C</v>
          </cell>
          <cell r="D44" t="str">
            <v>T</v>
          </cell>
          <cell r="F44" t="str">
            <v>S122</v>
          </cell>
          <cell r="H44" t="str">
            <v>NO ROAD SECTION with this MOWS Project No.</v>
          </cell>
          <cell r="L44" t="str">
            <v>Deleted from road sections in Study</v>
          </cell>
        </row>
        <row r="45">
          <cell r="A45" t="str">
            <v>RS 087</v>
          </cell>
          <cell r="B45">
            <v>87</v>
          </cell>
          <cell r="C45" t="str">
            <v>C</v>
          </cell>
          <cell r="D45" t="str">
            <v>T</v>
          </cell>
          <cell r="F45" t="str">
            <v>S122</v>
          </cell>
          <cell r="H45" t="str">
            <v>NO ROAD SECTION with this MOWS Project No.</v>
          </cell>
          <cell r="L45" t="str">
            <v>Deleted from road sections in Study</v>
          </cell>
        </row>
        <row r="46">
          <cell r="A46" t="str">
            <v>RS 088</v>
          </cell>
          <cell r="B46">
            <v>88</v>
          </cell>
          <cell r="C46" t="str">
            <v>C</v>
          </cell>
          <cell r="D46" t="str">
            <v>T</v>
          </cell>
          <cell r="F46" t="str">
            <v>S122</v>
          </cell>
          <cell r="H46" t="str">
            <v>NO ROAD SECTION with this MOWS Project No.</v>
          </cell>
          <cell r="L46" t="str">
            <v>Deleted from road sections in Study</v>
          </cell>
        </row>
        <row r="47">
          <cell r="A47" t="str">
            <v>RS 089</v>
          </cell>
          <cell r="B47">
            <v>89</v>
          </cell>
          <cell r="C47" t="str">
            <v>C</v>
          </cell>
          <cell r="D47" t="str">
            <v>T</v>
          </cell>
          <cell r="E47" t="str">
            <v xml:space="preserve"> Balaka - Salima</v>
          </cell>
          <cell r="F47" t="str">
            <v>M05</v>
          </cell>
          <cell r="G47">
            <v>99</v>
          </cell>
          <cell r="H47">
            <v>158</v>
          </cell>
          <cell r="I47" t="str">
            <v>-</v>
          </cell>
          <cell r="J47" t="str">
            <v>-</v>
          </cell>
          <cell r="K47" t="str">
            <v>Contains RS 51,67,64,59,63,55,41,46,65,56</v>
          </cell>
          <cell r="L47" t="str">
            <v>Section not used in Study</v>
          </cell>
        </row>
        <row r="48">
          <cell r="A48" t="str">
            <v>RS 051</v>
          </cell>
          <cell r="B48">
            <v>51</v>
          </cell>
          <cell r="C48" t="str">
            <v>C</v>
          </cell>
          <cell r="D48" t="str">
            <v>T</v>
          </cell>
          <cell r="E48" t="str">
            <v>Junction S122 - Linthipe River</v>
          </cell>
          <cell r="F48" t="str">
            <v>M05</v>
          </cell>
          <cell r="G48">
            <v>17</v>
          </cell>
          <cell r="H48">
            <v>1.9</v>
          </cell>
          <cell r="I48">
            <v>7</v>
          </cell>
          <cell r="J48" t="str">
            <v>F</v>
          </cell>
          <cell r="K48" t="str">
            <v>SALIMA</v>
          </cell>
        </row>
        <row r="49">
          <cell r="A49" t="str">
            <v>RS 067</v>
          </cell>
          <cell r="B49">
            <v>67</v>
          </cell>
          <cell r="C49" t="str">
            <v>C</v>
          </cell>
          <cell r="D49" t="str">
            <v>T</v>
          </cell>
          <cell r="E49" t="str">
            <v>Linthipe River - Luwadzi River Bridge</v>
          </cell>
          <cell r="F49" t="str">
            <v>M05</v>
          </cell>
          <cell r="G49">
            <v>18</v>
          </cell>
          <cell r="H49">
            <v>20.8</v>
          </cell>
          <cell r="I49">
            <v>7</v>
          </cell>
          <cell r="J49" t="str">
            <v>F</v>
          </cell>
          <cell r="K49" t="str">
            <v>SALIMA</v>
          </cell>
        </row>
        <row r="50">
          <cell r="A50" t="str">
            <v>RS 064</v>
          </cell>
          <cell r="B50">
            <v>64</v>
          </cell>
          <cell r="C50" t="str">
            <v>C</v>
          </cell>
          <cell r="D50" t="str">
            <v>T</v>
          </cell>
          <cell r="E50" t="str">
            <v>Luwadzi River Bridge - Ngodzi River Bridge</v>
          </cell>
          <cell r="F50" t="str">
            <v>M05</v>
          </cell>
          <cell r="G50">
            <v>19</v>
          </cell>
          <cell r="H50">
            <v>15.8</v>
          </cell>
          <cell r="I50">
            <v>7</v>
          </cell>
          <cell r="J50" t="str">
            <v>F</v>
          </cell>
          <cell r="K50" t="str">
            <v>SALIMA</v>
          </cell>
        </row>
        <row r="51">
          <cell r="A51" t="str">
            <v>RS 059</v>
          </cell>
          <cell r="B51">
            <v>59</v>
          </cell>
          <cell r="C51" t="str">
            <v>C</v>
          </cell>
          <cell r="D51" t="str">
            <v>T</v>
          </cell>
          <cell r="E51" t="str">
            <v>Ngodzi River Bridge - Mtakataka</v>
          </cell>
          <cell r="F51" t="str">
            <v>M05</v>
          </cell>
          <cell r="G51">
            <v>20</v>
          </cell>
          <cell r="H51">
            <v>14.3</v>
          </cell>
          <cell r="I51">
            <v>7</v>
          </cell>
          <cell r="J51" t="str">
            <v>F</v>
          </cell>
          <cell r="K51" t="str">
            <v>SALIMA</v>
          </cell>
        </row>
        <row r="52">
          <cell r="A52" t="str">
            <v>RS 063</v>
          </cell>
          <cell r="B52">
            <v>63</v>
          </cell>
          <cell r="C52" t="str">
            <v>C</v>
          </cell>
          <cell r="D52" t="str">
            <v>T</v>
          </cell>
          <cell r="E52" t="str">
            <v>Mtakataka - Golomoti</v>
          </cell>
          <cell r="F52" t="str">
            <v>M05</v>
          </cell>
          <cell r="G52">
            <v>21</v>
          </cell>
          <cell r="H52">
            <v>25.5</v>
          </cell>
          <cell r="I52">
            <v>7</v>
          </cell>
          <cell r="J52" t="str">
            <v>F</v>
          </cell>
          <cell r="K52" t="str">
            <v>DEDZA</v>
          </cell>
        </row>
        <row r="53">
          <cell r="A53" t="str">
            <v>RS 055</v>
          </cell>
          <cell r="B53">
            <v>55</v>
          </cell>
          <cell r="C53" t="str">
            <v>C</v>
          </cell>
          <cell r="D53" t="str">
            <v>T</v>
          </cell>
          <cell r="E53" t="str">
            <v>Golomoti - Kasinje</v>
          </cell>
          <cell r="F53" t="str">
            <v>M05</v>
          </cell>
          <cell r="G53">
            <v>22</v>
          </cell>
          <cell r="H53">
            <v>14.4</v>
          </cell>
          <cell r="I53">
            <v>8</v>
          </cell>
          <cell r="J53" t="str">
            <v>F</v>
          </cell>
          <cell r="K53" t="str">
            <v>NTCHEU</v>
          </cell>
        </row>
        <row r="54">
          <cell r="A54" t="str">
            <v>RS 041</v>
          </cell>
          <cell r="B54">
            <v>41</v>
          </cell>
          <cell r="C54" t="str">
            <v>C</v>
          </cell>
          <cell r="D54" t="str">
            <v>T</v>
          </cell>
          <cell r="E54" t="str">
            <v>Kasinje - Sharpevale</v>
          </cell>
          <cell r="F54" t="str">
            <v>M05</v>
          </cell>
          <cell r="G54">
            <v>23</v>
          </cell>
          <cell r="H54">
            <v>10.5</v>
          </cell>
          <cell r="I54">
            <v>8</v>
          </cell>
          <cell r="J54" t="str">
            <v>F</v>
          </cell>
          <cell r="K54" t="str">
            <v>NTCHEU</v>
          </cell>
        </row>
        <row r="55">
          <cell r="A55" t="str">
            <v>RS 046</v>
          </cell>
          <cell r="B55">
            <v>46</v>
          </cell>
          <cell r="C55" t="str">
            <v>C</v>
          </cell>
          <cell r="D55" t="str">
            <v>T</v>
          </cell>
          <cell r="E55" t="str">
            <v>Sharpevale - Bilila</v>
          </cell>
          <cell r="F55" t="str">
            <v>M05</v>
          </cell>
          <cell r="G55">
            <v>24</v>
          </cell>
          <cell r="H55">
            <v>28.3</v>
          </cell>
          <cell r="I55">
            <v>8</v>
          </cell>
          <cell r="J55" t="str">
            <v>R</v>
          </cell>
          <cell r="K55" t="str">
            <v>NTCHEU</v>
          </cell>
        </row>
        <row r="56">
          <cell r="A56" t="str">
            <v>RS 065</v>
          </cell>
          <cell r="B56">
            <v>65</v>
          </cell>
          <cell r="C56" t="str">
            <v>C</v>
          </cell>
          <cell r="D56" t="str">
            <v>T</v>
          </cell>
          <cell r="E56" t="str">
            <v>Bilila - Linengwe River</v>
          </cell>
          <cell r="F56" t="str">
            <v>M05</v>
          </cell>
          <cell r="G56">
            <v>25</v>
          </cell>
          <cell r="H56">
            <v>5.2</v>
          </cell>
          <cell r="I56">
            <v>8</v>
          </cell>
          <cell r="J56" t="str">
            <v>F</v>
          </cell>
          <cell r="K56" t="str">
            <v>NTCHEU</v>
          </cell>
        </row>
        <row r="57">
          <cell r="A57" t="str">
            <v>RS 056</v>
          </cell>
          <cell r="B57">
            <v>56</v>
          </cell>
          <cell r="C57" t="str">
            <v>C</v>
          </cell>
          <cell r="D57" t="str">
            <v>T</v>
          </cell>
          <cell r="E57" t="str">
            <v>Linengwe River - Balaka Market (junction M1)</v>
          </cell>
          <cell r="F57" t="str">
            <v>M05</v>
          </cell>
          <cell r="G57">
            <v>26</v>
          </cell>
          <cell r="H57">
            <v>7.4</v>
          </cell>
          <cell r="I57">
            <v>8</v>
          </cell>
          <cell r="J57" t="str">
            <v>F</v>
          </cell>
          <cell r="K57" t="str">
            <v>NTCHEU</v>
          </cell>
        </row>
        <row r="58">
          <cell r="A58" t="str">
            <v>RS 116</v>
          </cell>
          <cell r="B58">
            <v>116</v>
          </cell>
          <cell r="C58" t="str">
            <v>S</v>
          </cell>
          <cell r="D58" t="str">
            <v>T</v>
          </cell>
          <cell r="E58" t="str">
            <v>Blantyre - Limbe</v>
          </cell>
          <cell r="F58" t="str">
            <v>M02</v>
          </cell>
          <cell r="G58">
            <v>99</v>
          </cell>
          <cell r="H58">
            <v>7.9</v>
          </cell>
          <cell r="I58">
            <v>9</v>
          </cell>
          <cell r="J58" t="str">
            <v>R</v>
          </cell>
          <cell r="K58" t="str">
            <v>Same as RS 174</v>
          </cell>
          <cell r="L58" t="str">
            <v>Section not used in Study</v>
          </cell>
        </row>
        <row r="59">
          <cell r="A59" t="str">
            <v>RS 174</v>
          </cell>
          <cell r="B59">
            <v>174</v>
          </cell>
          <cell r="C59" t="str">
            <v>S</v>
          </cell>
          <cell r="D59" t="str">
            <v>U</v>
          </cell>
          <cell r="E59" t="str">
            <v>Chipembere Highway (M2, Blantyre - Limbe)</v>
          </cell>
          <cell r="F59" t="str">
            <v>Urban</v>
          </cell>
          <cell r="G59">
            <v>16</v>
          </cell>
          <cell r="H59">
            <v>9</v>
          </cell>
          <cell r="I59" t="str">
            <v>C</v>
          </cell>
          <cell r="J59" t="str">
            <v>R</v>
          </cell>
          <cell r="K59" t="str">
            <v>IN BLANTYRE CITY</v>
          </cell>
        </row>
        <row r="60">
          <cell r="A60" t="str">
            <v>RS 122</v>
          </cell>
          <cell r="B60">
            <v>122</v>
          </cell>
          <cell r="C60" t="str">
            <v>S</v>
          </cell>
          <cell r="D60" t="str">
            <v>T</v>
          </cell>
          <cell r="E60" t="str">
            <v>Nkoloma - Zomba Township Boundary</v>
          </cell>
          <cell r="F60" t="str">
            <v>M03</v>
          </cell>
          <cell r="G60">
            <v>99</v>
          </cell>
          <cell r="H60">
            <v>6.4</v>
          </cell>
          <cell r="I60">
            <v>9</v>
          </cell>
          <cell r="J60" t="str">
            <v>R</v>
          </cell>
          <cell r="K60" t="str">
            <v>Contained within RS 126</v>
          </cell>
          <cell r="L60" t="str">
            <v>Section not used in Study</v>
          </cell>
        </row>
        <row r="61">
          <cell r="A61" t="str">
            <v>RS 126</v>
          </cell>
          <cell r="B61">
            <v>126</v>
          </cell>
          <cell r="C61" t="str">
            <v>S</v>
          </cell>
          <cell r="D61" t="str">
            <v>T</v>
          </cell>
          <cell r="E61" t="str">
            <v>Namadzi River-Zomba South Township Boundary</v>
          </cell>
          <cell r="F61" t="str">
            <v>M03</v>
          </cell>
          <cell r="G61">
            <v>3</v>
          </cell>
          <cell r="H61">
            <v>13.3</v>
          </cell>
          <cell r="I61">
            <v>9</v>
          </cell>
          <cell r="J61" t="str">
            <v>R</v>
          </cell>
          <cell r="K61" t="str">
            <v>ZOMBA</v>
          </cell>
        </row>
        <row r="62">
          <cell r="A62" t="str">
            <v>RS 148</v>
          </cell>
          <cell r="B62">
            <v>148</v>
          </cell>
          <cell r="C62" t="str">
            <v>N</v>
          </cell>
          <cell r="D62" t="str">
            <v>U</v>
          </cell>
          <cell r="E62" t="str">
            <v>Mzuzu Hotel Road</v>
          </cell>
          <cell r="F62" t="str">
            <v>Urban</v>
          </cell>
          <cell r="G62" t="str">
            <v>U</v>
          </cell>
          <cell r="H62">
            <v>2</v>
          </cell>
          <cell r="I62" t="str">
            <v>C</v>
          </cell>
          <cell r="J62" t="str">
            <v>R</v>
          </cell>
          <cell r="K62" t="str">
            <v xml:space="preserve">Split into RS 849 &amp; 850 (bitumen &amp; earth sections) </v>
          </cell>
          <cell r="L62" t="str">
            <v>Section not used in Study</v>
          </cell>
        </row>
        <row r="63">
          <cell r="A63" t="str">
            <v>RS 849</v>
          </cell>
          <cell r="B63" t="str">
            <v>n.a.</v>
          </cell>
          <cell r="C63" t="str">
            <v>N</v>
          </cell>
          <cell r="D63" t="str">
            <v>U</v>
          </cell>
          <cell r="E63" t="str">
            <v>Viphya Drive (Kamuzu Avenue to Mazuzu Hotel)</v>
          </cell>
          <cell r="F63" t="str">
            <v>Urban</v>
          </cell>
          <cell r="G63" t="str">
            <v>U</v>
          </cell>
          <cell r="H63">
            <v>0.5</v>
          </cell>
          <cell r="K63" t="str">
            <v>MZUZU CITY</v>
          </cell>
        </row>
        <row r="64">
          <cell r="A64" t="str">
            <v>RS 850</v>
          </cell>
          <cell r="B64" t="str">
            <v>n.a.</v>
          </cell>
          <cell r="C64" t="str">
            <v>N</v>
          </cell>
          <cell r="D64" t="str">
            <v>U</v>
          </cell>
          <cell r="E64" t="str">
            <v>Viphya Drive (Mazuzu Hotel to end)</v>
          </cell>
          <cell r="F64" t="str">
            <v>Urban</v>
          </cell>
          <cell r="G64" t="str">
            <v>U</v>
          </cell>
          <cell r="H64">
            <v>1.5</v>
          </cell>
          <cell r="K64" t="str">
            <v>MZUZU CITY</v>
          </cell>
        </row>
        <row r="65">
          <cell r="A65" t="str">
            <v>RS 166</v>
          </cell>
          <cell r="B65">
            <v>166</v>
          </cell>
          <cell r="C65" t="str">
            <v>S</v>
          </cell>
          <cell r="D65" t="str">
            <v>U</v>
          </cell>
          <cell r="E65" t="str">
            <v>Zingwagwa Road (Chikwawa Road - Kapeni Road)</v>
          </cell>
          <cell r="F65" t="str">
            <v>Urban</v>
          </cell>
          <cell r="G65">
            <v>12</v>
          </cell>
          <cell r="H65">
            <v>7.7</v>
          </cell>
          <cell r="I65" t="str">
            <v>C</v>
          </cell>
          <cell r="J65" t="str">
            <v>R</v>
          </cell>
          <cell r="K65" t="str">
            <v>Name &amp; length modified by City Council</v>
          </cell>
          <cell r="L65" t="str">
            <v>See next line for change</v>
          </cell>
        </row>
        <row r="66">
          <cell r="A66" t="str">
            <v>RS 166</v>
          </cell>
          <cell r="B66">
            <v>166</v>
          </cell>
          <cell r="C66" t="str">
            <v>S</v>
          </cell>
          <cell r="D66" t="str">
            <v>U</v>
          </cell>
          <cell r="E66" t="str">
            <v>Kudya - Zingwagwa - Somba</v>
          </cell>
          <cell r="F66" t="str">
            <v>Urban</v>
          </cell>
          <cell r="G66">
            <v>12</v>
          </cell>
          <cell r="H66">
            <v>7.7</v>
          </cell>
          <cell r="I66" t="str">
            <v>C</v>
          </cell>
          <cell r="J66" t="str">
            <v>R</v>
          </cell>
          <cell r="K66" t="str">
            <v>IN BLANTYRE CITY</v>
          </cell>
          <cell r="L66" t="str">
            <v>New section details</v>
          </cell>
        </row>
        <row r="67">
          <cell r="A67" t="str">
            <v>RS 170</v>
          </cell>
          <cell r="B67">
            <v>170</v>
          </cell>
          <cell r="C67" t="str">
            <v>S</v>
          </cell>
          <cell r="D67" t="str">
            <v>U</v>
          </cell>
          <cell r="E67" t="str">
            <v>Zomba - Chikanda</v>
          </cell>
          <cell r="F67" t="str">
            <v>Urban</v>
          </cell>
          <cell r="G67">
            <v>99</v>
          </cell>
          <cell r="H67">
            <v>2</v>
          </cell>
          <cell r="I67" t="str">
            <v>C</v>
          </cell>
          <cell r="J67" t="str">
            <v>R</v>
          </cell>
          <cell r="K67" t="str">
            <v>Split into RS 841 &amp; 842 (bitumen &amp; earth sections)</v>
          </cell>
          <cell r="L67" t="str">
            <v>Section not used in Study</v>
          </cell>
        </row>
        <row r="68">
          <cell r="A68" t="str">
            <v>RS 841</v>
          </cell>
          <cell r="B68">
            <v>170</v>
          </cell>
          <cell r="C68" t="str">
            <v>S</v>
          </cell>
          <cell r="D68" t="str">
            <v>U</v>
          </cell>
          <cell r="E68" t="str">
            <v>Zomba - Chikanda (M1 to end bitumen)</v>
          </cell>
          <cell r="F68" t="str">
            <v>Urban</v>
          </cell>
          <cell r="G68">
            <v>18</v>
          </cell>
          <cell r="H68">
            <v>0.9</v>
          </cell>
          <cell r="I68" t="str">
            <v>C</v>
          </cell>
          <cell r="J68" t="str">
            <v>R</v>
          </cell>
          <cell r="K68" t="str">
            <v>ZOMBA CITY</v>
          </cell>
        </row>
        <row r="69">
          <cell r="A69" t="str">
            <v>RS 842</v>
          </cell>
          <cell r="B69">
            <v>170</v>
          </cell>
          <cell r="C69" t="str">
            <v>S</v>
          </cell>
          <cell r="D69" t="str">
            <v>U</v>
          </cell>
          <cell r="E69" t="str">
            <v>Zomba - Chikanda (end bitumen to end road)</v>
          </cell>
          <cell r="F69" t="str">
            <v>Urban</v>
          </cell>
          <cell r="G69">
            <v>18</v>
          </cell>
          <cell r="H69">
            <v>2.6</v>
          </cell>
          <cell r="I69" t="str">
            <v>C</v>
          </cell>
          <cell r="J69" t="str">
            <v>R</v>
          </cell>
          <cell r="K69" t="str">
            <v>ZOMBA CITY</v>
          </cell>
        </row>
        <row r="70">
          <cell r="A70" t="str">
            <v>RS 172</v>
          </cell>
          <cell r="B70">
            <v>172</v>
          </cell>
          <cell r="C70" t="str">
            <v>S</v>
          </cell>
          <cell r="D70" t="str">
            <v>U</v>
          </cell>
          <cell r="E70" t="str">
            <v>Chancellor College Road</v>
          </cell>
          <cell r="F70" t="str">
            <v>Urban</v>
          </cell>
          <cell r="G70">
            <v>99</v>
          </cell>
          <cell r="H70">
            <v>4.8</v>
          </cell>
          <cell r="I70" t="str">
            <v>C</v>
          </cell>
          <cell r="J70" t="str">
            <v>R</v>
          </cell>
          <cell r="K70" t="str">
            <v>Split into RS 843 &amp; 844 (bitumen &amp; earth sections)</v>
          </cell>
          <cell r="L70" t="str">
            <v>Section not used in Study</v>
          </cell>
        </row>
        <row r="71">
          <cell r="A71" t="str">
            <v>RS 843</v>
          </cell>
          <cell r="B71">
            <v>172</v>
          </cell>
          <cell r="C71" t="str">
            <v>S</v>
          </cell>
          <cell r="D71" t="str">
            <v>U</v>
          </cell>
          <cell r="E71" t="str">
            <v>Chancellor College Road (M1 to College - end bitumen)</v>
          </cell>
          <cell r="F71" t="str">
            <v>Urban</v>
          </cell>
          <cell r="G71">
            <v>20</v>
          </cell>
          <cell r="H71">
            <v>2.6</v>
          </cell>
          <cell r="I71" t="str">
            <v>C</v>
          </cell>
          <cell r="J71" t="str">
            <v>R</v>
          </cell>
          <cell r="K71" t="str">
            <v>ZOMBA CITY</v>
          </cell>
        </row>
        <row r="72">
          <cell r="A72" t="str">
            <v>RS 844</v>
          </cell>
          <cell r="B72">
            <v>172</v>
          </cell>
          <cell r="C72" t="str">
            <v>S</v>
          </cell>
          <cell r="D72" t="str">
            <v>U</v>
          </cell>
          <cell r="E72" t="str">
            <v>Chancellor College Road (end bitumen to end road)</v>
          </cell>
          <cell r="F72" t="str">
            <v>Urban</v>
          </cell>
          <cell r="G72">
            <v>20</v>
          </cell>
          <cell r="H72">
            <v>2.2000000000000002</v>
          </cell>
          <cell r="I72" t="str">
            <v>C</v>
          </cell>
          <cell r="J72" t="str">
            <v>R</v>
          </cell>
          <cell r="K72" t="str">
            <v>ZOMBA CITY</v>
          </cell>
        </row>
        <row r="73">
          <cell r="A73" t="str">
            <v>RS 175</v>
          </cell>
          <cell r="B73">
            <v>175</v>
          </cell>
          <cell r="C73" t="str">
            <v>S</v>
          </cell>
          <cell r="D73" t="str">
            <v>T</v>
          </cell>
          <cell r="E73" t="str">
            <v>Chileka Via Chirimba</v>
          </cell>
          <cell r="F73" t="str">
            <v>S137</v>
          </cell>
          <cell r="G73">
            <v>99</v>
          </cell>
          <cell r="H73">
            <v>18.7</v>
          </cell>
          <cell r="I73">
            <v>9</v>
          </cell>
          <cell r="J73" t="str">
            <v>F</v>
          </cell>
          <cell r="K73" t="str">
            <v>Contains RS 382 &amp; 838</v>
          </cell>
          <cell r="L73" t="str">
            <v>Section not used in Study</v>
          </cell>
        </row>
        <row r="74">
          <cell r="A74" t="str">
            <v>RS 382</v>
          </cell>
          <cell r="B74">
            <v>204</v>
          </cell>
          <cell r="C74" t="str">
            <v>S</v>
          </cell>
          <cell r="D74" t="str">
            <v>T</v>
          </cell>
          <cell r="E74" t="str">
            <v>Chileka Airport - Chirimba (junction M1)</v>
          </cell>
          <cell r="F74" t="str">
            <v>S137</v>
          </cell>
          <cell r="G74">
            <v>6</v>
          </cell>
          <cell r="H74">
            <v>8.3000000000000007</v>
          </cell>
          <cell r="I74">
            <v>9</v>
          </cell>
          <cell r="J74" t="str">
            <v>H</v>
          </cell>
          <cell r="K74" t="str">
            <v>BLANTYRE</v>
          </cell>
        </row>
        <row r="75">
          <cell r="A75" t="str">
            <v>RS 838</v>
          </cell>
          <cell r="B75" t="str">
            <v>n.a.</v>
          </cell>
          <cell r="C75" t="str">
            <v>S</v>
          </cell>
          <cell r="D75" t="str">
            <v>U</v>
          </cell>
          <cell r="E75" t="str">
            <v>Clock Tower - junction M1 (via road S137)</v>
          </cell>
          <cell r="F75" t="str">
            <v>Urban</v>
          </cell>
          <cell r="G75">
            <v>17</v>
          </cell>
          <cell r="H75">
            <v>10.4</v>
          </cell>
          <cell r="I75">
            <v>9</v>
          </cell>
          <cell r="J75" t="str">
            <v>R</v>
          </cell>
          <cell r="K75" t="str">
            <v>BLANTYRE CITY</v>
          </cell>
          <cell r="L75" t="str">
            <v>New section part original RS 175</v>
          </cell>
        </row>
        <row r="76">
          <cell r="A76" t="str">
            <v>RS 177</v>
          </cell>
          <cell r="B76">
            <v>177</v>
          </cell>
          <cell r="C76" t="str">
            <v>S</v>
          </cell>
          <cell r="D76" t="str">
            <v>U</v>
          </cell>
          <cell r="E76" t="str">
            <v>Air Wing Road</v>
          </cell>
          <cell r="F76" t="str">
            <v>Urban</v>
          </cell>
          <cell r="G76">
            <v>99</v>
          </cell>
          <cell r="H76">
            <v>8.6999999999999993</v>
          </cell>
          <cell r="I76" t="str">
            <v>C</v>
          </cell>
          <cell r="J76" t="str">
            <v>R</v>
          </cell>
          <cell r="K76" t="str">
            <v>Same as RS 393</v>
          </cell>
          <cell r="L76" t="str">
            <v>Section not used in Study</v>
          </cell>
        </row>
        <row r="77">
          <cell r="A77" t="str">
            <v>RS 393</v>
          </cell>
          <cell r="B77">
            <v>215</v>
          </cell>
          <cell r="C77" t="str">
            <v>S</v>
          </cell>
          <cell r="D77" t="str">
            <v>T</v>
          </cell>
          <cell r="E77" t="str">
            <v>M3 junction - Ndege (Air Wing)</v>
          </cell>
          <cell r="F77" t="str">
            <v>S143</v>
          </cell>
          <cell r="G77">
            <v>1</v>
          </cell>
          <cell r="H77">
            <v>3.9</v>
          </cell>
          <cell r="I77">
            <v>9</v>
          </cell>
          <cell r="J77" t="str">
            <v>F</v>
          </cell>
          <cell r="K77" t="str">
            <v>ZOMBA</v>
          </cell>
        </row>
        <row r="78">
          <cell r="A78" t="str">
            <v>RS 178</v>
          </cell>
          <cell r="B78">
            <v>178</v>
          </cell>
          <cell r="C78" t="str">
            <v>S</v>
          </cell>
          <cell r="D78" t="str">
            <v>U</v>
          </cell>
          <cell r="E78" t="str">
            <v>Balaka Loop</v>
          </cell>
          <cell r="F78" t="str">
            <v>Urban</v>
          </cell>
          <cell r="G78">
            <v>99</v>
          </cell>
          <cell r="H78">
            <v>1.5</v>
          </cell>
          <cell r="I78">
            <v>8</v>
          </cell>
          <cell r="J78" t="str">
            <v>-</v>
          </cell>
          <cell r="K78" t="str">
            <v>Same as RS 139</v>
          </cell>
          <cell r="L78" t="str">
            <v>Section not used in Study</v>
          </cell>
        </row>
        <row r="79">
          <cell r="A79" t="str">
            <v>RS 139</v>
          </cell>
          <cell r="B79">
            <v>139</v>
          </cell>
          <cell r="C79" t="str">
            <v>S</v>
          </cell>
          <cell r="D79" t="str">
            <v>T</v>
          </cell>
          <cell r="E79" t="str">
            <v xml:space="preserve">Balaka Loop </v>
          </cell>
          <cell r="F79" t="str">
            <v>Urban</v>
          </cell>
          <cell r="G79">
            <v>31</v>
          </cell>
          <cell r="H79">
            <v>1.5</v>
          </cell>
          <cell r="I79">
            <v>8</v>
          </cell>
          <cell r="J79" t="str">
            <v>F</v>
          </cell>
          <cell r="K79" t="str">
            <v>BALAKA TOWN</v>
          </cell>
        </row>
        <row r="80">
          <cell r="A80" t="str">
            <v>RS 179</v>
          </cell>
          <cell r="B80">
            <v>1</v>
          </cell>
          <cell r="C80" t="str">
            <v>N</v>
          </cell>
          <cell r="D80" t="str">
            <v>T</v>
          </cell>
          <cell r="E80" t="str">
            <v>Mkoma - Chelinda T/off</v>
          </cell>
          <cell r="F80" t="str">
            <v>M09</v>
          </cell>
          <cell r="G80" t="str">
            <v>T</v>
          </cell>
          <cell r="H80">
            <v>211.3</v>
          </cell>
          <cell r="I80">
            <v>2</v>
          </cell>
          <cell r="J80" t="str">
            <v>H</v>
          </cell>
          <cell r="K80" t="str">
            <v>Split into RS 847 &amp; 848 for link separation</v>
          </cell>
          <cell r="L80" t="str">
            <v>Section not used in Study</v>
          </cell>
        </row>
        <row r="81">
          <cell r="A81" t="str">
            <v>RS 847</v>
          </cell>
          <cell r="B81" t="str">
            <v>n.a.</v>
          </cell>
          <cell r="C81" t="str">
            <v>N</v>
          </cell>
          <cell r="D81" t="str">
            <v>T</v>
          </cell>
          <cell r="E81" t="str">
            <v>Mkoma (Tanzania border) - Chitipa</v>
          </cell>
          <cell r="F81" t="str">
            <v>M09</v>
          </cell>
          <cell r="G81">
            <v>1</v>
          </cell>
          <cell r="H81">
            <v>44.5</v>
          </cell>
          <cell r="I81">
            <v>1</v>
          </cell>
          <cell r="J81" t="str">
            <v>R</v>
          </cell>
          <cell r="K81" t="str">
            <v>CHITIPA</v>
          </cell>
          <cell r="L81" t="str">
            <v>New section part of original RS 179</v>
          </cell>
        </row>
        <row r="82">
          <cell r="A82" t="str">
            <v>RS 848</v>
          </cell>
          <cell r="B82" t="str">
            <v>n.a.</v>
          </cell>
          <cell r="C82" t="str">
            <v>N</v>
          </cell>
          <cell r="D82" t="str">
            <v>T</v>
          </cell>
          <cell r="E82" t="str">
            <v>Chitipa - Chelinda T/off</v>
          </cell>
          <cell r="F82" t="str">
            <v>M09</v>
          </cell>
          <cell r="G82">
            <v>2</v>
          </cell>
          <cell r="H82">
            <v>166.8</v>
          </cell>
          <cell r="I82">
            <v>1</v>
          </cell>
          <cell r="J82" t="str">
            <v>R</v>
          </cell>
          <cell r="K82" t="str">
            <v>CHITIPA</v>
          </cell>
          <cell r="L82" t="str">
            <v>New section part of original RS 179</v>
          </cell>
        </row>
        <row r="83">
          <cell r="A83" t="str">
            <v>RS 217</v>
          </cell>
          <cell r="B83">
            <v>39</v>
          </cell>
          <cell r="C83" t="str">
            <v>C</v>
          </cell>
          <cell r="D83" t="str">
            <v>T</v>
          </cell>
          <cell r="E83" t="str">
            <v>Railroad Bridge - Kanyenyeva</v>
          </cell>
          <cell r="F83" t="str">
            <v>M14</v>
          </cell>
          <cell r="G83" t="str">
            <v>T</v>
          </cell>
          <cell r="H83">
            <v>12</v>
          </cell>
          <cell r="I83">
            <v>6</v>
          </cell>
          <cell r="J83" t="str">
            <v>R</v>
          </cell>
          <cell r="K83" t="str">
            <v>Contained within RS 216</v>
          </cell>
          <cell r="L83" t="str">
            <v>Section not used in Study</v>
          </cell>
        </row>
        <row r="84">
          <cell r="A84" t="str">
            <v>RS 216</v>
          </cell>
          <cell r="B84">
            <v>38</v>
          </cell>
          <cell r="C84" t="str">
            <v>C</v>
          </cell>
          <cell r="D84" t="str">
            <v>T</v>
          </cell>
          <cell r="E84" t="str">
            <v>Kachinchezo - Kanyenyeva</v>
          </cell>
          <cell r="F84" t="str">
            <v>M14</v>
          </cell>
          <cell r="G84">
            <v>4</v>
          </cell>
          <cell r="H84">
            <v>10.8</v>
          </cell>
          <cell r="I84">
            <v>6</v>
          </cell>
          <cell r="J84" t="str">
            <v>R</v>
          </cell>
          <cell r="K84" t="str">
            <v>DOWA</v>
          </cell>
          <cell r="L84" t="str">
            <v>Changed designation from M16 to M14</v>
          </cell>
        </row>
        <row r="85">
          <cell r="A85" t="str">
            <v>RS 225</v>
          </cell>
          <cell r="B85">
            <v>47</v>
          </cell>
          <cell r="C85" t="str">
            <v>C</v>
          </cell>
          <cell r="D85" t="str">
            <v>T</v>
          </cell>
          <cell r="E85" t="str">
            <v>Msulira - Nkhotakota</v>
          </cell>
          <cell r="F85" t="str">
            <v>M18</v>
          </cell>
          <cell r="G85">
            <v>99</v>
          </cell>
          <cell r="H85">
            <v>80</v>
          </cell>
          <cell r="I85" t="str">
            <v>-</v>
          </cell>
          <cell r="J85" t="str">
            <v>-</v>
          </cell>
          <cell r="K85" t="str">
            <v>Contains RS 49,224,222,223,837,259</v>
          </cell>
          <cell r="L85" t="str">
            <v>Section not used in Study</v>
          </cell>
        </row>
        <row r="86">
          <cell r="A86" t="str">
            <v>RS 049</v>
          </cell>
          <cell r="B86">
            <v>49</v>
          </cell>
          <cell r="C86" t="str">
            <v>C</v>
          </cell>
          <cell r="D86" t="str">
            <v>T</v>
          </cell>
          <cell r="E86" t="str">
            <v>Nkhota-kota - Malenga</v>
          </cell>
          <cell r="F86" t="str">
            <v>M18</v>
          </cell>
          <cell r="G86">
            <v>1</v>
          </cell>
          <cell r="H86">
            <v>5.6</v>
          </cell>
          <cell r="I86">
            <v>5</v>
          </cell>
          <cell r="J86" t="str">
            <v>F</v>
          </cell>
          <cell r="K86" t="str">
            <v>NKHOTA KOTA</v>
          </cell>
          <cell r="L86" t="str">
            <v>Changed designation from M5 to M18</v>
          </cell>
        </row>
        <row r="87">
          <cell r="A87" t="str">
            <v>RS 224</v>
          </cell>
          <cell r="B87">
            <v>46</v>
          </cell>
          <cell r="C87" t="str">
            <v>C</v>
          </cell>
          <cell r="D87" t="str">
            <v>T</v>
          </cell>
          <cell r="E87" t="str">
            <v>Malenga - Nkhotakota Game Reserve</v>
          </cell>
          <cell r="F87" t="str">
            <v>M18</v>
          </cell>
          <cell r="G87">
            <v>2</v>
          </cell>
          <cell r="H87">
            <v>16.100000000000001</v>
          </cell>
          <cell r="I87">
            <v>5</v>
          </cell>
          <cell r="J87" t="str">
            <v>F</v>
          </cell>
          <cell r="K87" t="str">
            <v>NKHOTA KOTA</v>
          </cell>
        </row>
        <row r="88">
          <cell r="A88" t="str">
            <v>RS 222</v>
          </cell>
          <cell r="B88">
            <v>44</v>
          </cell>
          <cell r="C88" t="str">
            <v>C</v>
          </cell>
          <cell r="D88" t="str">
            <v>T</v>
          </cell>
          <cell r="E88" t="str">
            <v>Nkhotakota Game Reserve - Mbobo</v>
          </cell>
          <cell r="F88" t="str">
            <v>M18</v>
          </cell>
          <cell r="G88">
            <v>3</v>
          </cell>
          <cell r="H88">
            <v>32.6</v>
          </cell>
          <cell r="I88">
            <v>5</v>
          </cell>
          <cell r="J88" t="str">
            <v>R</v>
          </cell>
          <cell r="K88" t="str">
            <v>NKHOTA KOTA &amp; NTCHISI</v>
          </cell>
        </row>
        <row r="89">
          <cell r="A89" t="str">
            <v>RS 223</v>
          </cell>
          <cell r="B89">
            <v>45</v>
          </cell>
          <cell r="C89" t="str">
            <v>C</v>
          </cell>
          <cell r="D89" t="str">
            <v>T</v>
          </cell>
          <cell r="E89" t="str">
            <v>Mbobo - Malomo T.C.</v>
          </cell>
          <cell r="F89" t="str">
            <v>M18</v>
          </cell>
          <cell r="G89">
            <v>4</v>
          </cell>
          <cell r="H89">
            <v>18.100000000000001</v>
          </cell>
          <cell r="I89">
            <v>5</v>
          </cell>
          <cell r="J89" t="str">
            <v>R</v>
          </cell>
          <cell r="K89" t="str">
            <v>NTCHISI</v>
          </cell>
        </row>
        <row r="90">
          <cell r="A90" t="str">
            <v>RS 837</v>
          </cell>
          <cell r="B90" t="str">
            <v>n.a.</v>
          </cell>
          <cell r="C90" t="str">
            <v>C</v>
          </cell>
          <cell r="D90" t="str">
            <v>T</v>
          </cell>
          <cell r="E90" t="str">
            <v>Malomo T.C. - Chima</v>
          </cell>
          <cell r="F90" t="str">
            <v>M18</v>
          </cell>
          <cell r="G90">
            <v>5</v>
          </cell>
          <cell r="H90">
            <v>14.4</v>
          </cell>
          <cell r="I90">
            <v>6</v>
          </cell>
          <cell r="J90" t="str">
            <v>R</v>
          </cell>
          <cell r="K90" t="str">
            <v>LILONGWE</v>
          </cell>
          <cell r="L90" t="str">
            <v>New section part of RS 225</v>
          </cell>
        </row>
        <row r="91">
          <cell r="A91" t="str">
            <v>RS 259</v>
          </cell>
          <cell r="B91">
            <v>81</v>
          </cell>
          <cell r="C91" t="str">
            <v>C</v>
          </cell>
          <cell r="D91" t="str">
            <v>T</v>
          </cell>
          <cell r="E91" t="str">
            <v>Chima - Chilowamatambe</v>
          </cell>
          <cell r="F91" t="str">
            <v>M18</v>
          </cell>
          <cell r="G91">
            <v>6</v>
          </cell>
          <cell r="H91">
            <v>14.9</v>
          </cell>
          <cell r="I91">
            <v>5</v>
          </cell>
          <cell r="J91" t="str">
            <v>F</v>
          </cell>
          <cell r="K91" t="str">
            <v>KASUNGU</v>
          </cell>
          <cell r="L91" t="str">
            <v>Changed designation from S120 to M18. Now by-passed.</v>
          </cell>
        </row>
        <row r="92">
          <cell r="A92" t="str">
            <v>RS 228</v>
          </cell>
          <cell r="B92">
            <v>50</v>
          </cell>
          <cell r="C92" t="str">
            <v>C</v>
          </cell>
          <cell r="D92" t="str">
            <v>T</v>
          </cell>
          <cell r="E92" t="str">
            <v>Msokera - Lisitu River</v>
          </cell>
          <cell r="F92" t="str">
            <v>S114</v>
          </cell>
          <cell r="G92">
            <v>99</v>
          </cell>
          <cell r="H92">
            <v>32.5</v>
          </cell>
          <cell r="I92">
            <v>5</v>
          </cell>
          <cell r="J92" t="str">
            <v>F</v>
          </cell>
          <cell r="K92" t="str">
            <v>Contained within RS 229</v>
          </cell>
          <cell r="L92" t="str">
            <v>Section not used in Study</v>
          </cell>
        </row>
        <row r="93">
          <cell r="A93" t="str">
            <v>RS 229</v>
          </cell>
          <cell r="B93">
            <v>51</v>
          </cell>
          <cell r="C93" t="str">
            <v>C</v>
          </cell>
          <cell r="D93" t="str">
            <v>T</v>
          </cell>
          <cell r="E93" t="str">
            <v>Kasungu - Lifupa (Kasungu National Park)</v>
          </cell>
          <cell r="F93" t="str">
            <v>S114</v>
          </cell>
          <cell r="G93">
            <v>1</v>
          </cell>
          <cell r="H93">
            <v>47</v>
          </cell>
          <cell r="I93">
            <v>5</v>
          </cell>
          <cell r="J93" t="str">
            <v>F</v>
          </cell>
          <cell r="K93" t="str">
            <v>KASUNGU</v>
          </cell>
        </row>
        <row r="94">
          <cell r="A94" t="str">
            <v>RS 230</v>
          </cell>
          <cell r="B94">
            <v>52</v>
          </cell>
          <cell r="C94" t="str">
            <v>C</v>
          </cell>
          <cell r="D94" t="str">
            <v>T</v>
          </cell>
          <cell r="E94" t="str">
            <v>Dangaliro - Nambuma River</v>
          </cell>
          <cell r="F94" t="str">
            <v>S115</v>
          </cell>
          <cell r="G94">
            <v>99</v>
          </cell>
          <cell r="H94">
            <v>9.8000000000000007</v>
          </cell>
          <cell r="I94">
            <v>6</v>
          </cell>
          <cell r="J94" t="str">
            <v>F</v>
          </cell>
          <cell r="K94" t="str">
            <v>Contained in RS 232 &amp; 231</v>
          </cell>
          <cell r="L94" t="str">
            <v>Section not used in Study</v>
          </cell>
        </row>
        <row r="95">
          <cell r="A95" t="str">
            <v>RS 232</v>
          </cell>
          <cell r="B95">
            <v>54</v>
          </cell>
          <cell r="C95" t="str">
            <v>C</v>
          </cell>
          <cell r="D95" t="str">
            <v>T</v>
          </cell>
          <cell r="E95" t="str">
            <v>Dangaliro - Mkulumimba</v>
          </cell>
          <cell r="F95" t="str">
            <v>S115</v>
          </cell>
          <cell r="G95">
            <v>3</v>
          </cell>
          <cell r="H95">
            <v>15.4</v>
          </cell>
          <cell r="I95">
            <v>6</v>
          </cell>
          <cell r="J95" t="str">
            <v>F</v>
          </cell>
          <cell r="K95" t="str">
            <v>DOWA</v>
          </cell>
        </row>
        <row r="96">
          <cell r="A96" t="str">
            <v>RS 231</v>
          </cell>
          <cell r="B96">
            <v>53</v>
          </cell>
          <cell r="C96" t="str">
            <v>C</v>
          </cell>
          <cell r="D96" t="str">
            <v>T</v>
          </cell>
          <cell r="E96" t="str">
            <v>Mkulumimba - Bua River Bridge</v>
          </cell>
          <cell r="F96" t="str">
            <v>S115</v>
          </cell>
          <cell r="G96">
            <v>4</v>
          </cell>
          <cell r="H96">
            <v>13</v>
          </cell>
          <cell r="I96">
            <v>6</v>
          </cell>
          <cell r="J96" t="str">
            <v>F</v>
          </cell>
          <cell r="K96" t="str">
            <v>DOWA &amp; LILONGWE</v>
          </cell>
        </row>
        <row r="97">
          <cell r="A97" t="str">
            <v>RS 263</v>
          </cell>
          <cell r="B97">
            <v>85</v>
          </cell>
          <cell r="C97" t="str">
            <v>C</v>
          </cell>
          <cell r="D97" t="str">
            <v>T</v>
          </cell>
          <cell r="E97" t="str">
            <v>Kamphata - Nkhoma</v>
          </cell>
          <cell r="F97" t="str">
            <v>S121</v>
          </cell>
          <cell r="G97">
            <v>99</v>
          </cell>
          <cell r="H97">
            <v>16</v>
          </cell>
          <cell r="I97">
            <v>6</v>
          </cell>
          <cell r="J97" t="str">
            <v>F</v>
          </cell>
          <cell r="K97" t="str">
            <v>Contains RS 273 &amp; 265 (Part of T373)</v>
          </cell>
          <cell r="L97" t="str">
            <v>Section not used in Study</v>
          </cell>
        </row>
        <row r="98">
          <cell r="A98" t="str">
            <v>RS 273</v>
          </cell>
          <cell r="B98">
            <v>95</v>
          </cell>
          <cell r="C98" t="str">
            <v>C</v>
          </cell>
          <cell r="D98" t="str">
            <v>T</v>
          </cell>
          <cell r="E98" t="str">
            <v>Chamadenga - Kamphata</v>
          </cell>
          <cell r="F98" t="str">
            <v>S121</v>
          </cell>
          <cell r="G98">
            <v>8</v>
          </cell>
          <cell r="H98">
            <v>9.1</v>
          </cell>
          <cell r="I98">
            <v>6</v>
          </cell>
          <cell r="J98" t="str">
            <v>F</v>
          </cell>
          <cell r="K98" t="str">
            <v>LILONGWE</v>
          </cell>
        </row>
        <row r="99">
          <cell r="A99" t="str">
            <v>RS 265</v>
          </cell>
          <cell r="B99">
            <v>87</v>
          </cell>
          <cell r="C99" t="str">
            <v>C</v>
          </cell>
          <cell r="D99" t="str">
            <v>F</v>
          </cell>
          <cell r="E99" t="str">
            <v>Chamadenga - Katete River</v>
          </cell>
          <cell r="F99" t="str">
            <v>T373</v>
          </cell>
          <cell r="G99">
            <v>1</v>
          </cell>
          <cell r="H99">
            <v>6.3</v>
          </cell>
          <cell r="I99">
            <v>6</v>
          </cell>
          <cell r="J99" t="str">
            <v>F</v>
          </cell>
          <cell r="K99" t="str">
            <v>LILONGWE</v>
          </cell>
          <cell r="L99" t="str">
            <v>Changed designation from S121 to T373</v>
          </cell>
        </row>
        <row r="100">
          <cell r="A100" t="str">
            <v>RS 244</v>
          </cell>
          <cell r="B100">
            <v>66</v>
          </cell>
          <cell r="C100" t="str">
            <v>C</v>
          </cell>
          <cell r="D100" t="str">
            <v>T</v>
          </cell>
          <cell r="E100" t="str">
            <v>Santhe T.C. - Bua River</v>
          </cell>
          <cell r="F100" t="str">
            <v>S117</v>
          </cell>
          <cell r="G100">
            <v>2</v>
          </cell>
          <cell r="H100">
            <v>6.5</v>
          </cell>
          <cell r="I100" t="str">
            <v>F</v>
          </cell>
          <cell r="J100" t="str">
            <v>KASUNGU</v>
          </cell>
          <cell r="K100" t="str">
            <v>Contained within  RS 246</v>
          </cell>
          <cell r="L100" t="str">
            <v>Section not used in Study</v>
          </cell>
        </row>
        <row r="101">
          <cell r="A101" t="str">
            <v>RS 246</v>
          </cell>
          <cell r="B101">
            <v>68</v>
          </cell>
          <cell r="C101" t="str">
            <v>C</v>
          </cell>
          <cell r="D101" t="str">
            <v>T</v>
          </cell>
          <cell r="E101" t="str">
            <v>Bua River - Chilobwe - Mbabzi</v>
          </cell>
          <cell r="F101" t="str">
            <v>S117</v>
          </cell>
          <cell r="G101">
            <v>3</v>
          </cell>
          <cell r="H101">
            <v>93</v>
          </cell>
          <cell r="I101" t="str">
            <v>F</v>
          </cell>
          <cell r="J101" t="str">
            <v>LL &amp; MC &amp; KU</v>
          </cell>
          <cell r="K101" t="str">
            <v>LILONGWE/MCHINJI/KASUNGU</v>
          </cell>
        </row>
        <row r="102">
          <cell r="A102" t="str">
            <v>RS 287</v>
          </cell>
          <cell r="B102">
            <v>109</v>
          </cell>
          <cell r="C102" t="str">
            <v>C</v>
          </cell>
          <cell r="D102" t="str">
            <v>T</v>
          </cell>
          <cell r="E102" t="str">
            <v>Sitima - Diamphwe River</v>
          </cell>
          <cell r="F102" t="str">
            <v>S124</v>
          </cell>
          <cell r="G102">
            <v>99</v>
          </cell>
          <cell r="H102">
            <v>6.1</v>
          </cell>
          <cell r="I102">
            <v>6</v>
          </cell>
          <cell r="J102" t="str">
            <v>F</v>
          </cell>
          <cell r="K102" t="str">
            <v>Contains RS 661,284,286,288</v>
          </cell>
          <cell r="L102" t="str">
            <v>Section not used in Study</v>
          </cell>
        </row>
        <row r="103">
          <cell r="A103" t="str">
            <v>RS 661</v>
          </cell>
          <cell r="B103">
            <v>483</v>
          </cell>
          <cell r="C103" t="str">
            <v>C</v>
          </cell>
          <cell r="D103" t="str">
            <v>T</v>
          </cell>
          <cell r="E103" t="str">
            <v>Sitima - Kambalanje</v>
          </cell>
          <cell r="F103" t="str">
            <v>S124</v>
          </cell>
          <cell r="G103">
            <v>8</v>
          </cell>
          <cell r="H103">
            <v>1.9</v>
          </cell>
          <cell r="I103">
            <v>6</v>
          </cell>
          <cell r="J103" t="str">
            <v>F</v>
          </cell>
          <cell r="K103" t="str">
            <v>LILONGWE</v>
          </cell>
          <cell r="L103" t="str">
            <v>Changed designation from D198 to S124</v>
          </cell>
        </row>
        <row r="104">
          <cell r="A104" t="str">
            <v>RS 284</v>
          </cell>
          <cell r="B104">
            <v>106</v>
          </cell>
          <cell r="C104" t="str">
            <v>C</v>
          </cell>
          <cell r="D104" t="str">
            <v>T</v>
          </cell>
          <cell r="E104" t="str">
            <v>Kambalanje - Chisendera</v>
          </cell>
          <cell r="F104" t="str">
            <v>S124</v>
          </cell>
          <cell r="G104">
            <v>9</v>
          </cell>
          <cell r="H104">
            <v>7.5</v>
          </cell>
          <cell r="I104">
            <v>6</v>
          </cell>
          <cell r="J104" t="str">
            <v>F</v>
          </cell>
          <cell r="K104" t="str">
            <v>LILONGWE</v>
          </cell>
        </row>
        <row r="105">
          <cell r="A105" t="str">
            <v>RS 286</v>
          </cell>
          <cell r="B105">
            <v>108</v>
          </cell>
          <cell r="C105" t="str">
            <v>C</v>
          </cell>
          <cell r="D105" t="str">
            <v>T</v>
          </cell>
          <cell r="E105" t="str">
            <v>Chisendera - Mlozesi</v>
          </cell>
          <cell r="F105" t="str">
            <v>S124</v>
          </cell>
          <cell r="G105">
            <v>10</v>
          </cell>
          <cell r="H105">
            <v>4.9000000000000004</v>
          </cell>
          <cell r="I105">
            <v>6</v>
          </cell>
          <cell r="J105" t="str">
            <v>F</v>
          </cell>
          <cell r="K105" t="str">
            <v>LILONGWE</v>
          </cell>
        </row>
        <row r="106">
          <cell r="A106" t="str">
            <v>RS 288</v>
          </cell>
          <cell r="B106">
            <v>110</v>
          </cell>
          <cell r="C106" t="str">
            <v>C</v>
          </cell>
          <cell r="D106" t="str">
            <v>T</v>
          </cell>
          <cell r="E106" t="str">
            <v>Mlozesi - Diamphwe River</v>
          </cell>
          <cell r="F106" t="str">
            <v>S124</v>
          </cell>
          <cell r="G106">
            <v>11</v>
          </cell>
          <cell r="H106">
            <v>4.5</v>
          </cell>
          <cell r="I106">
            <v>6</v>
          </cell>
          <cell r="J106" t="str">
            <v>F</v>
          </cell>
          <cell r="K106" t="str">
            <v>LILONGWE</v>
          </cell>
        </row>
        <row r="107">
          <cell r="A107" t="str">
            <v>RS 316</v>
          </cell>
          <cell r="B107">
            <v>138</v>
          </cell>
          <cell r="C107" t="str">
            <v>S</v>
          </cell>
          <cell r="D107" t="str">
            <v>T</v>
          </cell>
          <cell r="E107" t="str">
            <v>Ngabu - Lalanje River</v>
          </cell>
          <cell r="F107" t="str">
            <v>M01</v>
          </cell>
          <cell r="G107">
            <v>99</v>
          </cell>
          <cell r="H107">
            <v>17.399999999999999</v>
          </cell>
          <cell r="I107">
            <v>3</v>
          </cell>
          <cell r="J107" t="str">
            <v>F</v>
          </cell>
          <cell r="K107" t="str">
            <v>Same as RS 097</v>
          </cell>
          <cell r="L107" t="str">
            <v>Section not used in Study</v>
          </cell>
        </row>
        <row r="108">
          <cell r="A108" t="str">
            <v>RS 097</v>
          </cell>
          <cell r="B108">
            <v>97</v>
          </cell>
          <cell r="C108" t="str">
            <v>S</v>
          </cell>
          <cell r="D108" t="str">
            <v>T</v>
          </cell>
          <cell r="E108" t="str">
            <v>Ngabu - Lalanje River</v>
          </cell>
          <cell r="F108" t="str">
            <v>M01</v>
          </cell>
          <cell r="G108">
            <v>50</v>
          </cell>
          <cell r="H108">
            <v>17.399999999999999</v>
          </cell>
          <cell r="I108">
            <v>10</v>
          </cell>
          <cell r="J108" t="str">
            <v>F</v>
          </cell>
          <cell r="K108" t="str">
            <v>CHIKWAWA</v>
          </cell>
        </row>
        <row r="109">
          <cell r="A109" t="str">
            <v>RS 319</v>
          </cell>
          <cell r="B109">
            <v>141</v>
          </cell>
          <cell r="C109" t="str">
            <v>S</v>
          </cell>
          <cell r="D109" t="str">
            <v>T</v>
          </cell>
          <cell r="E109" t="str">
            <v>Bango - Mirale Police Post</v>
          </cell>
          <cell r="F109" t="str">
            <v>M01</v>
          </cell>
          <cell r="G109">
            <v>99</v>
          </cell>
          <cell r="H109">
            <v>11.4</v>
          </cell>
          <cell r="I109">
            <v>9</v>
          </cell>
          <cell r="J109" t="str">
            <v>R</v>
          </cell>
          <cell r="K109" t="str">
            <v>Same as RS 104</v>
          </cell>
          <cell r="L109" t="str">
            <v>Section not used in Study</v>
          </cell>
        </row>
        <row r="110">
          <cell r="A110" t="str">
            <v>RS 104</v>
          </cell>
          <cell r="B110">
            <v>104</v>
          </cell>
          <cell r="C110" t="str">
            <v>S</v>
          </cell>
          <cell r="D110" t="str">
            <v>T</v>
          </cell>
          <cell r="E110" t="str">
            <v>Bango - Mirale Police Post</v>
          </cell>
          <cell r="F110" t="str">
            <v>M01</v>
          </cell>
          <cell r="G110">
            <v>42</v>
          </cell>
          <cell r="H110">
            <v>11.4</v>
          </cell>
          <cell r="I110">
            <v>9</v>
          </cell>
          <cell r="J110" t="str">
            <v>R</v>
          </cell>
          <cell r="K110" t="str">
            <v>BLANTYRE</v>
          </cell>
        </row>
        <row r="111">
          <cell r="A111" t="str">
            <v>RS 330</v>
          </cell>
          <cell r="B111">
            <v>152</v>
          </cell>
          <cell r="C111" t="str">
            <v>S</v>
          </cell>
          <cell r="D111" t="str">
            <v>T</v>
          </cell>
          <cell r="E111" t="str">
            <v>Losa - Luwanje</v>
          </cell>
          <cell r="F111" t="str">
            <v>M04</v>
          </cell>
          <cell r="G111">
            <v>99</v>
          </cell>
          <cell r="H111">
            <v>15.6</v>
          </cell>
          <cell r="I111">
            <v>9</v>
          </cell>
          <cell r="J111" t="str">
            <v>R</v>
          </cell>
          <cell r="K111" t="str">
            <v>Contains RS 758 &amp; 838</v>
          </cell>
          <cell r="L111" t="str">
            <v>Section not used in Study</v>
          </cell>
        </row>
        <row r="112">
          <cell r="A112" t="str">
            <v>RS 758</v>
          </cell>
          <cell r="B112">
            <v>580</v>
          </cell>
          <cell r="C112" t="str">
            <v>S</v>
          </cell>
          <cell r="D112" t="str">
            <v>T</v>
          </cell>
          <cell r="E112" t="str">
            <v>Losa - Thuchila River Bridge</v>
          </cell>
          <cell r="F112" t="str">
            <v>M04</v>
          </cell>
          <cell r="G112">
            <v>4</v>
          </cell>
          <cell r="H112">
            <v>8.6999999999999993</v>
          </cell>
          <cell r="I112">
            <v>9</v>
          </cell>
          <cell r="J112" t="str">
            <v>F</v>
          </cell>
          <cell r="K112" t="str">
            <v>MULANJE</v>
          </cell>
          <cell r="L112" t="str">
            <v>Changed designation from T413  to M04</v>
          </cell>
        </row>
        <row r="113">
          <cell r="A113" t="str">
            <v>RS 838</v>
          </cell>
          <cell r="B113" t="str">
            <v>n.a.</v>
          </cell>
          <cell r="C113" t="str">
            <v>S</v>
          </cell>
          <cell r="D113" t="str">
            <v>T</v>
          </cell>
          <cell r="E113" t="str">
            <v>Thuchila River Bridge - Luwanje T.C.</v>
          </cell>
          <cell r="F113" t="str">
            <v>M04</v>
          </cell>
          <cell r="G113">
            <v>5</v>
          </cell>
          <cell r="H113">
            <v>6.9</v>
          </cell>
          <cell r="I113">
            <v>9</v>
          </cell>
          <cell r="J113" t="str">
            <v>R</v>
          </cell>
          <cell r="K113" t="str">
            <v>MULANJE</v>
          </cell>
          <cell r="L113" t="str">
            <v xml:space="preserve">New section part of RS 330 </v>
          </cell>
        </row>
        <row r="114">
          <cell r="A114" t="str">
            <v>RS 352</v>
          </cell>
          <cell r="B114">
            <v>174</v>
          </cell>
          <cell r="C114" t="str">
            <v>S</v>
          </cell>
          <cell r="D114" t="str">
            <v>T</v>
          </cell>
          <cell r="E114" t="str">
            <v>Matope - Singwa</v>
          </cell>
          <cell r="F114" t="str">
            <v>S131</v>
          </cell>
          <cell r="G114">
            <v>99</v>
          </cell>
          <cell r="H114">
            <v>18.7</v>
          </cell>
          <cell r="I114">
            <v>8</v>
          </cell>
          <cell r="J114" t="str">
            <v>R</v>
          </cell>
          <cell r="K114" t="str">
            <v>Contains RS 355 &amp; 845</v>
          </cell>
          <cell r="L114" t="str">
            <v>Section not used in Study</v>
          </cell>
        </row>
        <row r="115">
          <cell r="A115" t="str">
            <v>RS 355</v>
          </cell>
          <cell r="B115">
            <v>177</v>
          </cell>
          <cell r="C115" t="str">
            <v>S</v>
          </cell>
          <cell r="D115" t="str">
            <v>T</v>
          </cell>
          <cell r="E115" t="str">
            <v>Matope - Ntaja</v>
          </cell>
          <cell r="F115" t="str">
            <v>S131</v>
          </cell>
          <cell r="G115">
            <v>5</v>
          </cell>
          <cell r="H115">
            <v>7.5</v>
          </cell>
          <cell r="I115">
            <v>8</v>
          </cell>
          <cell r="J115" t="str">
            <v>R</v>
          </cell>
          <cell r="K115" t="str">
            <v>MACHINGA</v>
          </cell>
        </row>
        <row r="116">
          <cell r="A116" t="str">
            <v>RS 845</v>
          </cell>
          <cell r="B116" t="str">
            <v>n.a.</v>
          </cell>
          <cell r="C116" t="str">
            <v>S</v>
          </cell>
          <cell r="D116" t="str">
            <v>T</v>
          </cell>
          <cell r="E116" t="str">
            <v>Ntaja - Singwa</v>
          </cell>
          <cell r="F116" t="str">
            <v>S131</v>
          </cell>
          <cell r="G116">
            <v>6</v>
          </cell>
          <cell r="H116">
            <v>11.2</v>
          </cell>
          <cell r="I116">
            <v>8</v>
          </cell>
          <cell r="J116" t="str">
            <v>R</v>
          </cell>
          <cell r="K116" t="str">
            <v>MACHINGA</v>
          </cell>
          <cell r="L116" t="str">
            <v>New section added to cover original RS 352</v>
          </cell>
        </row>
        <row r="117">
          <cell r="A117" t="str">
            <v>RS 375</v>
          </cell>
          <cell r="B117">
            <v>197</v>
          </cell>
          <cell r="C117" t="str">
            <v>S</v>
          </cell>
          <cell r="D117" t="str">
            <v>T</v>
          </cell>
          <cell r="E117" t="str">
            <v>Mwanza River - Phwadzi River</v>
          </cell>
          <cell r="F117" t="str">
            <v>S136</v>
          </cell>
          <cell r="G117">
            <v>99</v>
          </cell>
          <cell r="H117">
            <v>12.1</v>
          </cell>
          <cell r="I117">
            <v>9</v>
          </cell>
          <cell r="J117" t="str">
            <v>R</v>
          </cell>
          <cell r="K117" t="str">
            <v>Contained within RS377</v>
          </cell>
          <cell r="L117" t="str">
            <v>Section not used in Study</v>
          </cell>
        </row>
        <row r="118">
          <cell r="A118" t="str">
            <v>RS 377</v>
          </cell>
          <cell r="B118">
            <v>199</v>
          </cell>
          <cell r="C118" t="str">
            <v>S</v>
          </cell>
          <cell r="D118" t="str">
            <v>T</v>
          </cell>
          <cell r="E118" t="str">
            <v>Mwanza River - Nkhongono</v>
          </cell>
          <cell r="F118" t="str">
            <v>S136</v>
          </cell>
          <cell r="G118">
            <v>8</v>
          </cell>
          <cell r="H118">
            <v>16.399999999999999</v>
          </cell>
          <cell r="I118">
            <v>9</v>
          </cell>
          <cell r="J118" t="str">
            <v>F</v>
          </cell>
          <cell r="K118" t="str">
            <v>CHIKWAWA</v>
          </cell>
        </row>
        <row r="119">
          <cell r="A119" t="str">
            <v>RS 410</v>
          </cell>
          <cell r="B119">
            <v>232</v>
          </cell>
          <cell r="C119" t="str">
            <v>S</v>
          </cell>
          <cell r="D119" t="str">
            <v>T</v>
          </cell>
          <cell r="E119" t="str">
            <v>Zomba - Kuchawe</v>
          </cell>
          <cell r="F119" t="str">
            <v>UD</v>
          </cell>
          <cell r="G119">
            <v>99</v>
          </cell>
          <cell r="H119">
            <v>8.9</v>
          </cell>
          <cell r="I119">
            <v>9</v>
          </cell>
          <cell r="J119" t="str">
            <v>H</v>
          </cell>
          <cell r="K119" t="str">
            <v>Contains RS 176 &amp; 417.</v>
          </cell>
          <cell r="L119" t="str">
            <v>Section not used in Study</v>
          </cell>
        </row>
        <row r="120">
          <cell r="A120" t="str">
            <v>RS 176</v>
          </cell>
          <cell r="B120">
            <v>176</v>
          </cell>
          <cell r="C120" t="str">
            <v>S</v>
          </cell>
          <cell r="D120" t="str">
            <v>U</v>
          </cell>
          <cell r="E120" t="str">
            <v>Kuchawe Road (up road)</v>
          </cell>
          <cell r="F120" t="str">
            <v>Urban</v>
          </cell>
          <cell r="G120">
            <v>22</v>
          </cell>
          <cell r="H120">
            <v>15</v>
          </cell>
          <cell r="I120" t="str">
            <v>C</v>
          </cell>
          <cell r="J120" t="str">
            <v>H</v>
          </cell>
          <cell r="K120" t="str">
            <v>ZOMBA CITY &amp; ZOMBA</v>
          </cell>
        </row>
        <row r="121">
          <cell r="A121" t="str">
            <v>RS 417</v>
          </cell>
          <cell r="B121">
            <v>239</v>
          </cell>
          <cell r="C121" t="str">
            <v>S</v>
          </cell>
          <cell r="D121" t="str">
            <v>T</v>
          </cell>
          <cell r="E121" t="str">
            <v>Kuchawe - Zomba City Boundary (down road)</v>
          </cell>
          <cell r="F121" t="str">
            <v>UD</v>
          </cell>
          <cell r="G121">
            <v>6</v>
          </cell>
          <cell r="H121">
            <v>5.9</v>
          </cell>
          <cell r="I121" t="str">
            <v>C</v>
          </cell>
          <cell r="J121" t="str">
            <v>H</v>
          </cell>
          <cell r="K121" t="str">
            <v xml:space="preserve">ZOMBA </v>
          </cell>
        </row>
        <row r="122">
          <cell r="A122" t="str">
            <v>RS 465</v>
          </cell>
          <cell r="B122">
            <v>287</v>
          </cell>
          <cell r="C122" t="str">
            <v>N</v>
          </cell>
          <cell r="D122" t="str">
            <v>F</v>
          </cell>
          <cell r="E122" t="str">
            <v>Mabulabo - Kasungu Border</v>
          </cell>
          <cell r="F122" t="str">
            <v>T327</v>
          </cell>
          <cell r="G122">
            <v>99</v>
          </cell>
          <cell r="H122">
            <v>3.9</v>
          </cell>
          <cell r="I122">
            <v>4</v>
          </cell>
          <cell r="J122" t="str">
            <v>R</v>
          </cell>
          <cell r="K122" t="str">
            <v xml:space="preserve">Contained within RS 529. </v>
          </cell>
          <cell r="L122" t="str">
            <v>Section not used in Study</v>
          </cell>
        </row>
        <row r="123">
          <cell r="A123" t="str">
            <v>RS 529</v>
          </cell>
          <cell r="B123">
            <v>351</v>
          </cell>
          <cell r="C123" t="str">
            <v>C</v>
          </cell>
          <cell r="D123" t="str">
            <v>F</v>
          </cell>
          <cell r="E123" t="str">
            <v>Kalula - Mabulabo</v>
          </cell>
          <cell r="F123" t="str">
            <v>T327</v>
          </cell>
          <cell r="G123">
            <v>1</v>
          </cell>
          <cell r="H123">
            <v>12.5</v>
          </cell>
          <cell r="I123">
            <v>4</v>
          </cell>
          <cell r="J123" t="str">
            <v>R</v>
          </cell>
          <cell r="K123" t="str">
            <v>KASUNGU/MZIMBA</v>
          </cell>
        </row>
        <row r="124">
          <cell r="A124" t="str">
            <v>RS 468</v>
          </cell>
          <cell r="B124">
            <v>290</v>
          </cell>
          <cell r="C124" t="str">
            <v>N</v>
          </cell>
          <cell r="D124" t="str">
            <v>F</v>
          </cell>
          <cell r="E124" t="str">
            <v>Davide Kameme-Adamu</v>
          </cell>
          <cell r="F124" t="str">
            <v>D002</v>
          </cell>
          <cell r="G124">
            <v>99</v>
          </cell>
          <cell r="H124">
            <v>10</v>
          </cell>
          <cell r="I124" t="str">
            <v>F</v>
          </cell>
          <cell r="J124" t="str">
            <v>CHITIPA</v>
          </cell>
          <cell r="K124" t="str">
            <v>Contiained within RS 444</v>
          </cell>
          <cell r="L124" t="str">
            <v>Section not used in Study</v>
          </cell>
        </row>
        <row r="125">
          <cell r="A125" t="str">
            <v>RS 444</v>
          </cell>
          <cell r="B125">
            <v>266</v>
          </cell>
          <cell r="C125" t="str">
            <v>N</v>
          </cell>
          <cell r="D125" t="str">
            <v>F</v>
          </cell>
          <cell r="E125" t="str">
            <v>Fikolo Mkisi - Winston Kmeme</v>
          </cell>
          <cell r="F125" t="str">
            <v>D002</v>
          </cell>
          <cell r="G125">
            <v>1</v>
          </cell>
          <cell r="H125">
            <v>24.8</v>
          </cell>
          <cell r="I125">
            <v>1</v>
          </cell>
          <cell r="J125" t="str">
            <v>CHITIPA</v>
          </cell>
          <cell r="K125" t="str">
            <v>CHITIPA</v>
          </cell>
          <cell r="L125" t="str">
            <v>Changed designation from T301 to D2</v>
          </cell>
        </row>
        <row r="126">
          <cell r="A126" t="str">
            <v>RS 519</v>
          </cell>
          <cell r="B126">
            <v>341</v>
          </cell>
          <cell r="C126" t="str">
            <v>N</v>
          </cell>
          <cell r="D126" t="str">
            <v>T</v>
          </cell>
          <cell r="E126" t="str">
            <v>Enukweni - Embombeni</v>
          </cell>
          <cell r="F126" t="str">
            <v>M01</v>
          </cell>
          <cell r="G126">
            <v>99</v>
          </cell>
          <cell r="H126">
            <v>14.9</v>
          </cell>
          <cell r="I126">
            <v>3</v>
          </cell>
          <cell r="J126" t="str">
            <v>F&amp;H</v>
          </cell>
          <cell r="K126" t="str">
            <v>Contained in RS 3</v>
          </cell>
          <cell r="L126" t="str">
            <v>Section not used in Study</v>
          </cell>
        </row>
        <row r="127">
          <cell r="A127" t="str">
            <v>RS 003</v>
          </cell>
          <cell r="B127" t="str">
            <v>3</v>
          </cell>
          <cell r="C127" t="str">
            <v>N</v>
          </cell>
          <cell r="D127" t="str">
            <v>T</v>
          </cell>
          <cell r="E127" t="str">
            <v>Luzi River - Mzuzu - Champhoyo - Mtangatanga</v>
          </cell>
          <cell r="F127" t="str">
            <v>M01</v>
          </cell>
          <cell r="G127">
            <v>3</v>
          </cell>
          <cell r="H127">
            <v>107.5</v>
          </cell>
          <cell r="I127" t="str">
            <v>F</v>
          </cell>
          <cell r="J127" t="str">
            <v>RUMPHI &amp; MZIMBA</v>
          </cell>
          <cell r="K127" t="str">
            <v>RUMPHI &amp; MZIMBA</v>
          </cell>
        </row>
        <row r="128">
          <cell r="A128" t="str">
            <v>RS 543</v>
          </cell>
          <cell r="B128">
            <v>365</v>
          </cell>
          <cell r="C128" t="str">
            <v>C</v>
          </cell>
          <cell r="D128" t="str">
            <v>F</v>
          </cell>
          <cell r="E128" t="str">
            <v>Ngombe - junction D82</v>
          </cell>
          <cell r="F128" t="str">
            <v>T340</v>
          </cell>
          <cell r="G128">
            <v>99</v>
          </cell>
          <cell r="H128">
            <v>23</v>
          </cell>
          <cell r="I128">
            <v>5</v>
          </cell>
          <cell r="J128" t="str">
            <v>F</v>
          </cell>
          <cell r="K128" t="str">
            <v>Link does not exist</v>
          </cell>
          <cell r="L128" t="str">
            <v>Not used in Study</v>
          </cell>
        </row>
        <row r="129">
          <cell r="A129" t="str">
            <v>RS 670</v>
          </cell>
          <cell r="B129">
            <v>492</v>
          </cell>
          <cell r="C129" t="str">
            <v>C</v>
          </cell>
          <cell r="D129" t="str">
            <v>F</v>
          </cell>
          <cell r="E129" t="str">
            <v>Nakura - junction S124</v>
          </cell>
          <cell r="F129" t="str">
            <v>T364</v>
          </cell>
          <cell r="G129">
            <v>99</v>
          </cell>
          <cell r="H129">
            <v>10</v>
          </cell>
          <cell r="I129">
            <v>6</v>
          </cell>
          <cell r="J129" t="str">
            <v>FL</v>
          </cell>
          <cell r="K129" t="str">
            <v xml:space="preserve">Contains RS 669, 597 &amp; 566 </v>
          </cell>
          <cell r="L129" t="str">
            <v>Section not used in Study</v>
          </cell>
        </row>
        <row r="130">
          <cell r="A130" t="str">
            <v>RS 669</v>
          </cell>
          <cell r="B130">
            <v>491</v>
          </cell>
          <cell r="C130" t="str">
            <v>C</v>
          </cell>
          <cell r="D130" t="str">
            <v>F</v>
          </cell>
          <cell r="E130" t="str">
            <v>Nakula - Kakoma</v>
          </cell>
          <cell r="F130" t="str">
            <v>T364</v>
          </cell>
          <cell r="G130">
            <v>3</v>
          </cell>
          <cell r="H130">
            <v>8.4</v>
          </cell>
          <cell r="I130" t="str">
            <v>FL</v>
          </cell>
          <cell r="J130" t="str">
            <v>LILONGWE</v>
          </cell>
          <cell r="K130" t="str">
            <v>LILONGWE</v>
          </cell>
          <cell r="L130" t="str">
            <v>Changed designation from UDX to T364</v>
          </cell>
        </row>
        <row r="131">
          <cell r="A131" t="str">
            <v>RS 597</v>
          </cell>
          <cell r="B131">
            <v>419</v>
          </cell>
          <cell r="C131" t="str">
            <v>C</v>
          </cell>
          <cell r="D131" t="str">
            <v>F</v>
          </cell>
          <cell r="E131" t="str">
            <v>Kakoma - Njoka</v>
          </cell>
          <cell r="F131" t="str">
            <v>T364</v>
          </cell>
          <cell r="G131">
            <v>4</v>
          </cell>
          <cell r="H131">
            <v>11.9</v>
          </cell>
          <cell r="I131" t="str">
            <v>FL</v>
          </cell>
          <cell r="J131" t="str">
            <v>LILONGWE</v>
          </cell>
          <cell r="K131" t="str">
            <v>LILONGWE</v>
          </cell>
        </row>
        <row r="132">
          <cell r="A132" t="str">
            <v>RS 566</v>
          </cell>
          <cell r="B132">
            <v>388</v>
          </cell>
          <cell r="C132" t="str">
            <v>C</v>
          </cell>
          <cell r="D132" t="str">
            <v>F</v>
          </cell>
          <cell r="E132" t="str">
            <v>Njoka - Malingunde (junction S124)</v>
          </cell>
          <cell r="F132" t="str">
            <v>T345</v>
          </cell>
          <cell r="G132">
            <v>4</v>
          </cell>
          <cell r="H132">
            <v>9.6999999999999993</v>
          </cell>
          <cell r="I132" t="str">
            <v>F</v>
          </cell>
          <cell r="J132" t="str">
            <v>LILONGWE</v>
          </cell>
          <cell r="K132" t="str">
            <v>LILONGWE</v>
          </cell>
        </row>
        <row r="133">
          <cell r="A133" t="str">
            <v>RS 671</v>
          </cell>
          <cell r="B133">
            <v>493</v>
          </cell>
          <cell r="C133" t="str">
            <v>C</v>
          </cell>
          <cell r="D133" t="str">
            <v>F</v>
          </cell>
          <cell r="E133" t="str">
            <v>North Ngodzi River - Lake Malawi</v>
          </cell>
          <cell r="F133" t="str">
            <v>PR58</v>
          </cell>
          <cell r="G133">
            <v>1</v>
          </cell>
          <cell r="H133">
            <v>8</v>
          </cell>
          <cell r="I133">
            <v>7</v>
          </cell>
          <cell r="J133" t="str">
            <v>F</v>
          </cell>
          <cell r="K133" t="str">
            <v>SALIMA</v>
          </cell>
          <cell r="L133" t="str">
            <v>Can not locate.  Section not used in Sudy</v>
          </cell>
        </row>
        <row r="134">
          <cell r="A134" t="str">
            <v>RS 672</v>
          </cell>
          <cell r="B134">
            <v>494</v>
          </cell>
          <cell r="C134" t="str">
            <v>C</v>
          </cell>
          <cell r="D134" t="str">
            <v>F</v>
          </cell>
          <cell r="E134" t="str">
            <v>junction T357 - West Chelani</v>
          </cell>
          <cell r="F134" t="str">
            <v>PR92</v>
          </cell>
          <cell r="G134">
            <v>1</v>
          </cell>
          <cell r="H134">
            <v>11.5</v>
          </cell>
          <cell r="I134">
            <v>7</v>
          </cell>
          <cell r="J134" t="str">
            <v>F</v>
          </cell>
          <cell r="K134" t="str">
            <v>SALMA</v>
          </cell>
          <cell r="L134" t="str">
            <v>Can not locate.  Section not used in Sudy</v>
          </cell>
        </row>
        <row r="135">
          <cell r="A135" t="str">
            <v>RS 698</v>
          </cell>
          <cell r="B135">
            <v>520</v>
          </cell>
          <cell r="C135" t="str">
            <v>S</v>
          </cell>
          <cell r="D135" t="str">
            <v>F</v>
          </cell>
          <cell r="E135" t="str">
            <v>Maundani- Machina</v>
          </cell>
          <cell r="F135" t="str">
            <v>T392</v>
          </cell>
          <cell r="G135">
            <v>99</v>
          </cell>
          <cell r="H135">
            <v>12</v>
          </cell>
          <cell r="I135" t="str">
            <v>H</v>
          </cell>
          <cell r="J135" t="str">
            <v>Same as RS 696</v>
          </cell>
          <cell r="K135" t="str">
            <v>Same as RS 696</v>
          </cell>
          <cell r="L135" t="str">
            <v>Section not used in Study</v>
          </cell>
        </row>
        <row r="136">
          <cell r="A136" t="str">
            <v>RS 696</v>
          </cell>
          <cell r="B136">
            <v>518</v>
          </cell>
          <cell r="C136" t="str">
            <v>S</v>
          </cell>
          <cell r="D136" t="str">
            <v>F</v>
          </cell>
          <cell r="E136" t="str">
            <v>Maundani - Machina</v>
          </cell>
          <cell r="F136" t="str">
            <v>T392</v>
          </cell>
          <cell r="G136">
            <v>2</v>
          </cell>
          <cell r="H136">
            <v>17</v>
          </cell>
          <cell r="I136" t="str">
            <v>H</v>
          </cell>
          <cell r="J136" t="str">
            <v>MANGOCHI</v>
          </cell>
          <cell r="K136" t="str">
            <v>MANGOCHI</v>
          </cell>
        </row>
        <row r="137">
          <cell r="A137" t="str">
            <v>RS 790</v>
          </cell>
          <cell r="B137">
            <v>612</v>
          </cell>
          <cell r="C137" t="str">
            <v>S</v>
          </cell>
          <cell r="D137" t="str">
            <v>F</v>
          </cell>
          <cell r="E137" t="str">
            <v>Namikalango River - Ngabu</v>
          </cell>
          <cell r="F137" t="str">
            <v>T424</v>
          </cell>
          <cell r="G137">
            <v>99</v>
          </cell>
          <cell r="H137">
            <v>10</v>
          </cell>
          <cell r="I137">
            <v>10</v>
          </cell>
          <cell r="J137" t="str">
            <v>H</v>
          </cell>
          <cell r="K137" t="str">
            <v>Same as RS 785</v>
          </cell>
          <cell r="L137" t="str">
            <v>Section not used in Study</v>
          </cell>
        </row>
        <row r="138">
          <cell r="A138" t="str">
            <v>RS 785</v>
          </cell>
          <cell r="B138">
            <v>607</v>
          </cell>
          <cell r="C138" t="str">
            <v>S</v>
          </cell>
          <cell r="D138" t="str">
            <v>F</v>
          </cell>
          <cell r="E138" t="str">
            <v>Namikalango River - Ngabu</v>
          </cell>
          <cell r="F138" t="str">
            <v>T424</v>
          </cell>
          <cell r="G138">
            <v>2</v>
          </cell>
          <cell r="H138">
            <v>7.1</v>
          </cell>
          <cell r="I138">
            <v>10</v>
          </cell>
          <cell r="J138" t="str">
            <v>FL</v>
          </cell>
          <cell r="K138" t="str">
            <v>CHIKWAWA</v>
          </cell>
        </row>
        <row r="139">
          <cell r="A139" t="str">
            <v>RS 800</v>
          </cell>
          <cell r="B139">
            <v>622</v>
          </cell>
          <cell r="C139" t="str">
            <v>S</v>
          </cell>
          <cell r="D139" t="str">
            <v>F</v>
          </cell>
          <cell r="E139" t="str">
            <v>Mwanza Admarc - West Chipondeni</v>
          </cell>
          <cell r="F139" t="str">
            <v>S135</v>
          </cell>
          <cell r="G139">
            <v>99</v>
          </cell>
          <cell r="H139">
            <v>21</v>
          </cell>
          <cell r="I139">
            <v>9</v>
          </cell>
          <cell r="J139" t="str">
            <v>F</v>
          </cell>
          <cell r="K139" t="str">
            <v>Contians RS 362, 363 &amp; 364</v>
          </cell>
          <cell r="L139" t="str">
            <v>Changed designation frim D287 to S135. Not used in Study</v>
          </cell>
        </row>
        <row r="140">
          <cell r="A140" t="str">
            <v>RS 362</v>
          </cell>
          <cell r="B140">
            <v>184</v>
          </cell>
          <cell r="C140" t="str">
            <v>S</v>
          </cell>
          <cell r="D140" t="str">
            <v>T</v>
          </cell>
          <cell r="E140" t="str">
            <v>Chipondeni - Kunenekude</v>
          </cell>
          <cell r="F140" t="str">
            <v>S135</v>
          </cell>
          <cell r="G140">
            <v>9</v>
          </cell>
          <cell r="H140">
            <v>5.5</v>
          </cell>
          <cell r="I140" t="str">
            <v>H</v>
          </cell>
          <cell r="J140" t="str">
            <v>MWANZA</v>
          </cell>
          <cell r="K140" t="str">
            <v>MWANZA</v>
          </cell>
        </row>
        <row r="141">
          <cell r="A141" t="str">
            <v>RS 363</v>
          </cell>
          <cell r="B141">
            <v>185</v>
          </cell>
          <cell r="C141" t="str">
            <v>S</v>
          </cell>
          <cell r="D141" t="str">
            <v>T</v>
          </cell>
          <cell r="E141" t="str">
            <v>Kunenekude - Mwanza Admarc</v>
          </cell>
          <cell r="F141" t="str">
            <v>S135</v>
          </cell>
          <cell r="G141">
            <v>10</v>
          </cell>
          <cell r="H141">
            <v>12</v>
          </cell>
          <cell r="I141" t="str">
            <v>H</v>
          </cell>
          <cell r="J141" t="str">
            <v>MWANZA</v>
          </cell>
          <cell r="K141" t="str">
            <v>MWANZA</v>
          </cell>
        </row>
        <row r="142">
          <cell r="A142" t="str">
            <v>RS 364</v>
          </cell>
          <cell r="B142">
            <v>186</v>
          </cell>
          <cell r="C142" t="str">
            <v>S</v>
          </cell>
          <cell r="D142" t="str">
            <v>T</v>
          </cell>
          <cell r="E142" t="str">
            <v>Mwanza Admarc - Liwonde Village (junction M6)</v>
          </cell>
          <cell r="F142" t="str">
            <v>S135</v>
          </cell>
          <cell r="G142">
            <v>11</v>
          </cell>
          <cell r="H142">
            <v>3.8</v>
          </cell>
          <cell r="K142" t="str">
            <v>MWANZA</v>
          </cell>
        </row>
      </sheetData>
      <sheetData sheetId="3" refreshError="1">
        <row r="1">
          <cell r="W1" t="str">
            <v>Origional</v>
          </cell>
          <cell r="AE1" t="str">
            <v>Treatment 1</v>
          </cell>
          <cell r="AI1" t="str">
            <v>Treatment 2</v>
          </cell>
          <cell r="BO1" t="str">
            <v>HDM III INPUT DATA</v>
          </cell>
          <cell r="BR1" t="str">
            <v>x</v>
          </cell>
          <cell r="BT1" t="str">
            <v>x</v>
          </cell>
          <cell r="BW1">
            <v>1</v>
          </cell>
          <cell r="BX1">
            <v>2</v>
          </cell>
          <cell r="BY1">
            <v>3</v>
          </cell>
          <cell r="BZ1">
            <v>4</v>
          </cell>
          <cell r="CA1">
            <v>5</v>
          </cell>
          <cell r="CB1">
            <v>6</v>
          </cell>
          <cell r="CC1">
            <v>7</v>
          </cell>
          <cell r="CD1" t="str">
            <v>x</v>
          </cell>
          <cell r="CE1" t="str">
            <v>x</v>
          </cell>
          <cell r="CF1" t="str">
            <v>x</v>
          </cell>
          <cell r="CG1">
            <v>8</v>
          </cell>
          <cell r="CH1">
            <v>9</v>
          </cell>
          <cell r="CJ1">
            <v>10</v>
          </cell>
          <cell r="CK1" t="str">
            <v xml:space="preserve">IRI change </v>
          </cell>
          <cell r="CQ1" t="str">
            <v>x</v>
          </cell>
          <cell r="CR1">
            <v>11</v>
          </cell>
          <cell r="CT1">
            <v>12</v>
          </cell>
          <cell r="CU1">
            <v>13</v>
          </cell>
          <cell r="CV1">
            <v>14</v>
          </cell>
          <cell r="CW1">
            <v>15</v>
          </cell>
          <cell r="CX1">
            <v>16</v>
          </cell>
          <cell r="CY1" t="str">
            <v>x</v>
          </cell>
          <cell r="CZ1" t="str">
            <v>x</v>
          </cell>
          <cell r="DA1" t="str">
            <v>x</v>
          </cell>
          <cell r="DC1">
            <v>17</v>
          </cell>
          <cell r="DD1">
            <v>18</v>
          </cell>
          <cell r="DE1">
            <v>19</v>
          </cell>
          <cell r="DF1">
            <v>20</v>
          </cell>
          <cell r="DG1">
            <v>21</v>
          </cell>
          <cell r="DH1">
            <v>22</v>
          </cell>
          <cell r="DI1">
            <v>23</v>
          </cell>
        </row>
        <row r="2">
          <cell r="A2" t="str">
            <v>Road Section No.</v>
          </cell>
          <cell r="B2" t="str">
            <v>MOWS Project No.</v>
          </cell>
          <cell r="C2" t="str">
            <v>Region</v>
          </cell>
          <cell r="D2" t="str">
            <v>Road class</v>
          </cell>
          <cell r="E2" t="str">
            <v>Road section</v>
          </cell>
          <cell r="F2" t="str">
            <v>Designation</v>
          </cell>
          <cell r="G2" t="str">
            <v>Sequence</v>
          </cell>
          <cell r="H2" t="str">
            <v>Length (km)</v>
          </cell>
          <cell r="I2" t="str">
            <v>Terrain</v>
          </cell>
          <cell r="J2" t="str">
            <v>District</v>
          </cell>
          <cell r="K2" t="str">
            <v>Map sheet No.</v>
          </cell>
          <cell r="L2" t="str">
            <v>Comments</v>
          </cell>
          <cell r="W2" t="str">
            <v>Year constructed</v>
          </cell>
          <cell r="X2" t="str">
            <v>Surface type</v>
          </cell>
          <cell r="Y2" t="str">
            <v>Base thickness</v>
          </cell>
          <cell r="Z2" t="str">
            <v>Base type</v>
          </cell>
          <cell r="AA2" t="str">
            <v>Sub base thick</v>
          </cell>
          <cell r="AB2" t="str">
            <v>Sub base type</v>
          </cell>
          <cell r="AC2" t="str">
            <v>Sub grade CBR</v>
          </cell>
          <cell r="AD2" t="str">
            <v>Basis of data</v>
          </cell>
          <cell r="AE2" t="str">
            <v>Year treated</v>
          </cell>
          <cell r="AF2" t="str">
            <v>Treatment type</v>
          </cell>
          <cell r="AG2" t="str">
            <v>Surface type</v>
          </cell>
          <cell r="AH2" t="str">
            <v>Surface thickness</v>
          </cell>
          <cell r="AI2" t="str">
            <v>Year treated</v>
          </cell>
          <cell r="AJ2" t="str">
            <v>Treatment type</v>
          </cell>
          <cell r="AK2" t="str">
            <v>Surface type</v>
          </cell>
          <cell r="AL2" t="str">
            <v>Surface thickness</v>
          </cell>
          <cell r="AM2" t="str">
            <v>HDM surface code</v>
          </cell>
          <cell r="AN2" t="str">
            <v>Comments</v>
          </cell>
          <cell r="BO2" t="str">
            <v>Road Section No.</v>
          </cell>
          <cell r="BP2" t="str">
            <v>Length (km)</v>
          </cell>
          <cell r="BQ2" t="str">
            <v>Bitumen width (m)</v>
          </cell>
          <cell r="BR2" t="str">
            <v>Terrain</v>
          </cell>
          <cell r="BS2" t="str">
            <v>Surface type (field)</v>
          </cell>
          <cell r="BT2" t="str">
            <v>Gravel (% length)</v>
          </cell>
          <cell r="BU2" t="str">
            <v>Current surf. type</v>
          </cell>
          <cell r="BV2" t="str">
            <v>Prev. surface type</v>
          </cell>
          <cell r="BW2" t="str">
            <v>HDM surface code</v>
          </cell>
          <cell r="BX2" t="str">
            <v>Current surf. thick</v>
          </cell>
          <cell r="BY2" t="str">
            <v>Prev. surface thick</v>
          </cell>
          <cell r="BZ2" t="str">
            <v>Base mat'l code</v>
          </cell>
          <cell r="CA2" t="str">
            <v>Subgrade CBR</v>
          </cell>
          <cell r="CB2" t="str">
            <v>Structural No.</v>
          </cell>
          <cell r="CC2" t="str">
            <v>Roughness (IRI)</v>
          </cell>
          <cell r="CD2" t="str">
            <v xml:space="preserve">All cracks (%area) </v>
          </cell>
          <cell r="CE2" t="str">
            <v>Wide c'ks (%area)</v>
          </cell>
          <cell r="CF2" t="str">
            <v>Wide crack &gt;15%</v>
          </cell>
          <cell r="CG2" t="str">
            <v>All crack (end 98)</v>
          </cell>
          <cell r="CH2" t="str">
            <v>Wide c'ks (end 98)</v>
          </cell>
          <cell r="CI2" t="str">
            <v>Pothole /km</v>
          </cell>
          <cell r="CJ2" t="str">
            <v>Pothole (%area)</v>
          </cell>
          <cell r="CK2" t="str">
            <v>Delta minASPm</v>
          </cell>
          <cell r="CL2" t="str">
            <v>Delta CRXm</v>
          </cell>
          <cell r="CM2" t="str">
            <v>Delta IRIm</v>
          </cell>
          <cell r="CN2" t="str">
            <v>Min Delta IRIm</v>
          </cell>
          <cell r="CO2" t="str">
            <v>Patch /km</v>
          </cell>
          <cell r="CP2" t="str">
            <v>Patch (%area)</v>
          </cell>
          <cell r="CQ2" t="str">
            <v>IRI after patch</v>
          </cell>
          <cell r="CR2" t="str">
            <v xml:space="preserve">Ravelling (%area) </v>
          </cell>
          <cell r="CS2" t="str">
            <v>Ruts rating</v>
          </cell>
          <cell r="CT2" t="str">
            <v>Mean rut (mm)</v>
          </cell>
          <cell r="CU2" t="str">
            <v>S.D. rut (mm)</v>
          </cell>
          <cell r="CV2" t="str">
            <v>Surface age (yrs)</v>
          </cell>
          <cell r="CW2" t="str">
            <v xml:space="preserve">Const. Age (yrs) </v>
          </cell>
          <cell r="CX2" t="str">
            <v>Previous wide c'ks</v>
          </cell>
          <cell r="CY2" t="str">
            <v>Edge break rating</v>
          </cell>
          <cell r="CZ2" t="str">
            <v>Shoulder rating</v>
          </cell>
          <cell r="DA2" t="str">
            <v>Side drain rating</v>
          </cell>
          <cell r="DB2" t="str">
            <v>ADT total</v>
          </cell>
          <cell r="DC2" t="str">
            <v>ADT car</v>
          </cell>
          <cell r="DD2" t="str">
            <v>ADT pickup</v>
          </cell>
          <cell r="DE2" t="str">
            <v>ADT bus</v>
          </cell>
          <cell r="DF2" t="str">
            <v>ADT light truck</v>
          </cell>
          <cell r="DG2" t="str">
            <v>ADT med. Truck</v>
          </cell>
          <cell r="DH2" t="str">
            <v>ADT heavy truck</v>
          </cell>
          <cell r="DI2" t="str">
            <v>ADT artic truck</v>
          </cell>
        </row>
        <row r="3">
          <cell r="A3" t="str">
            <v>RS 839</v>
          </cell>
          <cell r="B3" t="str">
            <v>n.a</v>
          </cell>
          <cell r="C3" t="str">
            <v>N</v>
          </cell>
          <cell r="D3" t="str">
            <v>T</v>
          </cell>
          <cell r="E3" t="str">
            <v>Songwe - Karonga</v>
          </cell>
          <cell r="F3" t="str">
            <v>M01</v>
          </cell>
          <cell r="G3">
            <v>1</v>
          </cell>
          <cell r="H3">
            <v>43</v>
          </cell>
          <cell r="I3" t="str">
            <v>F</v>
          </cell>
          <cell r="J3" t="str">
            <v>KARONGA</v>
          </cell>
          <cell r="K3">
            <v>1</v>
          </cell>
          <cell r="L3" t="str">
            <v>Part of RS1</v>
          </cell>
          <cell r="W3">
            <v>92</v>
          </cell>
          <cell r="X3" t="str">
            <v>DS</v>
          </cell>
          <cell r="Y3">
            <v>150</v>
          </cell>
          <cell r="Z3" t="str">
            <v>SB</v>
          </cell>
          <cell r="AA3">
            <v>100</v>
          </cell>
          <cell r="AB3" t="str">
            <v>GR</v>
          </cell>
          <cell r="AC3">
            <v>12</v>
          </cell>
          <cell r="AD3" t="str">
            <v>VR</v>
          </cell>
          <cell r="AM3">
            <v>1</v>
          </cell>
          <cell r="AN3" t="str">
            <v>never resealed</v>
          </cell>
          <cell r="BO3" t="str">
            <v>RS 839</v>
          </cell>
          <cell r="BP3">
            <v>43</v>
          </cell>
          <cell r="BQ3">
            <v>6.7</v>
          </cell>
          <cell r="BR3" t="str">
            <v>F</v>
          </cell>
          <cell r="BS3" t="str">
            <v>C</v>
          </cell>
          <cell r="BT3">
            <v>11</v>
          </cell>
          <cell r="BU3" t="str">
            <v>DS</v>
          </cell>
          <cell r="BV3" t="str">
            <v/>
          </cell>
          <cell r="BW3">
            <v>1</v>
          </cell>
          <cell r="BX3">
            <v>15</v>
          </cell>
          <cell r="BY3" t="str">
            <v/>
          </cell>
          <cell r="BZ3">
            <v>1</v>
          </cell>
          <cell r="CA3">
            <v>12</v>
          </cell>
          <cell r="CB3">
            <v>1.177</v>
          </cell>
          <cell r="CC3">
            <v>3.85</v>
          </cell>
          <cell r="CD3">
            <v>12.5</v>
          </cell>
          <cell r="CE3">
            <v>2</v>
          </cell>
          <cell r="CF3">
            <v>0</v>
          </cell>
          <cell r="CG3">
            <v>12.5</v>
          </cell>
          <cell r="CH3">
            <v>2</v>
          </cell>
          <cell r="CI3">
            <v>0</v>
          </cell>
          <cell r="CJ3">
            <v>0</v>
          </cell>
          <cell r="CK3">
            <v>0</v>
          </cell>
          <cell r="CL3">
            <v>0</v>
          </cell>
          <cell r="CM3">
            <v>0</v>
          </cell>
          <cell r="CN3">
            <v>0</v>
          </cell>
          <cell r="CO3">
            <v>0</v>
          </cell>
          <cell r="CP3">
            <v>0</v>
          </cell>
          <cell r="CQ3">
            <v>3.85</v>
          </cell>
          <cell r="CR3">
            <v>0</v>
          </cell>
          <cell r="CS3">
            <v>1</v>
          </cell>
          <cell r="CT3">
            <v>0</v>
          </cell>
          <cell r="CU3">
            <v>0</v>
          </cell>
          <cell r="CV3">
            <v>6</v>
          </cell>
          <cell r="CW3">
            <v>6</v>
          </cell>
          <cell r="CX3" t="str">
            <v/>
          </cell>
          <cell r="CY3">
            <v>1</v>
          </cell>
          <cell r="CZ3">
            <v>1</v>
          </cell>
          <cell r="DA3">
            <v>1</v>
          </cell>
          <cell r="DB3">
            <v>220</v>
          </cell>
          <cell r="DC3">
            <v>104</v>
          </cell>
          <cell r="DD3">
            <v>58</v>
          </cell>
          <cell r="DE3">
            <v>17</v>
          </cell>
          <cell r="DF3">
            <v>26</v>
          </cell>
          <cell r="DG3">
            <v>5</v>
          </cell>
          <cell r="DH3">
            <v>3</v>
          </cell>
          <cell r="DI3">
            <v>11</v>
          </cell>
        </row>
        <row r="4">
          <cell r="A4" t="str">
            <v>RS 840</v>
          </cell>
          <cell r="B4" t="str">
            <v>n.a</v>
          </cell>
          <cell r="C4" t="str">
            <v>N</v>
          </cell>
          <cell r="D4" t="str">
            <v>T</v>
          </cell>
          <cell r="E4" t="str">
            <v>Karonga - Chitimba River</v>
          </cell>
          <cell r="F4" t="str">
            <v>M01</v>
          </cell>
          <cell r="G4">
            <v>2</v>
          </cell>
          <cell r="H4">
            <v>77</v>
          </cell>
          <cell r="I4" t="str">
            <v>F</v>
          </cell>
          <cell r="J4" t="str">
            <v>KARONGA</v>
          </cell>
          <cell r="K4">
            <v>1</v>
          </cell>
          <cell r="L4" t="str">
            <v>Part of RS1</v>
          </cell>
          <cell r="W4">
            <v>79</v>
          </cell>
          <cell r="X4" t="str">
            <v>DS</v>
          </cell>
          <cell r="Y4">
            <v>150</v>
          </cell>
          <cell r="Z4" t="str">
            <v>SB</v>
          </cell>
          <cell r="AA4">
            <v>100</v>
          </cell>
          <cell r="AB4" t="str">
            <v>GR</v>
          </cell>
          <cell r="AC4">
            <v>12</v>
          </cell>
          <cell r="AD4" t="str">
            <v>VR</v>
          </cell>
          <cell r="AM4">
            <v>1</v>
          </cell>
          <cell r="AN4" t="str">
            <v>never resealed</v>
          </cell>
          <cell r="BO4" t="str">
            <v>RS 840</v>
          </cell>
          <cell r="BP4">
            <v>77</v>
          </cell>
          <cell r="BQ4">
            <v>6.7</v>
          </cell>
          <cell r="BR4" t="str">
            <v>F</v>
          </cell>
          <cell r="BS4" t="str">
            <v>C</v>
          </cell>
          <cell r="BT4">
            <v>11</v>
          </cell>
          <cell r="BU4" t="str">
            <v>DS</v>
          </cell>
          <cell r="BV4" t="str">
            <v/>
          </cell>
          <cell r="BW4">
            <v>1</v>
          </cell>
          <cell r="BX4">
            <v>15</v>
          </cell>
          <cell r="BY4" t="str">
            <v/>
          </cell>
          <cell r="BZ4">
            <v>1</v>
          </cell>
          <cell r="CA4">
            <v>12</v>
          </cell>
          <cell r="CB4">
            <v>1.177</v>
          </cell>
          <cell r="CC4">
            <v>5.36</v>
          </cell>
          <cell r="CD4">
            <v>40</v>
          </cell>
          <cell r="CE4">
            <v>30</v>
          </cell>
          <cell r="CF4">
            <v>15</v>
          </cell>
          <cell r="CG4">
            <v>25</v>
          </cell>
          <cell r="CH4">
            <v>15</v>
          </cell>
          <cell r="CI4">
            <v>100</v>
          </cell>
          <cell r="CJ4">
            <v>0.29850746268656719</v>
          </cell>
          <cell r="CK4">
            <v>10</v>
          </cell>
          <cell r="CL4">
            <v>15</v>
          </cell>
          <cell r="CM4">
            <v>0.31197474167623418</v>
          </cell>
          <cell r="CN4">
            <v>0.31197474167623418</v>
          </cell>
          <cell r="CO4">
            <v>0</v>
          </cell>
          <cell r="CP4">
            <v>0</v>
          </cell>
          <cell r="CQ4">
            <v>5.6719747416762347</v>
          </cell>
          <cell r="CR4">
            <v>0</v>
          </cell>
          <cell r="CS4">
            <v>1.1000000000000001</v>
          </cell>
          <cell r="CT4">
            <v>0.50000000000000044</v>
          </cell>
          <cell r="CU4">
            <v>0.20000000000000018</v>
          </cell>
          <cell r="CV4">
            <v>19</v>
          </cell>
          <cell r="CW4">
            <v>19</v>
          </cell>
          <cell r="CX4" t="str">
            <v/>
          </cell>
          <cell r="CY4">
            <v>2.5</v>
          </cell>
          <cell r="CZ4">
            <v>1.8</v>
          </cell>
          <cell r="DA4">
            <v>1.3</v>
          </cell>
          <cell r="DB4">
            <v>220</v>
          </cell>
          <cell r="DC4">
            <v>104</v>
          </cell>
          <cell r="DD4">
            <v>58</v>
          </cell>
          <cell r="DE4">
            <v>17</v>
          </cell>
          <cell r="DF4">
            <v>26</v>
          </cell>
          <cell r="DG4">
            <v>5</v>
          </cell>
          <cell r="DH4">
            <v>3</v>
          </cell>
          <cell r="DI4">
            <v>11</v>
          </cell>
        </row>
        <row r="5">
          <cell r="A5" t="str">
            <v>RS 002</v>
          </cell>
          <cell r="B5" t="str">
            <v>2</v>
          </cell>
          <cell r="C5" t="str">
            <v>N</v>
          </cell>
          <cell r="D5" t="str">
            <v>T</v>
          </cell>
          <cell r="E5" t="str">
            <v>Chitimba River - Luzi River</v>
          </cell>
          <cell r="F5" t="str">
            <v>M01</v>
          </cell>
          <cell r="G5">
            <v>2</v>
          </cell>
          <cell r="H5">
            <v>52</v>
          </cell>
          <cell r="I5" t="str">
            <v>R</v>
          </cell>
          <cell r="J5" t="str">
            <v>MZIMBA</v>
          </cell>
          <cell r="K5">
            <v>2</v>
          </cell>
          <cell r="W5">
            <v>75</v>
          </cell>
          <cell r="X5" t="str">
            <v>ST</v>
          </cell>
          <cell r="Y5">
            <v>150</v>
          </cell>
          <cell r="Z5" t="str">
            <v>GR</v>
          </cell>
          <cell r="AA5">
            <v>100</v>
          </cell>
          <cell r="AB5" t="str">
            <v>GR</v>
          </cell>
          <cell r="AC5">
            <v>12</v>
          </cell>
          <cell r="AD5" t="str">
            <v>VR</v>
          </cell>
          <cell r="AE5">
            <v>98</v>
          </cell>
          <cell r="AF5" t="str">
            <v>SR</v>
          </cell>
          <cell r="AG5" t="str">
            <v>ST</v>
          </cell>
          <cell r="AH5">
            <v>10</v>
          </cell>
          <cell r="AM5">
            <v>4</v>
          </cell>
          <cell r="AN5" t="str">
            <v>To be resealed 1998</v>
          </cell>
          <cell r="BO5" t="str">
            <v>RS 002</v>
          </cell>
          <cell r="BP5">
            <v>52</v>
          </cell>
          <cell r="BQ5">
            <v>6</v>
          </cell>
          <cell r="BR5" t="str">
            <v>R</v>
          </cell>
          <cell r="BS5" t="str">
            <v>C</v>
          </cell>
          <cell r="BT5">
            <v>7</v>
          </cell>
          <cell r="BU5" t="str">
            <v>ST</v>
          </cell>
          <cell r="BV5" t="str">
            <v>ST</v>
          </cell>
          <cell r="BW5">
            <v>4</v>
          </cell>
          <cell r="BX5">
            <v>10</v>
          </cell>
          <cell r="BY5">
            <v>10</v>
          </cell>
          <cell r="BZ5">
            <v>1</v>
          </cell>
          <cell r="CA5">
            <v>12</v>
          </cell>
          <cell r="CB5">
            <v>1.085</v>
          </cell>
          <cell r="CC5">
            <v>4.6900000000000004</v>
          </cell>
          <cell r="CD5" t="str">
            <v>To be re-sealed 1998</v>
          </cell>
          <cell r="CK5">
            <v>0</v>
          </cell>
          <cell r="CL5">
            <v>0</v>
          </cell>
          <cell r="CM5">
            <v>0</v>
          </cell>
          <cell r="CN5">
            <v>0</v>
          </cell>
          <cell r="CO5">
            <v>0</v>
          </cell>
          <cell r="CP5">
            <v>0</v>
          </cell>
          <cell r="CS5">
            <v>1.3</v>
          </cell>
          <cell r="CX5" t="str">
            <v/>
          </cell>
          <cell r="CY5">
            <v>2.5</v>
          </cell>
          <cell r="CZ5">
            <v>1.5</v>
          </cell>
          <cell r="DA5">
            <v>1.6</v>
          </cell>
          <cell r="DB5">
            <v>300</v>
          </cell>
          <cell r="DC5">
            <v>141</v>
          </cell>
          <cell r="DD5">
            <v>78</v>
          </cell>
          <cell r="DE5">
            <v>23</v>
          </cell>
          <cell r="DF5">
            <v>35</v>
          </cell>
          <cell r="DG5">
            <v>6</v>
          </cell>
          <cell r="DH5">
            <v>3</v>
          </cell>
          <cell r="DI5">
            <v>15</v>
          </cell>
        </row>
        <row r="6">
          <cell r="A6" t="str">
            <v>RS 003</v>
          </cell>
          <cell r="B6" t="str">
            <v>3</v>
          </cell>
          <cell r="C6" t="str">
            <v>N</v>
          </cell>
          <cell r="D6" t="str">
            <v>T</v>
          </cell>
          <cell r="E6" t="str">
            <v>Luzi River - Mzuzu  - Mtangatanga</v>
          </cell>
          <cell r="F6" t="str">
            <v>M01</v>
          </cell>
          <cell r="G6">
            <v>3</v>
          </cell>
          <cell r="H6">
            <v>107.5</v>
          </cell>
          <cell r="I6" t="str">
            <v>F</v>
          </cell>
          <cell r="J6" t="str">
            <v>RUMPHI &amp; MZIMBA</v>
          </cell>
          <cell r="K6">
            <v>3</v>
          </cell>
          <cell r="W6">
            <v>86</v>
          </cell>
          <cell r="X6" t="str">
            <v>DS</v>
          </cell>
          <cell r="Y6">
            <v>150</v>
          </cell>
          <cell r="Z6" t="str">
            <v>SB</v>
          </cell>
          <cell r="AA6">
            <v>100</v>
          </cell>
          <cell r="AB6" t="str">
            <v>GR</v>
          </cell>
          <cell r="AC6">
            <v>13</v>
          </cell>
          <cell r="AD6" t="str">
            <v>VR</v>
          </cell>
          <cell r="AE6">
            <v>98</v>
          </cell>
          <cell r="AF6" t="str">
            <v>SR</v>
          </cell>
          <cell r="AG6" t="str">
            <v>ST</v>
          </cell>
          <cell r="AH6">
            <v>10</v>
          </cell>
          <cell r="AM6">
            <v>4</v>
          </cell>
          <cell r="AN6" t="str">
            <v>To be resealed 1998</v>
          </cell>
          <cell r="BO6" t="str">
            <v>RS 003</v>
          </cell>
          <cell r="BP6">
            <v>107.5</v>
          </cell>
          <cell r="BQ6">
            <v>6.7</v>
          </cell>
          <cell r="BR6" t="str">
            <v>F</v>
          </cell>
          <cell r="BS6" t="str">
            <v>C</v>
          </cell>
          <cell r="BT6">
            <v>0</v>
          </cell>
          <cell r="BU6" t="str">
            <v>ST</v>
          </cell>
          <cell r="BV6" t="str">
            <v>DS</v>
          </cell>
          <cell r="BW6">
            <v>4</v>
          </cell>
          <cell r="BX6">
            <v>10</v>
          </cell>
          <cell r="BY6">
            <v>15</v>
          </cell>
          <cell r="BZ6">
            <v>1</v>
          </cell>
          <cell r="CA6">
            <v>13</v>
          </cell>
          <cell r="CB6">
            <v>1.3540000000000001</v>
          </cell>
          <cell r="CC6">
            <v>4.1399999999999997</v>
          </cell>
          <cell r="CD6" t="str">
            <v>To be re-sealed 1998</v>
          </cell>
          <cell r="CK6">
            <v>0</v>
          </cell>
          <cell r="CL6">
            <v>0</v>
          </cell>
          <cell r="CM6">
            <v>0</v>
          </cell>
          <cell r="CN6">
            <v>0</v>
          </cell>
          <cell r="CO6">
            <v>0</v>
          </cell>
          <cell r="CP6">
            <v>0</v>
          </cell>
          <cell r="CS6">
            <v>1.3</v>
          </cell>
          <cell r="CY6">
            <v>2</v>
          </cell>
          <cell r="CZ6">
            <v>1.8</v>
          </cell>
          <cell r="DA6">
            <v>1</v>
          </cell>
          <cell r="DB6">
            <v>450</v>
          </cell>
          <cell r="DC6">
            <v>212</v>
          </cell>
          <cell r="DD6">
            <v>117</v>
          </cell>
          <cell r="DE6">
            <v>34</v>
          </cell>
          <cell r="DF6">
            <v>52</v>
          </cell>
          <cell r="DG6">
            <v>9</v>
          </cell>
          <cell r="DH6">
            <v>5</v>
          </cell>
          <cell r="DI6">
            <v>23</v>
          </cell>
        </row>
        <row r="7">
          <cell r="A7" t="str">
            <v>RS 004</v>
          </cell>
          <cell r="B7" t="str">
            <v>4</v>
          </cell>
          <cell r="C7" t="str">
            <v>N</v>
          </cell>
          <cell r="D7" t="str">
            <v>T</v>
          </cell>
          <cell r="E7" t="str">
            <v>Mtangatanga - Jenda</v>
          </cell>
          <cell r="F7" t="str">
            <v>M01</v>
          </cell>
          <cell r="G7">
            <v>4</v>
          </cell>
          <cell r="H7">
            <v>62.1</v>
          </cell>
          <cell r="I7" t="str">
            <v>R</v>
          </cell>
          <cell r="J7" t="str">
            <v>MZIMBA</v>
          </cell>
          <cell r="K7">
            <v>4</v>
          </cell>
          <cell r="W7">
            <v>86</v>
          </cell>
          <cell r="X7" t="str">
            <v>DS</v>
          </cell>
          <cell r="Y7">
            <v>150</v>
          </cell>
          <cell r="Z7" t="str">
            <v>SB</v>
          </cell>
          <cell r="AA7">
            <v>100</v>
          </cell>
          <cell r="AB7" t="str">
            <v>GR</v>
          </cell>
          <cell r="AC7">
            <v>13</v>
          </cell>
          <cell r="AD7" t="str">
            <v>VR</v>
          </cell>
          <cell r="AM7">
            <v>1</v>
          </cell>
          <cell r="AN7" t="str">
            <v>never resealed</v>
          </cell>
          <cell r="BO7" t="str">
            <v>RS 004</v>
          </cell>
          <cell r="BP7">
            <v>62.1</v>
          </cell>
          <cell r="BQ7">
            <v>6</v>
          </cell>
          <cell r="BR7" t="str">
            <v>R</v>
          </cell>
          <cell r="BS7" t="str">
            <v>C</v>
          </cell>
          <cell r="BT7">
            <v>0</v>
          </cell>
          <cell r="BU7" t="str">
            <v>DS</v>
          </cell>
          <cell r="BV7" t="str">
            <v/>
          </cell>
          <cell r="BW7">
            <v>1</v>
          </cell>
          <cell r="BX7">
            <v>15</v>
          </cell>
          <cell r="BY7" t="str">
            <v/>
          </cell>
          <cell r="BZ7">
            <v>1</v>
          </cell>
          <cell r="CA7">
            <v>13</v>
          </cell>
          <cell r="CB7">
            <v>1.177</v>
          </cell>
          <cell r="CC7">
            <v>4.3</v>
          </cell>
          <cell r="CD7">
            <v>29</v>
          </cell>
          <cell r="CE7">
            <v>23</v>
          </cell>
          <cell r="CF7">
            <v>8</v>
          </cell>
          <cell r="CG7">
            <v>21</v>
          </cell>
          <cell r="CH7">
            <v>15</v>
          </cell>
          <cell r="CI7">
            <v>1.1000000000000001</v>
          </cell>
          <cell r="CJ7">
            <v>3.666666666666667E-3</v>
          </cell>
          <cell r="CK7">
            <v>8.0036666666666658</v>
          </cell>
          <cell r="CL7">
            <v>8</v>
          </cell>
          <cell r="CM7">
            <v>0.13434461538461537</v>
          </cell>
          <cell r="CN7">
            <v>0.13434461538461537</v>
          </cell>
          <cell r="CO7">
            <v>0</v>
          </cell>
          <cell r="CP7">
            <v>0</v>
          </cell>
          <cell r="CQ7">
            <v>4.4343446153846156</v>
          </cell>
          <cell r="CR7">
            <v>0</v>
          </cell>
          <cell r="CS7">
            <v>1.2</v>
          </cell>
          <cell r="CT7">
            <v>0.99999999999999978</v>
          </cell>
          <cell r="CU7">
            <v>0.39999999999999991</v>
          </cell>
          <cell r="CV7">
            <v>12</v>
          </cell>
          <cell r="CW7">
            <v>12</v>
          </cell>
          <cell r="CX7" t="str">
            <v/>
          </cell>
          <cell r="CY7">
            <v>1.3</v>
          </cell>
          <cell r="CZ7">
            <v>1.5</v>
          </cell>
          <cell r="DA7">
            <v>1</v>
          </cell>
          <cell r="DB7">
            <v>300</v>
          </cell>
          <cell r="DC7">
            <v>141</v>
          </cell>
          <cell r="DD7">
            <v>78</v>
          </cell>
          <cell r="DE7">
            <v>23</v>
          </cell>
          <cell r="DF7">
            <v>35</v>
          </cell>
          <cell r="DG7">
            <v>6</v>
          </cell>
          <cell r="DH7">
            <v>3</v>
          </cell>
          <cell r="DI7">
            <v>15</v>
          </cell>
        </row>
        <row r="8">
          <cell r="A8" t="str">
            <v>RS 031</v>
          </cell>
          <cell r="B8">
            <v>31</v>
          </cell>
          <cell r="C8" t="str">
            <v>C</v>
          </cell>
          <cell r="D8" t="str">
            <v>T</v>
          </cell>
          <cell r="E8" t="str">
            <v>Jenda - Chimaliro Forest Camp</v>
          </cell>
          <cell r="F8" t="str">
            <v>M01</v>
          </cell>
          <cell r="G8">
            <v>5</v>
          </cell>
          <cell r="H8">
            <v>11.6</v>
          </cell>
          <cell r="I8" t="str">
            <v>F</v>
          </cell>
          <cell r="J8" t="str">
            <v>KASUNGU</v>
          </cell>
          <cell r="K8">
            <v>4</v>
          </cell>
          <cell r="W8">
            <v>83</v>
          </cell>
          <cell r="X8" t="str">
            <v>DS</v>
          </cell>
          <cell r="Y8">
            <v>150</v>
          </cell>
          <cell r="Z8" t="str">
            <v>SB</v>
          </cell>
          <cell r="AA8">
            <v>100</v>
          </cell>
          <cell r="AB8" t="str">
            <v>GR</v>
          </cell>
          <cell r="AC8">
            <v>9</v>
          </cell>
          <cell r="AD8" t="str">
            <v>VR</v>
          </cell>
          <cell r="AM8">
            <v>1</v>
          </cell>
          <cell r="AN8" t="str">
            <v>never resealed</v>
          </cell>
          <cell r="BO8" t="str">
            <v>RS 031</v>
          </cell>
          <cell r="BP8">
            <v>11.6</v>
          </cell>
          <cell r="BQ8">
            <v>6</v>
          </cell>
          <cell r="BR8" t="str">
            <v>F</v>
          </cell>
          <cell r="BS8" t="str">
            <v>C</v>
          </cell>
          <cell r="BT8">
            <v>0</v>
          </cell>
          <cell r="BU8" t="str">
            <v>DS</v>
          </cell>
          <cell r="BV8" t="str">
            <v/>
          </cell>
          <cell r="BW8">
            <v>1</v>
          </cell>
          <cell r="BX8">
            <v>15</v>
          </cell>
          <cell r="BY8" t="str">
            <v/>
          </cell>
          <cell r="BZ8">
            <v>1</v>
          </cell>
          <cell r="CA8">
            <v>9</v>
          </cell>
          <cell r="CB8">
            <v>1.177</v>
          </cell>
          <cell r="CC8">
            <v>3.23</v>
          </cell>
          <cell r="CD8">
            <v>20</v>
          </cell>
          <cell r="CE8">
            <v>15</v>
          </cell>
          <cell r="CF8">
            <v>0</v>
          </cell>
          <cell r="CG8">
            <v>20</v>
          </cell>
          <cell r="CH8">
            <v>15</v>
          </cell>
          <cell r="CI8">
            <v>1.5</v>
          </cell>
          <cell r="CJ8">
            <v>5.000000000000001E-3</v>
          </cell>
          <cell r="CK8">
            <v>5.000000000000001E-3</v>
          </cell>
          <cell r="CL8">
            <v>0</v>
          </cell>
          <cell r="CM8">
            <v>1.9384615384615391E-3</v>
          </cell>
          <cell r="CN8">
            <v>1.9384615384615391E-3</v>
          </cell>
          <cell r="CO8">
            <v>0</v>
          </cell>
          <cell r="CP8">
            <v>0</v>
          </cell>
          <cell r="CQ8">
            <v>3.2319384615384616</v>
          </cell>
          <cell r="CR8">
            <v>0</v>
          </cell>
          <cell r="CS8">
            <v>1.1000000000000001</v>
          </cell>
          <cell r="CT8">
            <v>0.50000000000000044</v>
          </cell>
          <cell r="CU8">
            <v>0.20000000000000018</v>
          </cell>
          <cell r="CV8">
            <v>15</v>
          </cell>
          <cell r="CW8">
            <v>15</v>
          </cell>
          <cell r="CX8" t="str">
            <v/>
          </cell>
          <cell r="CY8">
            <v>1.2</v>
          </cell>
          <cell r="CZ8">
            <v>1.5</v>
          </cell>
          <cell r="DA8">
            <v>1</v>
          </cell>
          <cell r="DB8">
            <v>600</v>
          </cell>
          <cell r="DC8">
            <v>282</v>
          </cell>
          <cell r="DD8">
            <v>156</v>
          </cell>
          <cell r="DE8">
            <v>45</v>
          </cell>
          <cell r="DF8">
            <v>69</v>
          </cell>
          <cell r="DG8">
            <v>12</v>
          </cell>
          <cell r="DH8">
            <v>6</v>
          </cell>
          <cell r="DI8">
            <v>30</v>
          </cell>
        </row>
        <row r="9">
          <cell r="A9" t="str">
            <v>RS 022</v>
          </cell>
          <cell r="B9">
            <v>22</v>
          </cell>
          <cell r="C9" t="str">
            <v>C</v>
          </cell>
          <cell r="D9" t="str">
            <v>T</v>
          </cell>
          <cell r="E9" t="str">
            <v>Chimaliro Forest Camp - Chatoloma</v>
          </cell>
          <cell r="F9" t="str">
            <v>M01</v>
          </cell>
          <cell r="G9">
            <v>7</v>
          </cell>
          <cell r="H9">
            <v>26.6</v>
          </cell>
          <cell r="I9" t="str">
            <v>R</v>
          </cell>
          <cell r="J9" t="str">
            <v>KASUNGU</v>
          </cell>
          <cell r="K9">
            <v>4</v>
          </cell>
          <cell r="W9">
            <v>83</v>
          </cell>
          <cell r="X9" t="str">
            <v>DS</v>
          </cell>
          <cell r="Y9">
            <v>150</v>
          </cell>
          <cell r="Z9" t="str">
            <v>GR</v>
          </cell>
          <cell r="AA9">
            <v>100</v>
          </cell>
          <cell r="AB9" t="str">
            <v>GR</v>
          </cell>
          <cell r="AC9">
            <v>14</v>
          </cell>
          <cell r="AD9" t="str">
            <v>VR</v>
          </cell>
          <cell r="AM9">
            <v>1</v>
          </cell>
          <cell r="AN9" t="str">
            <v>never resealed</v>
          </cell>
          <cell r="BO9" t="str">
            <v>RS 022</v>
          </cell>
          <cell r="BP9">
            <v>26.6</v>
          </cell>
          <cell r="BQ9">
            <v>6</v>
          </cell>
          <cell r="BR9" t="str">
            <v>R</v>
          </cell>
          <cell r="BS9" t="str">
            <v>C</v>
          </cell>
          <cell r="BT9">
            <v>0</v>
          </cell>
          <cell r="BU9" t="str">
            <v>DS</v>
          </cell>
          <cell r="BV9" t="str">
            <v/>
          </cell>
          <cell r="BW9">
            <v>1</v>
          </cell>
          <cell r="BX9">
            <v>15</v>
          </cell>
          <cell r="BY9" t="str">
            <v/>
          </cell>
          <cell r="BZ9">
            <v>1</v>
          </cell>
          <cell r="CA9">
            <v>14</v>
          </cell>
          <cell r="CB9">
            <v>1.077</v>
          </cell>
          <cell r="CC9">
            <v>3.6480386194450714</v>
          </cell>
          <cell r="CD9">
            <v>12</v>
          </cell>
          <cell r="CE9">
            <v>10</v>
          </cell>
          <cell r="CF9">
            <v>0</v>
          </cell>
          <cell r="CG9">
            <v>12</v>
          </cell>
          <cell r="CH9">
            <v>10</v>
          </cell>
          <cell r="CI9">
            <v>1.2</v>
          </cell>
          <cell r="CJ9">
            <v>4.0000000000000001E-3</v>
          </cell>
          <cell r="CK9">
            <v>4.0000000000000001E-3</v>
          </cell>
          <cell r="CL9">
            <v>0</v>
          </cell>
          <cell r="CM9">
            <v>1.5507692307692308E-3</v>
          </cell>
          <cell r="CN9">
            <v>1.5507692307692308E-3</v>
          </cell>
          <cell r="CO9">
            <v>0</v>
          </cell>
          <cell r="CP9">
            <v>0</v>
          </cell>
          <cell r="CQ9">
            <v>3.6495893886758406</v>
          </cell>
          <cell r="CR9">
            <v>0</v>
          </cell>
          <cell r="CS9">
            <v>1.1000000000000001</v>
          </cell>
          <cell r="CT9">
            <v>0.50000000000000044</v>
          </cell>
          <cell r="CU9">
            <v>0.20000000000000018</v>
          </cell>
          <cell r="CV9">
            <v>15</v>
          </cell>
          <cell r="CW9">
            <v>15</v>
          </cell>
          <cell r="CX9" t="str">
            <v/>
          </cell>
          <cell r="CY9">
            <v>1.1000000000000001</v>
          </cell>
          <cell r="CZ9">
            <v>1.5</v>
          </cell>
          <cell r="DA9">
            <v>1</v>
          </cell>
          <cell r="DB9">
            <v>600</v>
          </cell>
          <cell r="DC9">
            <v>282</v>
          </cell>
          <cell r="DD9">
            <v>156</v>
          </cell>
          <cell r="DE9">
            <v>45</v>
          </cell>
          <cell r="DF9">
            <v>69</v>
          </cell>
          <cell r="DG9">
            <v>12</v>
          </cell>
          <cell r="DH9">
            <v>6</v>
          </cell>
          <cell r="DI9">
            <v>30</v>
          </cell>
        </row>
        <row r="10">
          <cell r="A10" t="str">
            <v>RS 035</v>
          </cell>
          <cell r="B10">
            <v>35</v>
          </cell>
          <cell r="C10" t="str">
            <v>C</v>
          </cell>
          <cell r="D10" t="str">
            <v>T</v>
          </cell>
          <cell r="E10" t="str">
            <v>Chatoloma - Mphomwa</v>
          </cell>
          <cell r="F10" t="str">
            <v>M01</v>
          </cell>
          <cell r="G10">
            <v>8</v>
          </cell>
          <cell r="H10">
            <v>23</v>
          </cell>
          <cell r="I10" t="str">
            <v>F</v>
          </cell>
          <cell r="J10" t="str">
            <v>KASUNGU</v>
          </cell>
          <cell r="K10">
            <v>5</v>
          </cell>
          <cell r="W10">
            <v>83</v>
          </cell>
          <cell r="X10" t="str">
            <v>DS</v>
          </cell>
          <cell r="Y10">
            <v>150</v>
          </cell>
          <cell r="Z10" t="str">
            <v>GR</v>
          </cell>
          <cell r="AA10">
            <v>100</v>
          </cell>
          <cell r="AB10" t="str">
            <v>GR</v>
          </cell>
          <cell r="AC10">
            <v>14</v>
          </cell>
          <cell r="AD10" t="str">
            <v>VR</v>
          </cell>
          <cell r="AM10">
            <v>1</v>
          </cell>
          <cell r="AN10" t="str">
            <v>never resealed</v>
          </cell>
          <cell r="BO10" t="str">
            <v>RS 035</v>
          </cell>
          <cell r="BP10">
            <v>23</v>
          </cell>
          <cell r="BQ10">
            <v>6</v>
          </cell>
          <cell r="BR10" t="str">
            <v>F</v>
          </cell>
          <cell r="BS10" t="str">
            <v>C</v>
          </cell>
          <cell r="BT10">
            <v>0</v>
          </cell>
          <cell r="BU10" t="str">
            <v>DS</v>
          </cell>
          <cell r="BV10" t="str">
            <v/>
          </cell>
          <cell r="BW10">
            <v>1</v>
          </cell>
          <cell r="BX10">
            <v>15</v>
          </cell>
          <cell r="BY10" t="str">
            <v/>
          </cell>
          <cell r="BZ10">
            <v>1</v>
          </cell>
          <cell r="CA10">
            <v>14</v>
          </cell>
          <cell r="CB10">
            <v>1.077</v>
          </cell>
          <cell r="CC10">
            <v>3.305719648093842</v>
          </cell>
          <cell r="CD10">
            <v>45</v>
          </cell>
          <cell r="CE10">
            <v>32</v>
          </cell>
          <cell r="CF10">
            <v>17</v>
          </cell>
          <cell r="CG10">
            <v>28</v>
          </cell>
          <cell r="CH10">
            <v>15</v>
          </cell>
          <cell r="CI10">
            <v>0.9</v>
          </cell>
          <cell r="CJ10">
            <v>3.0000000000000005E-3</v>
          </cell>
          <cell r="CK10">
            <v>10</v>
          </cell>
          <cell r="CL10">
            <v>17</v>
          </cell>
          <cell r="CM10">
            <v>0.21359461538461538</v>
          </cell>
          <cell r="CN10">
            <v>0.21359461538461538</v>
          </cell>
          <cell r="CO10">
            <v>0</v>
          </cell>
          <cell r="CP10">
            <v>0</v>
          </cell>
          <cell r="CQ10">
            <v>3.5193142634784573</v>
          </cell>
          <cell r="CR10">
            <v>0</v>
          </cell>
          <cell r="CS10">
            <v>1.2</v>
          </cell>
          <cell r="CT10">
            <v>0.99999999999999978</v>
          </cell>
          <cell r="CU10">
            <v>0.39999999999999991</v>
          </cell>
          <cell r="CV10">
            <v>15</v>
          </cell>
          <cell r="CW10">
            <v>15</v>
          </cell>
          <cell r="CX10" t="str">
            <v/>
          </cell>
          <cell r="CY10">
            <v>1.5</v>
          </cell>
          <cell r="CZ10">
            <v>1.5</v>
          </cell>
          <cell r="DA10">
            <v>1</v>
          </cell>
          <cell r="DB10">
            <v>600</v>
          </cell>
          <cell r="DC10">
            <v>282</v>
          </cell>
          <cell r="DD10">
            <v>156</v>
          </cell>
          <cell r="DE10">
            <v>45</v>
          </cell>
          <cell r="DF10">
            <v>69</v>
          </cell>
          <cell r="DG10">
            <v>12</v>
          </cell>
          <cell r="DH10">
            <v>6</v>
          </cell>
          <cell r="DI10">
            <v>30</v>
          </cell>
        </row>
        <row r="11">
          <cell r="A11" t="str">
            <v>RS 026</v>
          </cell>
          <cell r="B11">
            <v>26</v>
          </cell>
          <cell r="C11" t="str">
            <v>C</v>
          </cell>
          <cell r="D11" t="str">
            <v>T</v>
          </cell>
          <cell r="E11" t="str">
            <v>Kasungu Boma - Bua River</v>
          </cell>
          <cell r="F11" t="str">
            <v>M01</v>
          </cell>
          <cell r="G11">
            <v>9</v>
          </cell>
          <cell r="H11">
            <v>31.6</v>
          </cell>
          <cell r="I11" t="str">
            <v>F</v>
          </cell>
          <cell r="J11" t="str">
            <v>KASUNGU</v>
          </cell>
          <cell r="K11">
            <v>5</v>
          </cell>
          <cell r="W11">
            <v>80</v>
          </cell>
          <cell r="X11" t="str">
            <v>DS</v>
          </cell>
          <cell r="Y11">
            <v>150</v>
          </cell>
          <cell r="Z11" t="str">
            <v>GR</v>
          </cell>
          <cell r="AA11">
            <v>100</v>
          </cell>
          <cell r="AB11" t="str">
            <v>GR</v>
          </cell>
          <cell r="AC11">
            <v>14</v>
          </cell>
          <cell r="AD11" t="str">
            <v>VR</v>
          </cell>
          <cell r="AM11">
            <v>1</v>
          </cell>
          <cell r="AN11" t="str">
            <v>never resealed</v>
          </cell>
          <cell r="BO11" t="str">
            <v>RS 026</v>
          </cell>
          <cell r="BP11">
            <v>31.6</v>
          </cell>
          <cell r="BQ11">
            <v>6</v>
          </cell>
          <cell r="BR11" t="str">
            <v>F</v>
          </cell>
          <cell r="BS11" t="str">
            <v>C</v>
          </cell>
          <cell r="BT11">
            <v>0</v>
          </cell>
          <cell r="BU11" t="str">
            <v>DS</v>
          </cell>
          <cell r="BV11" t="str">
            <v/>
          </cell>
          <cell r="BW11">
            <v>1</v>
          </cell>
          <cell r="BX11">
            <v>15</v>
          </cell>
          <cell r="BY11" t="str">
            <v/>
          </cell>
          <cell r="BZ11">
            <v>1</v>
          </cell>
          <cell r="CA11">
            <v>14</v>
          </cell>
          <cell r="CB11">
            <v>1.077</v>
          </cell>
          <cell r="CC11">
            <v>4.4826839518657096</v>
          </cell>
          <cell r="CD11">
            <v>57</v>
          </cell>
          <cell r="CE11">
            <v>26</v>
          </cell>
          <cell r="CF11">
            <v>11</v>
          </cell>
          <cell r="CG11">
            <v>46</v>
          </cell>
          <cell r="CH11">
            <v>15</v>
          </cell>
          <cell r="CI11">
            <v>7.9</v>
          </cell>
          <cell r="CJ11">
            <v>2.6333333333333337E-2</v>
          </cell>
          <cell r="CK11">
            <v>10</v>
          </cell>
          <cell r="CL11">
            <v>11</v>
          </cell>
          <cell r="CM11">
            <v>0.18271512820512822</v>
          </cell>
          <cell r="CN11">
            <v>0.18271512820512822</v>
          </cell>
          <cell r="CO11">
            <v>0</v>
          </cell>
          <cell r="CP11">
            <v>0</v>
          </cell>
          <cell r="CQ11">
            <v>4.6653990800708378</v>
          </cell>
          <cell r="CR11">
            <v>0</v>
          </cell>
          <cell r="CS11">
            <v>2.5</v>
          </cell>
          <cell r="CT11">
            <v>10</v>
          </cell>
          <cell r="CU11">
            <v>4</v>
          </cell>
          <cell r="CV11">
            <v>18</v>
          </cell>
          <cell r="CW11">
            <v>18</v>
          </cell>
          <cell r="CX11" t="str">
            <v/>
          </cell>
          <cell r="CY11">
            <v>2.1</v>
          </cell>
          <cell r="CZ11">
            <v>1.5</v>
          </cell>
          <cell r="DA11">
            <v>1</v>
          </cell>
          <cell r="DB11">
            <v>600</v>
          </cell>
          <cell r="DC11">
            <v>282</v>
          </cell>
          <cell r="DD11">
            <v>156</v>
          </cell>
          <cell r="DE11">
            <v>45</v>
          </cell>
          <cell r="DF11">
            <v>69</v>
          </cell>
          <cell r="DG11">
            <v>12</v>
          </cell>
          <cell r="DH11">
            <v>6</v>
          </cell>
          <cell r="DI11">
            <v>30</v>
          </cell>
        </row>
        <row r="12">
          <cell r="A12" t="str">
            <v>RS 011</v>
          </cell>
          <cell r="B12">
            <v>11</v>
          </cell>
          <cell r="C12" t="str">
            <v>C</v>
          </cell>
          <cell r="D12" t="str">
            <v>T</v>
          </cell>
          <cell r="E12" t="str">
            <v>Bua river - Madisi</v>
          </cell>
          <cell r="F12" t="str">
            <v>M01</v>
          </cell>
          <cell r="G12">
            <v>10</v>
          </cell>
          <cell r="H12">
            <v>17.100000000000001</v>
          </cell>
          <cell r="I12" t="str">
            <v>F</v>
          </cell>
          <cell r="J12" t="str">
            <v>DOWA</v>
          </cell>
          <cell r="K12">
            <v>5</v>
          </cell>
          <cell r="W12">
            <v>80</v>
          </cell>
          <cell r="X12" t="str">
            <v>DS</v>
          </cell>
          <cell r="Y12">
            <v>150</v>
          </cell>
          <cell r="Z12" t="str">
            <v>GR</v>
          </cell>
          <cell r="AA12">
            <v>100</v>
          </cell>
          <cell r="AB12" t="str">
            <v>GR</v>
          </cell>
          <cell r="AC12">
            <v>14</v>
          </cell>
          <cell r="AD12" t="str">
            <v>VR</v>
          </cell>
          <cell r="AE12">
            <v>87</v>
          </cell>
          <cell r="AF12" t="str">
            <v>RC</v>
          </cell>
          <cell r="AG12" t="str">
            <v>ST</v>
          </cell>
          <cell r="AH12">
            <v>15</v>
          </cell>
          <cell r="AM12">
            <v>1</v>
          </cell>
          <cell r="AN12" t="str">
            <v>5km reseal</v>
          </cell>
          <cell r="BO12" t="str">
            <v>RS 011</v>
          </cell>
          <cell r="BP12">
            <v>17.100000000000001</v>
          </cell>
          <cell r="BQ12">
            <v>6.7</v>
          </cell>
          <cell r="BR12" t="str">
            <v>F</v>
          </cell>
          <cell r="BS12" t="str">
            <v>C</v>
          </cell>
          <cell r="BT12">
            <v>0</v>
          </cell>
          <cell r="BU12" t="str">
            <v>ST</v>
          </cell>
          <cell r="BV12" t="str">
            <v/>
          </cell>
          <cell r="BW12">
            <v>1</v>
          </cell>
          <cell r="BX12">
            <v>10</v>
          </cell>
          <cell r="BY12" t="str">
            <v/>
          </cell>
          <cell r="BZ12">
            <v>1</v>
          </cell>
          <cell r="CA12">
            <v>14</v>
          </cell>
          <cell r="CB12">
            <v>1.254</v>
          </cell>
          <cell r="CC12">
            <v>4.8099999999999996</v>
          </cell>
          <cell r="CD12">
            <v>64</v>
          </cell>
          <cell r="CE12">
            <v>41</v>
          </cell>
          <cell r="CF12">
            <v>26</v>
          </cell>
          <cell r="CG12">
            <v>38</v>
          </cell>
          <cell r="CH12">
            <v>15</v>
          </cell>
          <cell r="CI12">
            <v>13.6</v>
          </cell>
          <cell r="CJ12">
            <v>4.0597014925373133E-2</v>
          </cell>
          <cell r="CK12">
            <v>10</v>
          </cell>
          <cell r="CL12">
            <v>26</v>
          </cell>
          <cell r="CM12">
            <v>0.2873331802525832</v>
          </cell>
          <cell r="CN12">
            <v>0.2873331802525832</v>
          </cell>
          <cell r="CO12">
            <v>0</v>
          </cell>
          <cell r="CP12">
            <v>0</v>
          </cell>
          <cell r="CQ12">
            <v>5.0973331802525825</v>
          </cell>
          <cell r="CR12">
            <v>0</v>
          </cell>
          <cell r="CS12">
            <v>2.5</v>
          </cell>
          <cell r="CT12">
            <v>10</v>
          </cell>
          <cell r="CU12">
            <v>4</v>
          </cell>
          <cell r="CV12">
            <v>11</v>
          </cell>
          <cell r="CW12">
            <v>11</v>
          </cell>
          <cell r="CX12" t="str">
            <v/>
          </cell>
          <cell r="CY12">
            <v>2</v>
          </cell>
          <cell r="CZ12">
            <v>2</v>
          </cell>
          <cell r="DA12">
            <v>1</v>
          </cell>
          <cell r="DB12">
            <v>600</v>
          </cell>
          <cell r="DC12">
            <v>282</v>
          </cell>
          <cell r="DD12">
            <v>156</v>
          </cell>
          <cell r="DE12">
            <v>45</v>
          </cell>
          <cell r="DF12">
            <v>69</v>
          </cell>
          <cell r="DG12">
            <v>12</v>
          </cell>
          <cell r="DH12">
            <v>6</v>
          </cell>
          <cell r="DI12">
            <v>30</v>
          </cell>
        </row>
        <row r="13">
          <cell r="A13" t="str">
            <v>RS 014</v>
          </cell>
          <cell r="B13">
            <v>14</v>
          </cell>
          <cell r="C13" t="str">
            <v>C</v>
          </cell>
          <cell r="D13" t="str">
            <v>T</v>
          </cell>
          <cell r="E13" t="str">
            <v>Madisi - Mponela</v>
          </cell>
          <cell r="F13" t="str">
            <v>M01</v>
          </cell>
          <cell r="G13">
            <v>11</v>
          </cell>
          <cell r="H13">
            <v>21</v>
          </cell>
          <cell r="I13" t="str">
            <v>F</v>
          </cell>
          <cell r="J13" t="str">
            <v>DOWA</v>
          </cell>
          <cell r="K13">
            <v>5</v>
          </cell>
          <cell r="W13">
            <v>80</v>
          </cell>
          <cell r="X13" t="str">
            <v>DS</v>
          </cell>
          <cell r="Y13">
            <v>150</v>
          </cell>
          <cell r="Z13" t="str">
            <v>GR</v>
          </cell>
          <cell r="AA13">
            <v>100</v>
          </cell>
          <cell r="AB13" t="str">
            <v>GR</v>
          </cell>
          <cell r="AC13">
            <v>14</v>
          </cell>
          <cell r="AD13" t="str">
            <v>VR</v>
          </cell>
          <cell r="AE13">
            <v>87</v>
          </cell>
          <cell r="AF13" t="str">
            <v>RC</v>
          </cell>
          <cell r="AG13" t="str">
            <v>ST</v>
          </cell>
          <cell r="AH13">
            <v>15</v>
          </cell>
          <cell r="AM13">
            <v>1</v>
          </cell>
          <cell r="AN13" t="str">
            <v>5km reseal</v>
          </cell>
          <cell r="BO13" t="str">
            <v>RS 014</v>
          </cell>
          <cell r="BP13">
            <v>21</v>
          </cell>
          <cell r="BQ13">
            <v>6.7</v>
          </cell>
          <cell r="BR13" t="str">
            <v>F</v>
          </cell>
          <cell r="BS13" t="str">
            <v>C</v>
          </cell>
          <cell r="BT13">
            <v>0</v>
          </cell>
          <cell r="BU13" t="str">
            <v>ST</v>
          </cell>
          <cell r="BV13" t="str">
            <v/>
          </cell>
          <cell r="BW13">
            <v>1</v>
          </cell>
          <cell r="BX13">
            <v>10</v>
          </cell>
          <cell r="BY13" t="str">
            <v/>
          </cell>
          <cell r="BZ13">
            <v>1</v>
          </cell>
          <cell r="CA13">
            <v>14</v>
          </cell>
          <cell r="CB13">
            <v>1.254</v>
          </cell>
          <cell r="CC13">
            <v>6.474208051186352</v>
          </cell>
          <cell r="CD13">
            <v>32.5</v>
          </cell>
          <cell r="CE13">
            <v>13</v>
          </cell>
          <cell r="CF13">
            <v>0</v>
          </cell>
          <cell r="CG13">
            <v>32.5</v>
          </cell>
          <cell r="CH13">
            <v>13</v>
          </cell>
          <cell r="CI13">
            <v>5.9</v>
          </cell>
          <cell r="CJ13">
            <v>1.7611940298507465E-2</v>
          </cell>
          <cell r="CK13">
            <v>1.7611940298507465E-2</v>
          </cell>
          <cell r="CL13">
            <v>0</v>
          </cell>
          <cell r="CM13">
            <v>6.8280137772675099E-3</v>
          </cell>
          <cell r="CN13">
            <v>6.8280137772675099E-3</v>
          </cell>
          <cell r="CO13">
            <v>0</v>
          </cell>
          <cell r="CP13">
            <v>0</v>
          </cell>
          <cell r="CQ13">
            <v>6.4810360649636198</v>
          </cell>
          <cell r="CR13">
            <v>0</v>
          </cell>
          <cell r="CS13">
            <v>1.5</v>
          </cell>
          <cell r="CT13">
            <v>2.5</v>
          </cell>
          <cell r="CU13">
            <v>1</v>
          </cell>
          <cell r="CV13">
            <v>11</v>
          </cell>
          <cell r="CW13">
            <v>11</v>
          </cell>
          <cell r="CX13" t="str">
            <v/>
          </cell>
          <cell r="CY13">
            <v>2</v>
          </cell>
          <cell r="CZ13">
            <v>1.8</v>
          </cell>
          <cell r="DA13">
            <v>1</v>
          </cell>
          <cell r="DB13">
            <v>600</v>
          </cell>
          <cell r="DC13">
            <v>282</v>
          </cell>
          <cell r="DD13">
            <v>156</v>
          </cell>
          <cell r="DE13">
            <v>45</v>
          </cell>
          <cell r="DF13">
            <v>69</v>
          </cell>
          <cell r="DG13">
            <v>12</v>
          </cell>
          <cell r="DH13">
            <v>6</v>
          </cell>
          <cell r="DI13">
            <v>30</v>
          </cell>
        </row>
        <row r="14">
          <cell r="A14" t="str">
            <v>RS 017</v>
          </cell>
          <cell r="B14">
            <v>17</v>
          </cell>
          <cell r="C14" t="str">
            <v>C</v>
          </cell>
          <cell r="D14" t="str">
            <v>T</v>
          </cell>
          <cell r="E14" t="str">
            <v>Mponela - Senga</v>
          </cell>
          <cell r="F14" t="str">
            <v>M01</v>
          </cell>
          <cell r="G14">
            <v>12</v>
          </cell>
          <cell r="H14">
            <v>17.2</v>
          </cell>
          <cell r="I14" t="str">
            <v>R</v>
          </cell>
          <cell r="J14" t="str">
            <v>DOWA</v>
          </cell>
          <cell r="K14" t="str">
            <v>5,6</v>
          </cell>
          <cell r="W14">
            <v>80</v>
          </cell>
          <cell r="X14" t="str">
            <v>DS</v>
          </cell>
          <cell r="Y14">
            <v>100</v>
          </cell>
          <cell r="Z14" t="str">
            <v>GR</v>
          </cell>
          <cell r="AA14">
            <v>150</v>
          </cell>
          <cell r="AB14" t="str">
            <v>GR</v>
          </cell>
          <cell r="AC14">
            <v>14</v>
          </cell>
          <cell r="AD14" t="str">
            <v>VR</v>
          </cell>
          <cell r="AM14">
            <v>1</v>
          </cell>
          <cell r="AN14" t="str">
            <v>never resealed</v>
          </cell>
          <cell r="BO14" t="str">
            <v>RS 017</v>
          </cell>
          <cell r="BP14">
            <v>17.2</v>
          </cell>
          <cell r="BQ14">
            <v>6</v>
          </cell>
          <cell r="BR14" t="str">
            <v>R</v>
          </cell>
          <cell r="BS14" t="str">
            <v>C</v>
          </cell>
          <cell r="BT14">
            <v>0</v>
          </cell>
          <cell r="BU14" t="str">
            <v>DS</v>
          </cell>
          <cell r="BV14" t="str">
            <v/>
          </cell>
          <cell r="BW14">
            <v>1</v>
          </cell>
          <cell r="BX14">
            <v>15</v>
          </cell>
          <cell r="BY14" t="str">
            <v/>
          </cell>
          <cell r="BZ14">
            <v>1</v>
          </cell>
          <cell r="CA14">
            <v>14</v>
          </cell>
          <cell r="CB14">
            <v>1.5270000000000001</v>
          </cell>
          <cell r="CC14">
            <v>3.8169610948191601</v>
          </cell>
          <cell r="CD14">
            <v>43</v>
          </cell>
          <cell r="CE14">
            <v>30</v>
          </cell>
          <cell r="CF14">
            <v>15</v>
          </cell>
          <cell r="CG14">
            <v>28</v>
          </cell>
          <cell r="CH14">
            <v>15</v>
          </cell>
          <cell r="CI14">
            <v>10.4</v>
          </cell>
          <cell r="CJ14">
            <v>3.4666666666666665E-2</v>
          </cell>
          <cell r="CK14">
            <v>10</v>
          </cell>
          <cell r="CL14">
            <v>15</v>
          </cell>
          <cell r="CM14">
            <v>0.21232410256410256</v>
          </cell>
          <cell r="CN14">
            <v>0.21232410256410256</v>
          </cell>
          <cell r="CO14">
            <v>0</v>
          </cell>
          <cell r="CP14">
            <v>0</v>
          </cell>
          <cell r="CQ14">
            <v>4.0292851973832624</v>
          </cell>
          <cell r="CR14">
            <v>0</v>
          </cell>
          <cell r="CS14">
            <v>1.5</v>
          </cell>
          <cell r="CT14">
            <v>2.5</v>
          </cell>
          <cell r="CU14">
            <v>1</v>
          </cell>
          <cell r="CV14">
            <v>18</v>
          </cell>
          <cell r="CW14">
            <v>18</v>
          </cell>
          <cell r="CX14" t="str">
            <v/>
          </cell>
          <cell r="CY14">
            <v>2.5</v>
          </cell>
          <cell r="CZ14">
            <v>2</v>
          </cell>
          <cell r="DA14">
            <v>1</v>
          </cell>
          <cell r="DB14">
            <v>400</v>
          </cell>
          <cell r="DC14">
            <v>188</v>
          </cell>
          <cell r="DD14">
            <v>104</v>
          </cell>
          <cell r="DE14">
            <v>30</v>
          </cell>
          <cell r="DF14">
            <v>46</v>
          </cell>
          <cell r="DG14">
            <v>8</v>
          </cell>
          <cell r="DH14">
            <v>4</v>
          </cell>
          <cell r="DI14">
            <v>20</v>
          </cell>
        </row>
        <row r="15">
          <cell r="A15" t="str">
            <v>RS 013</v>
          </cell>
          <cell r="B15">
            <v>13</v>
          </cell>
          <cell r="C15" t="str">
            <v>C</v>
          </cell>
          <cell r="D15" t="str">
            <v>T</v>
          </cell>
          <cell r="E15" t="str">
            <v>Senga - Othambwe</v>
          </cell>
          <cell r="F15" t="str">
            <v>M01</v>
          </cell>
          <cell r="G15">
            <v>13</v>
          </cell>
          <cell r="H15">
            <v>9.5</v>
          </cell>
          <cell r="I15" t="str">
            <v>F</v>
          </cell>
          <cell r="J15" t="str">
            <v>LILONGWE</v>
          </cell>
          <cell r="K15">
            <v>6</v>
          </cell>
          <cell r="W15">
            <v>80</v>
          </cell>
          <cell r="X15" t="str">
            <v>DS</v>
          </cell>
          <cell r="Y15">
            <v>150</v>
          </cell>
          <cell r="Z15" t="str">
            <v>GR</v>
          </cell>
          <cell r="AA15">
            <v>100</v>
          </cell>
          <cell r="AB15" t="str">
            <v>GR</v>
          </cell>
          <cell r="AC15">
            <v>14</v>
          </cell>
          <cell r="AD15" t="str">
            <v>VR</v>
          </cell>
          <cell r="AE15">
            <v>87</v>
          </cell>
          <cell r="AF15" t="str">
            <v>RC</v>
          </cell>
          <cell r="AG15" t="str">
            <v>ST</v>
          </cell>
          <cell r="AH15">
            <v>15</v>
          </cell>
          <cell r="AM15">
            <v>1</v>
          </cell>
          <cell r="BO15" t="str">
            <v>RS 013</v>
          </cell>
          <cell r="BP15">
            <v>9.5</v>
          </cell>
          <cell r="BQ15">
            <v>6</v>
          </cell>
          <cell r="BR15" t="str">
            <v>F</v>
          </cell>
          <cell r="BS15" t="str">
            <v>C</v>
          </cell>
          <cell r="BT15">
            <v>0</v>
          </cell>
          <cell r="BU15" t="str">
            <v>ST</v>
          </cell>
          <cell r="BV15" t="str">
            <v/>
          </cell>
          <cell r="BW15">
            <v>1</v>
          </cell>
          <cell r="BX15">
            <v>10</v>
          </cell>
          <cell r="BY15" t="str">
            <v/>
          </cell>
          <cell r="BZ15">
            <v>1</v>
          </cell>
          <cell r="CA15">
            <v>14</v>
          </cell>
          <cell r="CB15">
            <v>1.254</v>
          </cell>
          <cell r="CC15">
            <v>4.34</v>
          </cell>
          <cell r="CD15">
            <v>75</v>
          </cell>
          <cell r="CE15">
            <v>45</v>
          </cell>
          <cell r="CF15">
            <v>30</v>
          </cell>
          <cell r="CG15">
            <v>45</v>
          </cell>
          <cell r="CH15">
            <v>15</v>
          </cell>
          <cell r="CI15">
            <v>6.2</v>
          </cell>
          <cell r="CJ15">
            <v>2.066666666666667E-2</v>
          </cell>
          <cell r="CK15">
            <v>10</v>
          </cell>
          <cell r="CL15">
            <v>30</v>
          </cell>
          <cell r="CM15">
            <v>0.30626717948717946</v>
          </cell>
          <cell r="CN15">
            <v>0.30626717948717946</v>
          </cell>
          <cell r="CO15">
            <v>0</v>
          </cell>
          <cell r="CP15">
            <v>0</v>
          </cell>
          <cell r="CQ15">
            <v>4.6462671794871797</v>
          </cell>
          <cell r="CR15">
            <v>0</v>
          </cell>
          <cell r="CS15">
            <v>1</v>
          </cell>
          <cell r="CT15">
            <v>0</v>
          </cell>
          <cell r="CU15">
            <v>0</v>
          </cell>
          <cell r="CV15">
            <v>11</v>
          </cell>
          <cell r="CW15">
            <v>11</v>
          </cell>
          <cell r="CX15" t="str">
            <v/>
          </cell>
          <cell r="CY15">
            <v>2</v>
          </cell>
          <cell r="CZ15">
            <v>1.8</v>
          </cell>
          <cell r="DA15">
            <v>1</v>
          </cell>
          <cell r="DB15">
            <v>400</v>
          </cell>
          <cell r="DC15">
            <v>188</v>
          </cell>
          <cell r="DD15">
            <v>104</v>
          </cell>
          <cell r="DE15">
            <v>30</v>
          </cell>
          <cell r="DF15">
            <v>46</v>
          </cell>
          <cell r="DG15">
            <v>8</v>
          </cell>
          <cell r="DH15">
            <v>4</v>
          </cell>
          <cell r="DI15">
            <v>20</v>
          </cell>
        </row>
        <row r="16">
          <cell r="A16" t="str">
            <v>RS 024</v>
          </cell>
          <cell r="B16">
            <v>24</v>
          </cell>
          <cell r="C16" t="str">
            <v>C</v>
          </cell>
          <cell r="D16" t="str">
            <v>T</v>
          </cell>
          <cell r="E16" t="str">
            <v>Othambwe - Lumbadzi River Bridge</v>
          </cell>
          <cell r="F16" t="str">
            <v>M01</v>
          </cell>
          <cell r="G16">
            <v>14</v>
          </cell>
          <cell r="H16">
            <v>5.7</v>
          </cell>
          <cell r="I16" t="str">
            <v>F</v>
          </cell>
          <cell r="J16" t="str">
            <v>LILONGWE</v>
          </cell>
          <cell r="K16">
            <v>6</v>
          </cell>
          <cell r="W16">
            <v>80</v>
          </cell>
          <cell r="X16" t="str">
            <v>DS</v>
          </cell>
          <cell r="Y16">
            <v>150</v>
          </cell>
          <cell r="Z16" t="str">
            <v>GR</v>
          </cell>
          <cell r="AA16">
            <v>100</v>
          </cell>
          <cell r="AB16" t="str">
            <v>GR</v>
          </cell>
          <cell r="AC16">
            <v>14</v>
          </cell>
          <cell r="AD16" t="str">
            <v>VR</v>
          </cell>
          <cell r="AE16">
            <v>87</v>
          </cell>
          <cell r="AF16" t="str">
            <v>RC</v>
          </cell>
          <cell r="AG16" t="str">
            <v>ST</v>
          </cell>
          <cell r="AH16">
            <v>15</v>
          </cell>
          <cell r="AM16">
            <v>1</v>
          </cell>
          <cell r="BO16" t="str">
            <v>RS 024</v>
          </cell>
          <cell r="BP16">
            <v>5.7</v>
          </cell>
          <cell r="BQ16">
            <v>6</v>
          </cell>
          <cell r="BR16" t="str">
            <v>F</v>
          </cell>
          <cell r="BS16" t="str">
            <v>C</v>
          </cell>
          <cell r="BT16">
            <v>0</v>
          </cell>
          <cell r="BU16" t="str">
            <v>ST</v>
          </cell>
          <cell r="BV16" t="str">
            <v/>
          </cell>
          <cell r="BW16">
            <v>1</v>
          </cell>
          <cell r="BX16">
            <v>10</v>
          </cell>
          <cell r="BY16" t="str">
            <v/>
          </cell>
          <cell r="BZ16">
            <v>1</v>
          </cell>
          <cell r="CA16">
            <v>14</v>
          </cell>
          <cell r="CB16">
            <v>1.254</v>
          </cell>
          <cell r="CC16">
            <v>4</v>
          </cell>
          <cell r="CD16">
            <v>75</v>
          </cell>
          <cell r="CE16">
            <v>45</v>
          </cell>
          <cell r="CF16">
            <v>30</v>
          </cell>
          <cell r="CG16">
            <v>45</v>
          </cell>
          <cell r="CH16">
            <v>15</v>
          </cell>
          <cell r="CI16">
            <v>6.2</v>
          </cell>
          <cell r="CJ16">
            <v>2.066666666666667E-2</v>
          </cell>
          <cell r="CK16">
            <v>10</v>
          </cell>
          <cell r="CL16">
            <v>30</v>
          </cell>
          <cell r="CM16">
            <v>0.30626717948717946</v>
          </cell>
          <cell r="CN16">
            <v>0.30626717948717946</v>
          </cell>
          <cell r="CO16">
            <v>0</v>
          </cell>
          <cell r="CP16">
            <v>0</v>
          </cell>
          <cell r="CQ16">
            <v>4.3062671794871799</v>
          </cell>
          <cell r="CR16">
            <v>0</v>
          </cell>
          <cell r="CS16">
            <v>1</v>
          </cell>
          <cell r="CT16">
            <v>0</v>
          </cell>
          <cell r="CU16">
            <v>0</v>
          </cell>
          <cell r="CV16">
            <v>11</v>
          </cell>
          <cell r="CW16">
            <v>11</v>
          </cell>
          <cell r="CX16" t="str">
            <v/>
          </cell>
          <cell r="CY16">
            <v>2</v>
          </cell>
          <cell r="CZ16">
            <v>1.8</v>
          </cell>
          <cell r="DA16">
            <v>1</v>
          </cell>
          <cell r="DB16">
            <v>500</v>
          </cell>
          <cell r="DC16">
            <v>235</v>
          </cell>
          <cell r="DD16">
            <v>130</v>
          </cell>
          <cell r="DE16">
            <v>38</v>
          </cell>
          <cell r="DF16">
            <v>58</v>
          </cell>
          <cell r="DG16">
            <v>10</v>
          </cell>
          <cell r="DH16">
            <v>5</v>
          </cell>
          <cell r="DI16">
            <v>25</v>
          </cell>
        </row>
        <row r="17">
          <cell r="A17" t="str">
            <v>RS 020</v>
          </cell>
          <cell r="B17">
            <v>20</v>
          </cell>
          <cell r="C17" t="str">
            <v>C</v>
          </cell>
          <cell r="D17" t="str">
            <v>T</v>
          </cell>
          <cell r="E17" t="str">
            <v>Lumbadzi River Bridge -  Chitsame</v>
          </cell>
          <cell r="F17" t="str">
            <v>M01</v>
          </cell>
          <cell r="G17">
            <v>15</v>
          </cell>
          <cell r="H17">
            <v>33</v>
          </cell>
          <cell r="I17" t="str">
            <v>F</v>
          </cell>
          <cell r="J17" t="str">
            <v>LILONGWE</v>
          </cell>
          <cell r="K17">
            <v>6</v>
          </cell>
          <cell r="W17">
            <v>71</v>
          </cell>
          <cell r="X17" t="str">
            <v>DS</v>
          </cell>
          <cell r="Y17">
            <v>150</v>
          </cell>
          <cell r="Z17" t="str">
            <v>GR</v>
          </cell>
          <cell r="AA17">
            <v>100</v>
          </cell>
          <cell r="AB17" t="str">
            <v>CG</v>
          </cell>
          <cell r="AC17">
            <v>14</v>
          </cell>
          <cell r="AD17" t="str">
            <v>VR</v>
          </cell>
          <cell r="AE17">
            <v>87</v>
          </cell>
          <cell r="AF17" t="str">
            <v>AO</v>
          </cell>
          <cell r="AG17" t="str">
            <v>AC</v>
          </cell>
          <cell r="AH17">
            <v>40</v>
          </cell>
          <cell r="AM17">
            <v>6</v>
          </cell>
          <cell r="BO17" t="str">
            <v>RS 020</v>
          </cell>
          <cell r="BP17">
            <v>33</v>
          </cell>
          <cell r="BQ17">
            <v>6.7</v>
          </cell>
          <cell r="BR17" t="str">
            <v>F</v>
          </cell>
          <cell r="BS17" t="str">
            <v>C</v>
          </cell>
          <cell r="BT17">
            <v>0</v>
          </cell>
          <cell r="BU17" t="str">
            <v>AC</v>
          </cell>
          <cell r="BV17" t="str">
            <v>DS</v>
          </cell>
          <cell r="BW17">
            <v>6</v>
          </cell>
          <cell r="BX17">
            <v>40</v>
          </cell>
          <cell r="BY17">
            <v>15</v>
          </cell>
          <cell r="BZ17">
            <v>1</v>
          </cell>
          <cell r="CA17">
            <v>14</v>
          </cell>
          <cell r="CB17">
            <v>1.629</v>
          </cell>
          <cell r="CC17">
            <v>2.0467220474540122</v>
          </cell>
          <cell r="CD17">
            <v>28</v>
          </cell>
          <cell r="CE17">
            <v>6</v>
          </cell>
          <cell r="CF17">
            <v>0</v>
          </cell>
          <cell r="CG17">
            <v>28</v>
          </cell>
          <cell r="CH17">
            <v>6</v>
          </cell>
          <cell r="CI17">
            <v>1</v>
          </cell>
          <cell r="CJ17">
            <v>2.9850746268656717E-3</v>
          </cell>
          <cell r="CK17">
            <v>2.9850746268656717E-3</v>
          </cell>
          <cell r="CL17">
            <v>0</v>
          </cell>
          <cell r="CM17">
            <v>1.1572904707233065E-3</v>
          </cell>
          <cell r="CN17">
            <v>1.1572904707233065E-3</v>
          </cell>
          <cell r="CO17">
            <v>0</v>
          </cell>
          <cell r="CP17">
            <v>0</v>
          </cell>
          <cell r="CQ17">
            <v>2.0478793379247353</v>
          </cell>
          <cell r="CR17">
            <v>0</v>
          </cell>
          <cell r="CS17">
            <v>1</v>
          </cell>
          <cell r="CT17">
            <v>0</v>
          </cell>
          <cell r="CU17">
            <v>0</v>
          </cell>
          <cell r="CV17">
            <v>11</v>
          </cell>
          <cell r="CW17">
            <v>27</v>
          </cell>
          <cell r="CX17">
            <v>54</v>
          </cell>
          <cell r="CY17">
            <v>1.5</v>
          </cell>
          <cell r="CZ17">
            <v>2</v>
          </cell>
          <cell r="DA17">
            <v>1.2</v>
          </cell>
          <cell r="DB17">
            <v>575</v>
          </cell>
          <cell r="DC17">
            <v>271</v>
          </cell>
          <cell r="DD17">
            <v>150</v>
          </cell>
          <cell r="DE17">
            <v>44</v>
          </cell>
          <cell r="DF17">
            <v>67</v>
          </cell>
          <cell r="DG17">
            <v>12</v>
          </cell>
          <cell r="DH17">
            <v>6</v>
          </cell>
          <cell r="DI17">
            <v>29</v>
          </cell>
        </row>
        <row r="18">
          <cell r="A18" t="str">
            <v>RS 028</v>
          </cell>
          <cell r="B18">
            <v>28</v>
          </cell>
          <cell r="C18" t="str">
            <v>C</v>
          </cell>
          <cell r="D18" t="str">
            <v>T</v>
          </cell>
          <cell r="E18" t="str">
            <v>Chitsime - Kamchere</v>
          </cell>
          <cell r="F18" t="str">
            <v>M01</v>
          </cell>
          <cell r="G18">
            <v>16</v>
          </cell>
          <cell r="H18">
            <v>8.8000000000000007</v>
          </cell>
          <cell r="I18" t="str">
            <v>F</v>
          </cell>
          <cell r="J18" t="str">
            <v>LILONGWE</v>
          </cell>
          <cell r="K18">
            <v>6</v>
          </cell>
          <cell r="W18">
            <v>71</v>
          </cell>
          <cell r="X18" t="str">
            <v>AC</v>
          </cell>
          <cell r="Y18">
            <v>125</v>
          </cell>
          <cell r="Z18" t="str">
            <v>SB</v>
          </cell>
          <cell r="AA18">
            <v>100</v>
          </cell>
          <cell r="AB18" t="str">
            <v>GR</v>
          </cell>
          <cell r="AC18">
            <v>4</v>
          </cell>
          <cell r="AD18" t="str">
            <v>VR</v>
          </cell>
          <cell r="AE18">
            <v>87</v>
          </cell>
          <cell r="AF18" t="str">
            <v>AO</v>
          </cell>
          <cell r="AG18" t="str">
            <v>AC</v>
          </cell>
          <cell r="AH18">
            <v>40</v>
          </cell>
          <cell r="AM18">
            <v>6</v>
          </cell>
          <cell r="BO18" t="str">
            <v>RS 028</v>
          </cell>
          <cell r="BP18">
            <v>8.8000000000000007</v>
          </cell>
          <cell r="BQ18">
            <v>6.7</v>
          </cell>
          <cell r="BR18" t="str">
            <v>F</v>
          </cell>
          <cell r="BS18" t="str">
            <v>C</v>
          </cell>
          <cell r="BT18">
            <v>0</v>
          </cell>
          <cell r="BU18" t="str">
            <v>AC</v>
          </cell>
          <cell r="BV18" t="str">
            <v>AC</v>
          </cell>
          <cell r="BW18">
            <v>6</v>
          </cell>
          <cell r="BX18">
            <v>40</v>
          </cell>
          <cell r="BY18">
            <v>40</v>
          </cell>
          <cell r="BZ18">
            <v>1</v>
          </cell>
          <cell r="CA18">
            <v>4</v>
          </cell>
          <cell r="CB18">
            <v>2.1040000000000001</v>
          </cell>
          <cell r="CC18">
            <v>2.8208711632453571</v>
          </cell>
          <cell r="CD18">
            <v>80</v>
          </cell>
          <cell r="CE18">
            <v>40</v>
          </cell>
          <cell r="CF18">
            <v>25</v>
          </cell>
          <cell r="CG18">
            <v>55</v>
          </cell>
          <cell r="CH18">
            <v>15</v>
          </cell>
          <cell r="CI18">
            <v>1.6</v>
          </cell>
          <cell r="CJ18">
            <v>4.7761194029850755E-3</v>
          </cell>
          <cell r="CK18">
            <v>10</v>
          </cell>
          <cell r="CL18">
            <v>25</v>
          </cell>
          <cell r="CM18">
            <v>0.26718851894374285</v>
          </cell>
          <cell r="CN18">
            <v>0.26718851894374285</v>
          </cell>
          <cell r="CO18">
            <v>0</v>
          </cell>
          <cell r="CP18">
            <v>0</v>
          </cell>
          <cell r="CQ18">
            <v>3.0880596821891002</v>
          </cell>
          <cell r="CR18">
            <v>0</v>
          </cell>
          <cell r="CS18">
            <v>1</v>
          </cell>
          <cell r="CT18">
            <v>0</v>
          </cell>
          <cell r="CU18">
            <v>0</v>
          </cell>
          <cell r="CV18">
            <v>11</v>
          </cell>
          <cell r="CW18">
            <v>27</v>
          </cell>
          <cell r="CX18">
            <v>54</v>
          </cell>
          <cell r="CY18">
            <v>1.5</v>
          </cell>
          <cell r="CZ18">
            <v>2</v>
          </cell>
          <cell r="DA18">
            <v>2</v>
          </cell>
          <cell r="DB18">
            <v>1000</v>
          </cell>
          <cell r="DC18">
            <v>470</v>
          </cell>
          <cell r="DD18">
            <v>260</v>
          </cell>
          <cell r="DE18">
            <v>75</v>
          </cell>
          <cell r="DF18">
            <v>115</v>
          </cell>
          <cell r="DG18">
            <v>20</v>
          </cell>
          <cell r="DH18">
            <v>10</v>
          </cell>
          <cell r="DI18">
            <v>50</v>
          </cell>
        </row>
        <row r="19">
          <cell r="A19" t="str">
            <v>RS 012</v>
          </cell>
          <cell r="B19">
            <v>12</v>
          </cell>
          <cell r="C19" t="str">
            <v>C</v>
          </cell>
          <cell r="D19" t="str">
            <v>T</v>
          </cell>
          <cell r="E19" t="str">
            <v>Kamchere - Kalumba T/Off</v>
          </cell>
          <cell r="F19" t="str">
            <v>M01</v>
          </cell>
          <cell r="G19">
            <v>17</v>
          </cell>
          <cell r="H19">
            <v>13.4</v>
          </cell>
          <cell r="I19" t="str">
            <v>F</v>
          </cell>
          <cell r="J19" t="str">
            <v>LILONGWE</v>
          </cell>
          <cell r="K19">
            <v>6</v>
          </cell>
          <cell r="W19">
            <v>71</v>
          </cell>
          <cell r="X19" t="str">
            <v>DS</v>
          </cell>
          <cell r="Y19">
            <v>125</v>
          </cell>
          <cell r="Z19" t="str">
            <v>SB</v>
          </cell>
          <cell r="AA19">
            <v>100</v>
          </cell>
          <cell r="AB19" t="str">
            <v>GR</v>
          </cell>
          <cell r="AC19">
            <v>4</v>
          </cell>
          <cell r="AD19" t="str">
            <v>VR</v>
          </cell>
          <cell r="AE19">
            <v>81</v>
          </cell>
          <cell r="AF19" t="str">
            <v>AO</v>
          </cell>
          <cell r="AG19" t="str">
            <v>AC</v>
          </cell>
          <cell r="AH19">
            <v>40</v>
          </cell>
          <cell r="AI19">
            <v>87</v>
          </cell>
          <cell r="AJ19" t="str">
            <v>AO</v>
          </cell>
          <cell r="AK19" t="str">
            <v>AC</v>
          </cell>
          <cell r="AL19">
            <v>40</v>
          </cell>
          <cell r="AM19">
            <v>6</v>
          </cell>
          <cell r="AN19" t="str">
            <v>spot AO</v>
          </cell>
          <cell r="BO19" t="str">
            <v>RS 012</v>
          </cell>
          <cell r="BP19">
            <v>13.4</v>
          </cell>
          <cell r="BQ19">
            <v>6.7</v>
          </cell>
          <cell r="BR19" t="str">
            <v>F</v>
          </cell>
          <cell r="BS19" t="str">
            <v>C</v>
          </cell>
          <cell r="BT19">
            <v>0</v>
          </cell>
          <cell r="BU19" t="str">
            <v>AC</v>
          </cell>
          <cell r="BV19" t="str">
            <v>AO</v>
          </cell>
          <cell r="BW19">
            <v>6</v>
          </cell>
          <cell r="BX19">
            <v>40</v>
          </cell>
          <cell r="BY19">
            <v>40</v>
          </cell>
          <cell r="BZ19">
            <v>1</v>
          </cell>
          <cell r="CA19">
            <v>4</v>
          </cell>
          <cell r="CB19">
            <v>1.7290000000000001</v>
          </cell>
          <cell r="CC19">
            <v>2.7216531769305963</v>
          </cell>
          <cell r="CD19">
            <v>70</v>
          </cell>
          <cell r="CE19">
            <v>35</v>
          </cell>
          <cell r="CF19">
            <v>20</v>
          </cell>
          <cell r="CG19">
            <v>50</v>
          </cell>
          <cell r="CH19">
            <v>15</v>
          </cell>
          <cell r="CI19">
            <v>2</v>
          </cell>
          <cell r="CJ19">
            <v>5.9701492537313433E-3</v>
          </cell>
          <cell r="CK19">
            <v>10</v>
          </cell>
          <cell r="CL19">
            <v>20</v>
          </cell>
          <cell r="CM19">
            <v>0.23456257175660158</v>
          </cell>
          <cell r="CN19">
            <v>0.23456257175660158</v>
          </cell>
          <cell r="CO19">
            <v>0</v>
          </cell>
          <cell r="CP19">
            <v>0</v>
          </cell>
          <cell r="CQ19">
            <v>2.9562157486871978</v>
          </cell>
          <cell r="CR19">
            <v>0</v>
          </cell>
          <cell r="CS19">
            <v>1</v>
          </cell>
          <cell r="CT19">
            <v>0</v>
          </cell>
          <cell r="CU19">
            <v>0</v>
          </cell>
          <cell r="CV19">
            <v>11</v>
          </cell>
          <cell r="CW19">
            <v>27</v>
          </cell>
          <cell r="CX19">
            <v>54</v>
          </cell>
          <cell r="CY19">
            <v>1.5</v>
          </cell>
          <cell r="CZ19">
            <v>1.8</v>
          </cell>
          <cell r="DA19">
            <v>1.8</v>
          </cell>
          <cell r="DB19">
            <v>600</v>
          </cell>
          <cell r="DC19">
            <v>282</v>
          </cell>
          <cell r="DD19">
            <v>156</v>
          </cell>
          <cell r="DE19">
            <v>45</v>
          </cell>
          <cell r="DF19">
            <v>69</v>
          </cell>
          <cell r="DG19">
            <v>12</v>
          </cell>
          <cell r="DH19">
            <v>6</v>
          </cell>
          <cell r="DI19">
            <v>30</v>
          </cell>
        </row>
        <row r="20">
          <cell r="A20" t="str">
            <v>RS 037</v>
          </cell>
          <cell r="B20">
            <v>37</v>
          </cell>
          <cell r="C20" t="str">
            <v>C</v>
          </cell>
          <cell r="D20" t="str">
            <v>T</v>
          </cell>
          <cell r="E20" t="str">
            <v>Kalumba T/Off - Diamphwe River Bridge</v>
          </cell>
          <cell r="F20" t="str">
            <v>M01</v>
          </cell>
          <cell r="G20">
            <v>18</v>
          </cell>
          <cell r="H20">
            <v>18.7</v>
          </cell>
          <cell r="I20" t="str">
            <v>F</v>
          </cell>
          <cell r="J20" t="str">
            <v>LILONGWE</v>
          </cell>
          <cell r="K20">
            <v>6</v>
          </cell>
          <cell r="W20">
            <v>71</v>
          </cell>
          <cell r="X20" t="str">
            <v>AC</v>
          </cell>
          <cell r="Y20">
            <v>125</v>
          </cell>
          <cell r="Z20" t="str">
            <v>SB</v>
          </cell>
          <cell r="AA20">
            <v>100</v>
          </cell>
          <cell r="AB20" t="str">
            <v>GR</v>
          </cell>
          <cell r="AC20">
            <v>4</v>
          </cell>
          <cell r="AD20" t="str">
            <v>VR</v>
          </cell>
          <cell r="AM20">
            <v>2</v>
          </cell>
          <cell r="AN20" t="str">
            <v>spot AO</v>
          </cell>
          <cell r="BO20" t="str">
            <v>RS 037</v>
          </cell>
          <cell r="BP20">
            <v>18.7</v>
          </cell>
          <cell r="BQ20">
            <v>6.7</v>
          </cell>
          <cell r="BR20" t="str">
            <v>F</v>
          </cell>
          <cell r="BS20" t="str">
            <v>C</v>
          </cell>
          <cell r="BT20">
            <v>0</v>
          </cell>
          <cell r="BU20" t="str">
            <v>AC</v>
          </cell>
          <cell r="BV20" t="str">
            <v/>
          </cell>
          <cell r="BW20">
            <v>2</v>
          </cell>
          <cell r="BX20">
            <v>40</v>
          </cell>
          <cell r="BY20" t="str">
            <v/>
          </cell>
          <cell r="BZ20">
            <v>1</v>
          </cell>
          <cell r="CA20">
            <v>4</v>
          </cell>
          <cell r="CB20">
            <v>1.552</v>
          </cell>
          <cell r="CC20">
            <v>3.3922299120234607</v>
          </cell>
          <cell r="CD20">
            <v>80</v>
          </cell>
          <cell r="CE20">
            <v>45</v>
          </cell>
          <cell r="CF20">
            <v>30</v>
          </cell>
          <cell r="CG20">
            <v>50</v>
          </cell>
          <cell r="CH20">
            <v>15</v>
          </cell>
          <cell r="CI20">
            <v>5</v>
          </cell>
          <cell r="CJ20">
            <v>1.4925373134328358E-2</v>
          </cell>
          <cell r="CK20">
            <v>10</v>
          </cell>
          <cell r="CL20">
            <v>30</v>
          </cell>
          <cell r="CM20">
            <v>0.30409873708381169</v>
          </cell>
          <cell r="CN20">
            <v>0.30409873708381169</v>
          </cell>
          <cell r="CO20">
            <v>0</v>
          </cell>
          <cell r="CP20">
            <v>0</v>
          </cell>
          <cell r="CQ20">
            <v>3.6963286491072722</v>
          </cell>
          <cell r="CR20">
            <v>0</v>
          </cell>
          <cell r="CS20">
            <v>1</v>
          </cell>
          <cell r="CT20">
            <v>0</v>
          </cell>
          <cell r="CU20">
            <v>0</v>
          </cell>
          <cell r="CV20">
            <v>27</v>
          </cell>
          <cell r="CW20">
            <v>27</v>
          </cell>
          <cell r="CX20" t="str">
            <v/>
          </cell>
          <cell r="CY20">
            <v>2</v>
          </cell>
          <cell r="CZ20">
            <v>1.5</v>
          </cell>
          <cell r="DA20">
            <v>1.5</v>
          </cell>
          <cell r="DB20">
            <v>600</v>
          </cell>
          <cell r="DC20">
            <v>282</v>
          </cell>
          <cell r="DD20">
            <v>156</v>
          </cell>
          <cell r="DE20">
            <v>45</v>
          </cell>
          <cell r="DF20">
            <v>69</v>
          </cell>
          <cell r="DG20">
            <v>12</v>
          </cell>
          <cell r="DH20">
            <v>6</v>
          </cell>
          <cell r="DI20">
            <v>30</v>
          </cell>
        </row>
        <row r="21">
          <cell r="A21" t="str">
            <v>RS 025</v>
          </cell>
          <cell r="B21">
            <v>25</v>
          </cell>
          <cell r="C21" t="str">
            <v>C</v>
          </cell>
          <cell r="D21" t="str">
            <v>T</v>
          </cell>
          <cell r="E21" t="str">
            <v>Diamphwe River - Junction S126</v>
          </cell>
          <cell r="F21" t="str">
            <v>M01</v>
          </cell>
          <cell r="G21">
            <v>19</v>
          </cell>
          <cell r="H21">
            <v>5.4</v>
          </cell>
          <cell r="I21" t="str">
            <v>R</v>
          </cell>
          <cell r="J21" t="str">
            <v>DEDZA</v>
          </cell>
          <cell r="K21">
            <v>6</v>
          </cell>
          <cell r="W21">
            <v>71</v>
          </cell>
          <cell r="X21" t="str">
            <v>DS</v>
          </cell>
          <cell r="Y21">
            <v>150</v>
          </cell>
          <cell r="Z21" t="str">
            <v>GR</v>
          </cell>
          <cell r="AA21">
            <v>100</v>
          </cell>
          <cell r="AB21" t="str">
            <v>GR</v>
          </cell>
          <cell r="AC21">
            <v>14</v>
          </cell>
          <cell r="AD21" t="str">
            <v>VR</v>
          </cell>
          <cell r="AM21">
            <v>1</v>
          </cell>
          <cell r="AN21" t="str">
            <v>spot AO</v>
          </cell>
          <cell r="BO21" t="str">
            <v>RS 025</v>
          </cell>
          <cell r="BP21">
            <v>5.4</v>
          </cell>
          <cell r="BQ21">
            <v>6.7</v>
          </cell>
          <cell r="BR21" t="str">
            <v>R</v>
          </cell>
          <cell r="BS21" t="str">
            <v>C</v>
          </cell>
          <cell r="BT21">
            <v>0</v>
          </cell>
          <cell r="BU21" t="str">
            <v>DS</v>
          </cell>
          <cell r="BV21" t="str">
            <v/>
          </cell>
          <cell r="BW21">
            <v>1</v>
          </cell>
          <cell r="BX21">
            <v>15</v>
          </cell>
          <cell r="BY21" t="str">
            <v/>
          </cell>
          <cell r="BZ21">
            <v>1</v>
          </cell>
          <cell r="CA21">
            <v>14</v>
          </cell>
          <cell r="CB21">
            <v>1.077</v>
          </cell>
          <cell r="CC21">
            <v>4.9865603128054747</v>
          </cell>
          <cell r="CD21">
            <v>80</v>
          </cell>
          <cell r="CE21">
            <v>50</v>
          </cell>
          <cell r="CF21">
            <v>35</v>
          </cell>
          <cell r="CG21">
            <v>45</v>
          </cell>
          <cell r="CH21">
            <v>15</v>
          </cell>
          <cell r="CI21">
            <v>117</v>
          </cell>
          <cell r="CJ21">
            <v>0.34925373134328364</v>
          </cell>
          <cell r="CK21">
            <v>10</v>
          </cell>
          <cell r="CL21">
            <v>35</v>
          </cell>
          <cell r="CM21">
            <v>0.4634489092996556</v>
          </cell>
          <cell r="CN21">
            <v>0.4634489092996556</v>
          </cell>
          <cell r="CO21">
            <v>0</v>
          </cell>
          <cell r="CP21">
            <v>0</v>
          </cell>
          <cell r="CQ21">
            <v>5.4500092221051304</v>
          </cell>
          <cell r="CR21">
            <v>80</v>
          </cell>
          <cell r="CS21">
            <v>1</v>
          </cell>
          <cell r="CT21">
            <v>0</v>
          </cell>
          <cell r="CU21">
            <v>0</v>
          </cell>
          <cell r="CV21">
            <v>27</v>
          </cell>
          <cell r="CW21">
            <v>27</v>
          </cell>
          <cell r="CX21" t="str">
            <v/>
          </cell>
          <cell r="CY21">
            <v>2</v>
          </cell>
          <cell r="CZ21">
            <v>1.5</v>
          </cell>
          <cell r="DA21">
            <v>1.5</v>
          </cell>
          <cell r="DB21">
            <v>600</v>
          </cell>
          <cell r="DC21">
            <v>282</v>
          </cell>
          <cell r="DD21">
            <v>156</v>
          </cell>
          <cell r="DE21">
            <v>45</v>
          </cell>
          <cell r="DF21">
            <v>69</v>
          </cell>
          <cell r="DG21">
            <v>12</v>
          </cell>
          <cell r="DH21">
            <v>6</v>
          </cell>
          <cell r="DI21">
            <v>30</v>
          </cell>
        </row>
        <row r="22">
          <cell r="A22" t="str">
            <v>RS 010</v>
          </cell>
          <cell r="B22">
            <v>10</v>
          </cell>
          <cell r="C22" t="str">
            <v>C</v>
          </cell>
          <cell r="D22" t="str">
            <v>T</v>
          </cell>
          <cell r="E22" t="str">
            <v>Junction S126 - Linthipe</v>
          </cell>
          <cell r="F22" t="str">
            <v>M01</v>
          </cell>
          <cell r="G22">
            <v>20</v>
          </cell>
          <cell r="H22">
            <v>8.1</v>
          </cell>
          <cell r="I22" t="str">
            <v>R</v>
          </cell>
          <cell r="J22" t="str">
            <v>DEDZA</v>
          </cell>
          <cell r="K22">
            <v>6</v>
          </cell>
          <cell r="W22">
            <v>71</v>
          </cell>
          <cell r="X22" t="str">
            <v>DS</v>
          </cell>
          <cell r="Y22">
            <v>125</v>
          </cell>
          <cell r="Z22" t="str">
            <v>SB</v>
          </cell>
          <cell r="AA22">
            <v>100</v>
          </cell>
          <cell r="AB22" t="str">
            <v>GR</v>
          </cell>
          <cell r="AC22">
            <v>4</v>
          </cell>
          <cell r="AD22" t="str">
            <v>VR</v>
          </cell>
          <cell r="AM22">
            <v>1</v>
          </cell>
          <cell r="AN22" t="str">
            <v>never resealed</v>
          </cell>
          <cell r="BO22" t="str">
            <v>RS 010</v>
          </cell>
          <cell r="BP22">
            <v>8.1</v>
          </cell>
          <cell r="BQ22">
            <v>6.7</v>
          </cell>
          <cell r="BR22" t="str">
            <v>R</v>
          </cell>
          <cell r="BS22" t="str">
            <v>C</v>
          </cell>
          <cell r="BT22">
            <v>0</v>
          </cell>
          <cell r="BU22" t="str">
            <v>DS</v>
          </cell>
          <cell r="BV22" t="str">
            <v/>
          </cell>
          <cell r="BW22">
            <v>1</v>
          </cell>
          <cell r="BX22">
            <v>15</v>
          </cell>
          <cell r="BY22" t="str">
            <v/>
          </cell>
          <cell r="BZ22">
            <v>1</v>
          </cell>
          <cell r="CA22">
            <v>4</v>
          </cell>
          <cell r="CB22">
            <v>1.177</v>
          </cell>
          <cell r="CC22">
            <v>3.09</v>
          </cell>
          <cell r="CD22">
            <v>10</v>
          </cell>
          <cell r="CE22">
            <v>7</v>
          </cell>
          <cell r="CF22">
            <v>0</v>
          </cell>
          <cell r="CG22">
            <v>10</v>
          </cell>
          <cell r="CH22">
            <v>7</v>
          </cell>
          <cell r="CI22">
            <v>0.5</v>
          </cell>
          <cell r="CJ22">
            <v>1.4925373134328358E-3</v>
          </cell>
          <cell r="CK22">
            <v>1.4925373134328358E-3</v>
          </cell>
          <cell r="CL22">
            <v>0</v>
          </cell>
          <cell r="CM22">
            <v>5.7864523536165326E-4</v>
          </cell>
          <cell r="CN22">
            <v>5.7864523536165326E-4</v>
          </cell>
          <cell r="CO22">
            <v>0</v>
          </cell>
          <cell r="CP22">
            <v>0</v>
          </cell>
          <cell r="CQ22">
            <v>3.0905786452353614</v>
          </cell>
          <cell r="CR22">
            <v>20</v>
          </cell>
          <cell r="CS22">
            <v>1</v>
          </cell>
          <cell r="CT22">
            <v>0</v>
          </cell>
          <cell r="CU22">
            <v>0</v>
          </cell>
          <cell r="CV22">
            <v>27</v>
          </cell>
          <cell r="CW22">
            <v>27</v>
          </cell>
          <cell r="CX22" t="str">
            <v/>
          </cell>
          <cell r="CY22">
            <v>2</v>
          </cell>
          <cell r="CZ22">
            <v>1.5</v>
          </cell>
          <cell r="DA22">
            <v>1.5</v>
          </cell>
          <cell r="DB22">
            <v>600</v>
          </cell>
          <cell r="DC22">
            <v>282</v>
          </cell>
          <cell r="DD22">
            <v>156</v>
          </cell>
          <cell r="DE22">
            <v>45</v>
          </cell>
          <cell r="DF22">
            <v>69</v>
          </cell>
          <cell r="DG22">
            <v>12</v>
          </cell>
          <cell r="DH22">
            <v>6</v>
          </cell>
          <cell r="DI22">
            <v>30</v>
          </cell>
        </row>
        <row r="23">
          <cell r="A23" t="str">
            <v>RS 038</v>
          </cell>
          <cell r="B23">
            <v>38</v>
          </cell>
          <cell r="C23" t="str">
            <v>C</v>
          </cell>
          <cell r="D23" t="str">
            <v>T</v>
          </cell>
          <cell r="E23" t="str">
            <v>Linthipe - Chimbiya</v>
          </cell>
          <cell r="F23" t="str">
            <v>M01</v>
          </cell>
          <cell r="G23">
            <v>21</v>
          </cell>
          <cell r="H23">
            <v>6.3</v>
          </cell>
          <cell r="I23" t="str">
            <v>R</v>
          </cell>
          <cell r="J23" t="str">
            <v>LILONGWE</v>
          </cell>
          <cell r="K23">
            <v>6</v>
          </cell>
          <cell r="W23">
            <v>71</v>
          </cell>
          <cell r="X23" t="str">
            <v>AC</v>
          </cell>
          <cell r="Y23">
            <v>125</v>
          </cell>
          <cell r="Z23" t="str">
            <v>SB</v>
          </cell>
          <cell r="AA23">
            <v>100</v>
          </cell>
          <cell r="AB23" t="str">
            <v>GR</v>
          </cell>
          <cell r="AC23">
            <v>4</v>
          </cell>
          <cell r="AD23" t="str">
            <v>VR</v>
          </cell>
          <cell r="AE23">
            <v>86</v>
          </cell>
          <cell r="AF23" t="str">
            <v>AO</v>
          </cell>
          <cell r="AG23" t="str">
            <v>AC</v>
          </cell>
          <cell r="AH23">
            <v>40</v>
          </cell>
          <cell r="AM23">
            <v>6</v>
          </cell>
          <cell r="BO23" t="str">
            <v>RS 038</v>
          </cell>
          <cell r="BP23">
            <v>6.3</v>
          </cell>
          <cell r="BQ23">
            <v>6</v>
          </cell>
          <cell r="BR23" t="str">
            <v>R</v>
          </cell>
          <cell r="BS23" t="str">
            <v>C</v>
          </cell>
          <cell r="BT23">
            <v>0</v>
          </cell>
          <cell r="BU23" t="str">
            <v>AC</v>
          </cell>
          <cell r="BV23" t="str">
            <v>AC</v>
          </cell>
          <cell r="BW23">
            <v>6</v>
          </cell>
          <cell r="BX23">
            <v>40</v>
          </cell>
          <cell r="BY23">
            <v>40</v>
          </cell>
          <cell r="BZ23">
            <v>1</v>
          </cell>
          <cell r="CA23">
            <v>4</v>
          </cell>
          <cell r="CB23">
            <v>2.1040000000000001</v>
          </cell>
          <cell r="CC23">
            <v>3.53</v>
          </cell>
          <cell r="CD23">
            <v>50</v>
          </cell>
          <cell r="CE23">
            <v>20</v>
          </cell>
          <cell r="CF23">
            <v>5</v>
          </cell>
          <cell r="CG23">
            <v>45</v>
          </cell>
          <cell r="CH23">
            <v>15</v>
          </cell>
          <cell r="CI23">
            <v>0.7</v>
          </cell>
          <cell r="CJ23">
            <v>2.3333333333333331E-3</v>
          </cell>
          <cell r="CK23">
            <v>5.0023333333333335</v>
          </cell>
          <cell r="CL23">
            <v>5</v>
          </cell>
          <cell r="CM23">
            <v>8.3981538461538455E-2</v>
          </cell>
          <cell r="CN23">
            <v>8.3981538461538455E-2</v>
          </cell>
          <cell r="CO23">
            <v>0</v>
          </cell>
          <cell r="CP23">
            <v>0</v>
          </cell>
          <cell r="CQ23">
            <v>3.6139815384615384</v>
          </cell>
          <cell r="CR23">
            <v>10</v>
          </cell>
          <cell r="CS23">
            <v>1</v>
          </cell>
          <cell r="CT23">
            <v>0</v>
          </cell>
          <cell r="CU23">
            <v>0</v>
          </cell>
          <cell r="CV23">
            <v>12</v>
          </cell>
          <cell r="CW23">
            <v>27</v>
          </cell>
          <cell r="CX23">
            <v>54</v>
          </cell>
          <cell r="CY23">
            <v>1.5</v>
          </cell>
          <cell r="CZ23">
            <v>1.5</v>
          </cell>
          <cell r="DA23">
            <v>1.5</v>
          </cell>
          <cell r="DB23">
            <v>600</v>
          </cell>
          <cell r="DC23">
            <v>282</v>
          </cell>
          <cell r="DD23">
            <v>156</v>
          </cell>
          <cell r="DE23">
            <v>45</v>
          </cell>
          <cell r="DF23">
            <v>69</v>
          </cell>
          <cell r="DG23">
            <v>12</v>
          </cell>
          <cell r="DH23">
            <v>6</v>
          </cell>
          <cell r="DI23">
            <v>30</v>
          </cell>
        </row>
        <row r="24">
          <cell r="A24" t="str">
            <v>RS 023</v>
          </cell>
          <cell r="B24">
            <v>23</v>
          </cell>
          <cell r="C24" t="str">
            <v>C</v>
          </cell>
          <cell r="D24" t="str">
            <v>T</v>
          </cell>
          <cell r="E24" t="str">
            <v>Chimbiya - Zuze</v>
          </cell>
          <cell r="F24" t="str">
            <v>M01</v>
          </cell>
          <cell r="G24">
            <v>22</v>
          </cell>
          <cell r="H24">
            <v>31.8</v>
          </cell>
          <cell r="I24" t="str">
            <v>H</v>
          </cell>
          <cell r="J24" t="str">
            <v>DEDZA</v>
          </cell>
          <cell r="K24">
            <v>6</v>
          </cell>
          <cell r="W24">
            <v>71</v>
          </cell>
          <cell r="X24" t="str">
            <v>AC</v>
          </cell>
          <cell r="Y24">
            <v>125</v>
          </cell>
          <cell r="Z24" t="str">
            <v>SB</v>
          </cell>
          <cell r="AA24">
            <v>150</v>
          </cell>
          <cell r="AB24" t="str">
            <v>GR</v>
          </cell>
          <cell r="AC24">
            <v>4</v>
          </cell>
          <cell r="AD24" t="str">
            <v>VR</v>
          </cell>
          <cell r="AE24">
            <v>81</v>
          </cell>
          <cell r="AF24" t="str">
            <v>SS</v>
          </cell>
          <cell r="AG24" t="str">
            <v>SS</v>
          </cell>
          <cell r="AH24">
            <v>5</v>
          </cell>
          <cell r="AI24">
            <v>86</v>
          </cell>
          <cell r="AJ24" t="str">
            <v>AO</v>
          </cell>
          <cell r="AK24" t="str">
            <v>AC</v>
          </cell>
          <cell r="AL24">
            <v>40</v>
          </cell>
          <cell r="AM24">
            <v>6</v>
          </cell>
          <cell r="BO24" t="str">
            <v>RS 023</v>
          </cell>
          <cell r="BP24">
            <v>31.8</v>
          </cell>
          <cell r="BQ24">
            <v>6</v>
          </cell>
          <cell r="BR24" t="str">
            <v>H</v>
          </cell>
          <cell r="BS24" t="str">
            <v>S</v>
          </cell>
          <cell r="BT24">
            <v>0</v>
          </cell>
          <cell r="BU24" t="str">
            <v>AC</v>
          </cell>
          <cell r="BV24" t="str">
            <v>AO</v>
          </cell>
          <cell r="BW24">
            <v>6</v>
          </cell>
          <cell r="BX24">
            <v>40</v>
          </cell>
          <cell r="BY24">
            <v>40</v>
          </cell>
          <cell r="BZ24">
            <v>1</v>
          </cell>
          <cell r="CA24">
            <v>4</v>
          </cell>
          <cell r="CB24">
            <v>2.6040000000000001</v>
          </cell>
          <cell r="CC24">
            <v>2.5019690693008183</v>
          </cell>
          <cell r="CD24">
            <v>10</v>
          </cell>
          <cell r="CE24">
            <v>7</v>
          </cell>
          <cell r="CF24">
            <v>0</v>
          </cell>
          <cell r="CG24">
            <v>10</v>
          </cell>
          <cell r="CH24">
            <v>7</v>
          </cell>
          <cell r="CI24">
            <v>0.3</v>
          </cell>
          <cell r="CJ24">
            <v>1E-3</v>
          </cell>
          <cell r="CK24">
            <v>1E-3</v>
          </cell>
          <cell r="CL24">
            <v>0</v>
          </cell>
          <cell r="CM24">
            <v>3.876923076923077E-4</v>
          </cell>
          <cell r="CN24">
            <v>3.876923076923077E-4</v>
          </cell>
          <cell r="CO24">
            <v>0</v>
          </cell>
          <cell r="CP24">
            <v>0</v>
          </cell>
          <cell r="CQ24">
            <v>2.5023567616085107</v>
          </cell>
          <cell r="CR24">
            <v>5</v>
          </cell>
          <cell r="CS24">
            <v>1</v>
          </cell>
          <cell r="CT24">
            <v>0</v>
          </cell>
          <cell r="CU24">
            <v>0</v>
          </cell>
          <cell r="CV24">
            <v>12</v>
          </cell>
          <cell r="CW24">
            <v>27</v>
          </cell>
          <cell r="CX24">
            <v>54</v>
          </cell>
          <cell r="CY24">
            <v>2</v>
          </cell>
          <cell r="CZ24">
            <v>2</v>
          </cell>
          <cell r="DA24">
            <v>2</v>
          </cell>
          <cell r="DB24">
            <v>600</v>
          </cell>
          <cell r="DC24">
            <v>282</v>
          </cell>
          <cell r="DD24">
            <v>156</v>
          </cell>
          <cell r="DE24">
            <v>45</v>
          </cell>
          <cell r="DF24">
            <v>69</v>
          </cell>
          <cell r="DG24">
            <v>12</v>
          </cell>
          <cell r="DH24">
            <v>6</v>
          </cell>
          <cell r="DI24">
            <v>30</v>
          </cell>
        </row>
        <row r="25">
          <cell r="A25" t="str">
            <v>RS 033</v>
          </cell>
          <cell r="B25">
            <v>33</v>
          </cell>
          <cell r="C25" t="str">
            <v>C</v>
          </cell>
          <cell r="D25" t="str">
            <v>T</v>
          </cell>
          <cell r="E25" t="str">
            <v>Dauya - Kapesi</v>
          </cell>
          <cell r="F25" t="str">
            <v>M01</v>
          </cell>
          <cell r="G25">
            <v>23</v>
          </cell>
          <cell r="H25">
            <v>12.5</v>
          </cell>
          <cell r="I25" t="str">
            <v>F</v>
          </cell>
          <cell r="J25" t="str">
            <v>DEDZA</v>
          </cell>
          <cell r="K25">
            <v>7</v>
          </cell>
          <cell r="W25">
            <v>71</v>
          </cell>
          <cell r="X25" t="str">
            <v>AC</v>
          </cell>
          <cell r="Y25">
            <v>125</v>
          </cell>
          <cell r="Z25" t="str">
            <v>SB</v>
          </cell>
          <cell r="AA25">
            <v>100</v>
          </cell>
          <cell r="AB25" t="str">
            <v>GR</v>
          </cell>
          <cell r="AC25">
            <v>4</v>
          </cell>
          <cell r="AD25" t="str">
            <v>VR</v>
          </cell>
          <cell r="AE25">
            <v>81</v>
          </cell>
          <cell r="AF25" t="str">
            <v>AO</v>
          </cell>
          <cell r="AG25" t="str">
            <v>AC</v>
          </cell>
          <cell r="AH25">
            <v>40</v>
          </cell>
          <cell r="AI25">
            <v>87</v>
          </cell>
          <cell r="AJ25" t="str">
            <v>AO</v>
          </cell>
          <cell r="AK25" t="str">
            <v>AC</v>
          </cell>
          <cell r="AL25">
            <v>40</v>
          </cell>
          <cell r="AM25">
            <v>6</v>
          </cell>
          <cell r="BO25" t="str">
            <v>RS 033</v>
          </cell>
          <cell r="BP25">
            <v>12.5</v>
          </cell>
          <cell r="BQ25">
            <v>6</v>
          </cell>
          <cell r="BR25" t="str">
            <v>F</v>
          </cell>
          <cell r="BS25" t="str">
            <v>C</v>
          </cell>
          <cell r="BT25">
            <v>0</v>
          </cell>
          <cell r="BU25" t="str">
            <v>AC</v>
          </cell>
          <cell r="BV25" t="str">
            <v>AO</v>
          </cell>
          <cell r="BW25">
            <v>6</v>
          </cell>
          <cell r="BX25">
            <v>40</v>
          </cell>
          <cell r="BY25">
            <v>40</v>
          </cell>
          <cell r="BZ25">
            <v>1</v>
          </cell>
          <cell r="CA25">
            <v>4</v>
          </cell>
          <cell r="CB25">
            <v>2.1040000000000001</v>
          </cell>
          <cell r="CC25">
            <v>2.7620246334310852</v>
          </cell>
          <cell r="CD25">
            <v>20</v>
          </cell>
          <cell r="CE25">
            <v>8</v>
          </cell>
          <cell r="CF25">
            <v>0</v>
          </cell>
          <cell r="CG25">
            <v>20</v>
          </cell>
          <cell r="CH25">
            <v>8</v>
          </cell>
          <cell r="CI25">
            <v>0.1</v>
          </cell>
          <cell r="CJ25">
            <v>3.3333333333333343E-4</v>
          </cell>
          <cell r="CK25">
            <v>3.3333333333333343E-4</v>
          </cell>
          <cell r="CL25">
            <v>0</v>
          </cell>
          <cell r="CM25">
            <v>1.2923076923076926E-4</v>
          </cell>
          <cell r="CN25">
            <v>1.2923076923076926E-4</v>
          </cell>
          <cell r="CO25">
            <v>0</v>
          </cell>
          <cell r="CP25">
            <v>0</v>
          </cell>
          <cell r="CQ25">
            <v>2.7621538642003158</v>
          </cell>
          <cell r="CR25">
            <v>0</v>
          </cell>
          <cell r="CS25">
            <v>1</v>
          </cell>
          <cell r="CT25">
            <v>0</v>
          </cell>
          <cell r="CU25">
            <v>0</v>
          </cell>
          <cell r="CV25">
            <v>11</v>
          </cell>
          <cell r="CW25">
            <v>27</v>
          </cell>
          <cell r="CX25">
            <v>54</v>
          </cell>
          <cell r="CY25">
            <v>3</v>
          </cell>
          <cell r="CZ25">
            <v>2</v>
          </cell>
          <cell r="DA25">
            <v>1.5</v>
          </cell>
          <cell r="DB25">
            <v>600</v>
          </cell>
          <cell r="DC25">
            <v>282</v>
          </cell>
          <cell r="DD25">
            <v>156</v>
          </cell>
          <cell r="DE25">
            <v>45</v>
          </cell>
          <cell r="DF25">
            <v>69</v>
          </cell>
          <cell r="DG25">
            <v>12</v>
          </cell>
          <cell r="DH25">
            <v>6</v>
          </cell>
          <cell r="DI25">
            <v>30</v>
          </cell>
        </row>
        <row r="26">
          <cell r="A26" t="str">
            <v>RS 034</v>
          </cell>
          <cell r="B26">
            <v>34</v>
          </cell>
          <cell r="C26" t="str">
            <v>C</v>
          </cell>
          <cell r="D26" t="str">
            <v>T</v>
          </cell>
          <cell r="E26" t="str">
            <v>Nkutu - Bembeke</v>
          </cell>
          <cell r="F26" t="str">
            <v>M01</v>
          </cell>
          <cell r="G26">
            <v>24</v>
          </cell>
          <cell r="H26">
            <v>9</v>
          </cell>
          <cell r="I26" t="str">
            <v>H</v>
          </cell>
          <cell r="J26" t="str">
            <v>DEDZA</v>
          </cell>
          <cell r="K26">
            <v>7</v>
          </cell>
          <cell r="W26">
            <v>71</v>
          </cell>
          <cell r="X26" t="str">
            <v>AC</v>
          </cell>
          <cell r="Y26">
            <v>125</v>
          </cell>
          <cell r="Z26" t="str">
            <v>SB</v>
          </cell>
          <cell r="AA26">
            <v>150</v>
          </cell>
          <cell r="AB26" t="str">
            <v>GR</v>
          </cell>
          <cell r="AC26">
            <v>10</v>
          </cell>
          <cell r="AD26" t="str">
            <v>VR</v>
          </cell>
          <cell r="AM26">
            <v>2</v>
          </cell>
          <cell r="AN26" t="str">
            <v>never resealed</v>
          </cell>
          <cell r="BO26" t="str">
            <v>RS 034</v>
          </cell>
          <cell r="BP26">
            <v>9</v>
          </cell>
          <cell r="BQ26">
            <v>6</v>
          </cell>
          <cell r="BR26" t="str">
            <v>H</v>
          </cell>
          <cell r="BS26" t="str">
            <v>C</v>
          </cell>
          <cell r="BT26">
            <v>0</v>
          </cell>
          <cell r="BU26" t="str">
            <v>AC</v>
          </cell>
          <cell r="BV26" t="str">
            <v/>
          </cell>
          <cell r="BW26">
            <v>2</v>
          </cell>
          <cell r="BX26">
            <v>40</v>
          </cell>
          <cell r="BY26" t="str">
            <v/>
          </cell>
          <cell r="BZ26">
            <v>1</v>
          </cell>
          <cell r="CA26">
            <v>10</v>
          </cell>
          <cell r="CB26">
            <v>2.052</v>
          </cell>
          <cell r="CC26">
            <v>2.8482416422287393</v>
          </cell>
          <cell r="CD26">
            <v>40</v>
          </cell>
          <cell r="CE26">
            <v>18</v>
          </cell>
          <cell r="CF26">
            <v>3</v>
          </cell>
          <cell r="CG26">
            <v>37</v>
          </cell>
          <cell r="CH26">
            <v>15</v>
          </cell>
          <cell r="CI26">
            <v>2.2999999999999998</v>
          </cell>
          <cell r="CJ26">
            <v>7.6666666666666654E-3</v>
          </cell>
          <cell r="CK26">
            <v>3.0076666666666667</v>
          </cell>
          <cell r="CL26">
            <v>3</v>
          </cell>
          <cell r="CM26">
            <v>5.2818461538461543E-2</v>
          </cell>
          <cell r="CN26">
            <v>5.2818461538461543E-2</v>
          </cell>
          <cell r="CO26">
            <v>0</v>
          </cell>
          <cell r="CP26">
            <v>0</v>
          </cell>
          <cell r="CQ26">
            <v>2.9010601037672008</v>
          </cell>
          <cell r="CR26">
            <v>0</v>
          </cell>
          <cell r="CS26">
            <v>1</v>
          </cell>
          <cell r="CT26">
            <v>0</v>
          </cell>
          <cell r="CU26">
            <v>0</v>
          </cell>
          <cell r="CV26">
            <v>27</v>
          </cell>
          <cell r="CW26">
            <v>27</v>
          </cell>
          <cell r="CX26" t="str">
            <v/>
          </cell>
          <cell r="CY26">
            <v>2</v>
          </cell>
          <cell r="CZ26">
            <v>2</v>
          </cell>
          <cell r="DA26">
            <v>1.5</v>
          </cell>
          <cell r="DB26">
            <v>400</v>
          </cell>
          <cell r="DC26">
            <v>188</v>
          </cell>
          <cell r="DD26">
            <v>104</v>
          </cell>
          <cell r="DE26">
            <v>30</v>
          </cell>
          <cell r="DF26">
            <v>46</v>
          </cell>
          <cell r="DG26">
            <v>8</v>
          </cell>
          <cell r="DH26">
            <v>4</v>
          </cell>
          <cell r="DI26">
            <v>20</v>
          </cell>
        </row>
        <row r="27">
          <cell r="A27" t="str">
            <v>RS 030</v>
          </cell>
          <cell r="B27">
            <v>30</v>
          </cell>
          <cell r="C27" t="str">
            <v>C</v>
          </cell>
          <cell r="D27" t="str">
            <v>T</v>
          </cell>
          <cell r="E27" t="str">
            <v>Nkutu - Masasa</v>
          </cell>
          <cell r="F27" t="str">
            <v>M01</v>
          </cell>
          <cell r="G27">
            <v>25</v>
          </cell>
          <cell r="H27">
            <v>2.8</v>
          </cell>
          <cell r="I27" t="str">
            <v>H</v>
          </cell>
          <cell r="J27" t="str">
            <v>DEDZA</v>
          </cell>
          <cell r="K27">
            <v>7</v>
          </cell>
          <cell r="W27">
            <v>71</v>
          </cell>
          <cell r="X27" t="str">
            <v>AC</v>
          </cell>
          <cell r="Y27">
            <v>125</v>
          </cell>
          <cell r="Z27" t="str">
            <v>SB</v>
          </cell>
          <cell r="AA27">
            <v>150</v>
          </cell>
          <cell r="AB27" t="str">
            <v>GR</v>
          </cell>
          <cell r="AC27">
            <v>10</v>
          </cell>
          <cell r="AD27" t="str">
            <v>VR</v>
          </cell>
          <cell r="AM27">
            <v>2</v>
          </cell>
          <cell r="AN27" t="str">
            <v>never resealed</v>
          </cell>
          <cell r="BO27" t="str">
            <v>RS 030</v>
          </cell>
          <cell r="BP27">
            <v>2.8</v>
          </cell>
          <cell r="BQ27">
            <v>6</v>
          </cell>
          <cell r="BR27" t="str">
            <v>H</v>
          </cell>
          <cell r="BS27" t="str">
            <v>C</v>
          </cell>
          <cell r="BT27">
            <v>0</v>
          </cell>
          <cell r="BU27" t="str">
            <v>AC</v>
          </cell>
          <cell r="BV27" t="str">
            <v/>
          </cell>
          <cell r="BW27">
            <v>2</v>
          </cell>
          <cell r="BX27">
            <v>40</v>
          </cell>
          <cell r="BY27" t="str">
            <v/>
          </cell>
          <cell r="BZ27">
            <v>1</v>
          </cell>
          <cell r="CA27">
            <v>10</v>
          </cell>
          <cell r="CB27">
            <v>2.052</v>
          </cell>
          <cell r="CC27">
            <v>3.8643706744868038</v>
          </cell>
          <cell r="CD27">
            <v>80</v>
          </cell>
          <cell r="CE27">
            <v>56</v>
          </cell>
          <cell r="CF27">
            <v>41</v>
          </cell>
          <cell r="CG27">
            <v>39</v>
          </cell>
          <cell r="CH27">
            <v>15</v>
          </cell>
          <cell r="CI27">
            <v>3.1</v>
          </cell>
          <cell r="CJ27">
            <v>1.0333333333333335E-2</v>
          </cell>
          <cell r="CK27">
            <v>10</v>
          </cell>
          <cell r="CL27">
            <v>41</v>
          </cell>
          <cell r="CM27">
            <v>0.37513358974358968</v>
          </cell>
          <cell r="CN27">
            <v>0.37513358974358968</v>
          </cell>
          <cell r="CO27">
            <v>0</v>
          </cell>
          <cell r="CP27">
            <v>0</v>
          </cell>
          <cell r="CQ27">
            <v>4.2395042642303933</v>
          </cell>
          <cell r="CR27">
            <v>0</v>
          </cell>
          <cell r="CS27">
            <v>1</v>
          </cell>
          <cell r="CT27">
            <v>0</v>
          </cell>
          <cell r="CU27">
            <v>0</v>
          </cell>
          <cell r="CV27">
            <v>27</v>
          </cell>
          <cell r="CW27">
            <v>27</v>
          </cell>
          <cell r="CX27" t="str">
            <v/>
          </cell>
          <cell r="CY27">
            <v>2</v>
          </cell>
          <cell r="CZ27">
            <v>2</v>
          </cell>
          <cell r="DA27">
            <v>1.5</v>
          </cell>
          <cell r="DB27">
            <v>400</v>
          </cell>
          <cell r="DC27">
            <v>188</v>
          </cell>
          <cell r="DD27">
            <v>104</v>
          </cell>
          <cell r="DE27">
            <v>30</v>
          </cell>
          <cell r="DF27">
            <v>46</v>
          </cell>
          <cell r="DG27">
            <v>8</v>
          </cell>
          <cell r="DH27">
            <v>4</v>
          </cell>
          <cell r="DI27">
            <v>20</v>
          </cell>
        </row>
        <row r="28">
          <cell r="A28" t="str">
            <v>RS 015</v>
          </cell>
          <cell r="B28">
            <v>15</v>
          </cell>
          <cell r="C28" t="str">
            <v>C</v>
          </cell>
          <cell r="D28" t="str">
            <v>T</v>
          </cell>
          <cell r="E28" t="str">
            <v>Masasa - Kalitsilo</v>
          </cell>
          <cell r="F28" t="str">
            <v>M01</v>
          </cell>
          <cell r="G28">
            <v>26</v>
          </cell>
          <cell r="H28">
            <v>20.9</v>
          </cell>
          <cell r="I28" t="str">
            <v>R</v>
          </cell>
          <cell r="J28" t="str">
            <v>NTCHEU</v>
          </cell>
          <cell r="K28">
            <v>8</v>
          </cell>
          <cell r="W28">
            <v>71</v>
          </cell>
          <cell r="X28" t="str">
            <v>DS</v>
          </cell>
          <cell r="Y28">
            <v>150</v>
          </cell>
          <cell r="Z28" t="str">
            <v>SB</v>
          </cell>
          <cell r="AA28">
            <v>125</v>
          </cell>
          <cell r="AB28" t="str">
            <v>GR</v>
          </cell>
          <cell r="AC28">
            <v>10</v>
          </cell>
          <cell r="AD28" t="str">
            <v>VR</v>
          </cell>
          <cell r="AM28">
            <v>1</v>
          </cell>
          <cell r="AN28" t="str">
            <v>never resealed</v>
          </cell>
          <cell r="BO28" t="str">
            <v>RS 015</v>
          </cell>
          <cell r="BP28">
            <v>20.9</v>
          </cell>
          <cell r="BQ28">
            <v>6</v>
          </cell>
          <cell r="BR28" t="str">
            <v>R</v>
          </cell>
          <cell r="BS28" t="str">
            <v>C</v>
          </cell>
          <cell r="BT28">
            <v>0</v>
          </cell>
          <cell r="BU28" t="str">
            <v>DS</v>
          </cell>
          <cell r="BV28" t="str">
            <v/>
          </cell>
          <cell r="BW28">
            <v>1</v>
          </cell>
          <cell r="BX28">
            <v>15</v>
          </cell>
          <cell r="BY28" t="str">
            <v/>
          </cell>
          <cell r="BZ28">
            <v>1</v>
          </cell>
          <cell r="CA28">
            <v>10</v>
          </cell>
          <cell r="CB28">
            <v>1.427</v>
          </cell>
          <cell r="CC28">
            <v>3.3221936863895123</v>
          </cell>
          <cell r="CD28">
            <v>95</v>
          </cell>
          <cell r="CE28">
            <v>86</v>
          </cell>
          <cell r="CF28">
            <v>71</v>
          </cell>
          <cell r="CG28">
            <v>24</v>
          </cell>
          <cell r="CH28">
            <v>15</v>
          </cell>
          <cell r="CI28">
            <v>18.7</v>
          </cell>
          <cell r="CJ28">
            <v>6.2333333333333338E-2</v>
          </cell>
          <cell r="CK28">
            <v>10</v>
          </cell>
          <cell r="CL28">
            <v>71</v>
          </cell>
          <cell r="CM28">
            <v>0.59323512820512814</v>
          </cell>
          <cell r="CN28">
            <v>0.59323512820512814</v>
          </cell>
          <cell r="CO28">
            <v>0</v>
          </cell>
          <cell r="CP28">
            <v>0</v>
          </cell>
          <cell r="CQ28">
            <v>3.9154288145946405</v>
          </cell>
          <cell r="CR28">
            <v>5</v>
          </cell>
          <cell r="CS28">
            <v>1</v>
          </cell>
          <cell r="CT28">
            <v>0</v>
          </cell>
          <cell r="CU28">
            <v>0</v>
          </cell>
          <cell r="CV28">
            <v>27</v>
          </cell>
          <cell r="CW28">
            <v>27</v>
          </cell>
          <cell r="CX28" t="str">
            <v/>
          </cell>
          <cell r="CY28">
            <v>2</v>
          </cell>
          <cell r="CZ28">
            <v>2</v>
          </cell>
          <cell r="DA28">
            <v>1.3</v>
          </cell>
          <cell r="DB28">
            <v>400</v>
          </cell>
          <cell r="DC28">
            <v>188</v>
          </cell>
          <cell r="DD28">
            <v>104</v>
          </cell>
          <cell r="DE28">
            <v>30</v>
          </cell>
          <cell r="DF28">
            <v>46</v>
          </cell>
          <cell r="DG28">
            <v>8</v>
          </cell>
          <cell r="DH28">
            <v>4</v>
          </cell>
          <cell r="DI28">
            <v>20</v>
          </cell>
        </row>
        <row r="29">
          <cell r="A29" t="str">
            <v>RS 027</v>
          </cell>
          <cell r="B29">
            <v>27</v>
          </cell>
          <cell r="C29" t="str">
            <v>C</v>
          </cell>
          <cell r="D29" t="str">
            <v>T</v>
          </cell>
          <cell r="E29" t="str">
            <v>Kalitsilo - Mlangeni</v>
          </cell>
          <cell r="F29" t="str">
            <v>M01</v>
          </cell>
          <cell r="G29">
            <v>27</v>
          </cell>
          <cell r="H29">
            <v>14.7</v>
          </cell>
          <cell r="I29" t="str">
            <v>R</v>
          </cell>
          <cell r="J29" t="str">
            <v>DEDZA</v>
          </cell>
          <cell r="K29">
            <v>8</v>
          </cell>
          <cell r="W29">
            <v>71</v>
          </cell>
          <cell r="X29" t="str">
            <v>AC</v>
          </cell>
          <cell r="Y29">
            <v>125</v>
          </cell>
          <cell r="Z29" t="str">
            <v>SB</v>
          </cell>
          <cell r="AA29">
            <v>150</v>
          </cell>
          <cell r="AB29" t="str">
            <v>GR</v>
          </cell>
          <cell r="AC29">
            <v>10</v>
          </cell>
          <cell r="AD29" t="str">
            <v>VR</v>
          </cell>
          <cell r="AM29">
            <v>2</v>
          </cell>
          <cell r="AN29" t="str">
            <v>never resealed</v>
          </cell>
          <cell r="BO29" t="str">
            <v>RS 027</v>
          </cell>
          <cell r="BP29">
            <v>14.7</v>
          </cell>
          <cell r="BQ29">
            <v>6</v>
          </cell>
          <cell r="BR29" t="str">
            <v>R</v>
          </cell>
          <cell r="BS29" t="str">
            <v>C</v>
          </cell>
          <cell r="BT29">
            <v>0</v>
          </cell>
          <cell r="BU29" t="str">
            <v>AC</v>
          </cell>
          <cell r="BV29" t="str">
            <v/>
          </cell>
          <cell r="BW29">
            <v>2</v>
          </cell>
          <cell r="BX29">
            <v>40</v>
          </cell>
          <cell r="BY29" t="str">
            <v/>
          </cell>
          <cell r="BZ29">
            <v>1</v>
          </cell>
          <cell r="CA29">
            <v>10</v>
          </cell>
          <cell r="CB29">
            <v>2.052</v>
          </cell>
          <cell r="CC29">
            <v>3.1289903053303436</v>
          </cell>
          <cell r="CD29">
            <v>50</v>
          </cell>
          <cell r="CE29">
            <v>15</v>
          </cell>
          <cell r="CF29">
            <v>0</v>
          </cell>
          <cell r="CG29">
            <v>50</v>
          </cell>
          <cell r="CH29">
            <v>15</v>
          </cell>
          <cell r="CI29">
            <v>17.5</v>
          </cell>
          <cell r="CJ29">
            <v>5.8333333333333341E-2</v>
          </cell>
          <cell r="CK29">
            <v>5.8333333333333341E-2</v>
          </cell>
          <cell r="CL29">
            <v>0</v>
          </cell>
          <cell r="CM29">
            <v>2.2615384615384617E-2</v>
          </cell>
          <cell r="CN29">
            <v>2.2615384615384617E-2</v>
          </cell>
          <cell r="CO29">
            <v>0</v>
          </cell>
          <cell r="CP29">
            <v>0</v>
          </cell>
          <cell r="CQ29">
            <v>3.1516056899457281</v>
          </cell>
          <cell r="CR29">
            <v>0</v>
          </cell>
          <cell r="CS29">
            <v>1</v>
          </cell>
          <cell r="CT29">
            <v>0</v>
          </cell>
          <cell r="CU29">
            <v>0</v>
          </cell>
          <cell r="CV29">
            <v>27</v>
          </cell>
          <cell r="CW29">
            <v>27</v>
          </cell>
          <cell r="CX29" t="str">
            <v/>
          </cell>
          <cell r="CY29">
            <v>1.8</v>
          </cell>
          <cell r="CZ29">
            <v>1.5</v>
          </cell>
          <cell r="DA29">
            <v>1.5</v>
          </cell>
          <cell r="DB29">
            <v>400</v>
          </cell>
          <cell r="DC29">
            <v>188</v>
          </cell>
          <cell r="DD29">
            <v>104</v>
          </cell>
          <cell r="DE29">
            <v>30</v>
          </cell>
          <cell r="DF29">
            <v>46</v>
          </cell>
          <cell r="DG29">
            <v>8</v>
          </cell>
          <cell r="DH29">
            <v>4</v>
          </cell>
          <cell r="DI29">
            <v>20</v>
          </cell>
        </row>
        <row r="30">
          <cell r="A30" t="str">
            <v>RS 032</v>
          </cell>
          <cell r="B30">
            <v>32</v>
          </cell>
          <cell r="C30" t="str">
            <v>C</v>
          </cell>
          <cell r="D30" t="str">
            <v>T</v>
          </cell>
          <cell r="E30" t="str">
            <v>Mlangeni - Biriwiri</v>
          </cell>
          <cell r="F30" t="str">
            <v>M01</v>
          </cell>
          <cell r="G30">
            <v>28</v>
          </cell>
          <cell r="H30">
            <v>13.1</v>
          </cell>
          <cell r="I30" t="str">
            <v>R</v>
          </cell>
          <cell r="J30" t="str">
            <v>NTCHEU</v>
          </cell>
          <cell r="K30">
            <v>8</v>
          </cell>
          <cell r="W30">
            <v>71</v>
          </cell>
          <cell r="X30" t="str">
            <v>AC</v>
          </cell>
          <cell r="Y30">
            <v>125</v>
          </cell>
          <cell r="Z30" t="str">
            <v>SB</v>
          </cell>
          <cell r="AA30">
            <v>150</v>
          </cell>
          <cell r="AB30" t="str">
            <v>GR</v>
          </cell>
          <cell r="AC30">
            <v>10</v>
          </cell>
          <cell r="AD30" t="str">
            <v>VR</v>
          </cell>
          <cell r="AM30">
            <v>2</v>
          </cell>
          <cell r="AN30" t="str">
            <v>never resealed</v>
          </cell>
          <cell r="BO30" t="str">
            <v>RS 032</v>
          </cell>
          <cell r="BP30">
            <v>13.1</v>
          </cell>
          <cell r="BQ30">
            <v>6</v>
          </cell>
          <cell r="BR30" t="str">
            <v>R</v>
          </cell>
          <cell r="BS30" t="str">
            <v>C</v>
          </cell>
          <cell r="BT30">
            <v>0</v>
          </cell>
          <cell r="BU30" t="str">
            <v>AC</v>
          </cell>
          <cell r="BV30" t="str">
            <v/>
          </cell>
          <cell r="BW30">
            <v>2</v>
          </cell>
          <cell r="BX30">
            <v>40</v>
          </cell>
          <cell r="BY30" t="str">
            <v/>
          </cell>
          <cell r="BZ30">
            <v>1</v>
          </cell>
          <cell r="CA30">
            <v>10</v>
          </cell>
          <cell r="CB30">
            <v>2.052</v>
          </cell>
          <cell r="CC30">
            <v>2.21</v>
          </cell>
          <cell r="CD30">
            <v>50</v>
          </cell>
          <cell r="CE30">
            <v>30</v>
          </cell>
          <cell r="CF30">
            <v>15</v>
          </cell>
          <cell r="CG30">
            <v>35</v>
          </cell>
          <cell r="CH30">
            <v>15</v>
          </cell>
          <cell r="CI30">
            <v>0</v>
          </cell>
          <cell r="CJ30">
            <v>0</v>
          </cell>
          <cell r="CK30">
            <v>10</v>
          </cell>
          <cell r="CL30">
            <v>15</v>
          </cell>
          <cell r="CM30">
            <v>0.19923076923076921</v>
          </cell>
          <cell r="CN30">
            <v>0.19923076923076921</v>
          </cell>
          <cell r="CO30">
            <v>0</v>
          </cell>
          <cell r="CP30">
            <v>0</v>
          </cell>
          <cell r="CQ30">
            <v>2.4092307692307693</v>
          </cell>
          <cell r="CR30">
            <v>0</v>
          </cell>
          <cell r="CS30">
            <v>1</v>
          </cell>
          <cell r="CT30">
            <v>0</v>
          </cell>
          <cell r="CU30">
            <v>0</v>
          </cell>
          <cell r="CV30">
            <v>27</v>
          </cell>
          <cell r="CW30">
            <v>27</v>
          </cell>
          <cell r="CX30" t="str">
            <v/>
          </cell>
          <cell r="CY30">
            <v>1.5</v>
          </cell>
          <cell r="CZ30">
            <v>1.5</v>
          </cell>
          <cell r="DA30">
            <v>1.5</v>
          </cell>
          <cell r="DB30">
            <v>400</v>
          </cell>
          <cell r="DC30">
            <v>188</v>
          </cell>
          <cell r="DD30">
            <v>104</v>
          </cell>
          <cell r="DE30">
            <v>30</v>
          </cell>
          <cell r="DF30">
            <v>46</v>
          </cell>
          <cell r="DG30">
            <v>8</v>
          </cell>
          <cell r="DH30">
            <v>4</v>
          </cell>
          <cell r="DI30">
            <v>20</v>
          </cell>
        </row>
        <row r="31">
          <cell r="A31" t="str">
            <v>RS 021</v>
          </cell>
          <cell r="B31">
            <v>21</v>
          </cell>
          <cell r="C31" t="str">
            <v>C</v>
          </cell>
          <cell r="D31" t="str">
            <v>T</v>
          </cell>
          <cell r="E31" t="str">
            <v>Biriwiri - Ntcheu</v>
          </cell>
          <cell r="F31" t="str">
            <v>M01</v>
          </cell>
          <cell r="G31">
            <v>29</v>
          </cell>
          <cell r="H31">
            <v>6.7</v>
          </cell>
          <cell r="I31" t="str">
            <v>F</v>
          </cell>
          <cell r="J31" t="str">
            <v>NTCHEU</v>
          </cell>
          <cell r="K31">
            <v>8</v>
          </cell>
          <cell r="W31">
            <v>71</v>
          </cell>
          <cell r="X31" t="str">
            <v>DS</v>
          </cell>
          <cell r="Y31">
            <v>125</v>
          </cell>
          <cell r="Z31" t="str">
            <v>SB</v>
          </cell>
          <cell r="AA31">
            <v>150</v>
          </cell>
          <cell r="AB31" t="str">
            <v>GR</v>
          </cell>
          <cell r="AC31">
            <v>10</v>
          </cell>
          <cell r="AD31" t="str">
            <v>VR</v>
          </cell>
          <cell r="AM31">
            <v>1</v>
          </cell>
          <cell r="AN31" t="str">
            <v>never resealed</v>
          </cell>
          <cell r="BO31" t="str">
            <v>RS 021</v>
          </cell>
          <cell r="BP31">
            <v>6.7</v>
          </cell>
          <cell r="BQ31">
            <v>6</v>
          </cell>
          <cell r="BR31" t="str">
            <v>F</v>
          </cell>
          <cell r="BS31" t="str">
            <v>C</v>
          </cell>
          <cell r="BT31">
            <v>0</v>
          </cell>
          <cell r="BU31" t="str">
            <v>DS</v>
          </cell>
          <cell r="BV31" t="str">
            <v/>
          </cell>
          <cell r="BW31">
            <v>1</v>
          </cell>
          <cell r="BX31">
            <v>15</v>
          </cell>
          <cell r="BY31" t="str">
            <v/>
          </cell>
          <cell r="BZ31">
            <v>1</v>
          </cell>
          <cell r="CA31">
            <v>10</v>
          </cell>
          <cell r="CB31">
            <v>1.677</v>
          </cell>
          <cell r="CC31">
            <v>2.4494146627565985</v>
          </cell>
          <cell r="CD31">
            <v>40</v>
          </cell>
          <cell r="CE31">
            <v>5</v>
          </cell>
          <cell r="CF31">
            <v>0</v>
          </cell>
          <cell r="CG31">
            <v>40</v>
          </cell>
          <cell r="CH31">
            <v>5</v>
          </cell>
          <cell r="CI31">
            <v>0.4</v>
          </cell>
          <cell r="CJ31">
            <v>1.3333333333333337E-3</v>
          </cell>
          <cell r="CK31">
            <v>1.3333333333333337E-3</v>
          </cell>
          <cell r="CL31">
            <v>0</v>
          </cell>
          <cell r="CM31">
            <v>5.1692307692307704E-4</v>
          </cell>
          <cell r="CN31">
            <v>5.1692307692307704E-4</v>
          </cell>
          <cell r="CO31">
            <v>0</v>
          </cell>
          <cell r="CP31">
            <v>0</v>
          </cell>
          <cell r="CQ31">
            <v>2.4499315858335216</v>
          </cell>
          <cell r="CR31">
            <v>0</v>
          </cell>
          <cell r="CS31">
            <v>1</v>
          </cell>
          <cell r="CT31">
            <v>0</v>
          </cell>
          <cell r="CU31">
            <v>0</v>
          </cell>
          <cell r="CV31">
            <v>27</v>
          </cell>
          <cell r="CW31">
            <v>27</v>
          </cell>
          <cell r="CX31" t="str">
            <v/>
          </cell>
          <cell r="CY31">
            <v>2</v>
          </cell>
          <cell r="CZ31">
            <v>1.5</v>
          </cell>
          <cell r="DA31">
            <v>1.5</v>
          </cell>
          <cell r="DB31">
            <v>400</v>
          </cell>
          <cell r="DC31">
            <v>188</v>
          </cell>
          <cell r="DD31">
            <v>104</v>
          </cell>
          <cell r="DE31">
            <v>30</v>
          </cell>
          <cell r="DF31">
            <v>46</v>
          </cell>
          <cell r="DG31">
            <v>8</v>
          </cell>
          <cell r="DH31">
            <v>4</v>
          </cell>
          <cell r="DI31">
            <v>20</v>
          </cell>
        </row>
        <row r="32">
          <cell r="A32" t="str">
            <v>RS 019</v>
          </cell>
          <cell r="B32">
            <v>19</v>
          </cell>
          <cell r="C32" t="str">
            <v>C</v>
          </cell>
          <cell r="D32" t="str">
            <v>T</v>
          </cell>
          <cell r="E32" t="str">
            <v>Ntcheu - Bemvu</v>
          </cell>
          <cell r="F32" t="str">
            <v>M01</v>
          </cell>
          <cell r="G32">
            <v>30</v>
          </cell>
          <cell r="H32">
            <v>11.8</v>
          </cell>
          <cell r="I32" t="str">
            <v>F</v>
          </cell>
          <cell r="J32" t="str">
            <v>NTCHEU</v>
          </cell>
          <cell r="K32">
            <v>8</v>
          </cell>
          <cell r="W32">
            <v>71</v>
          </cell>
          <cell r="X32" t="str">
            <v>DS</v>
          </cell>
          <cell r="Y32">
            <v>125</v>
          </cell>
          <cell r="Z32" t="str">
            <v>SB</v>
          </cell>
          <cell r="AA32">
            <v>150</v>
          </cell>
          <cell r="AB32" t="str">
            <v>CG</v>
          </cell>
          <cell r="AC32">
            <v>10</v>
          </cell>
          <cell r="AD32" t="str">
            <v>VR</v>
          </cell>
          <cell r="AE32">
            <v>89</v>
          </cell>
          <cell r="AF32" t="str">
            <v>AO</v>
          </cell>
          <cell r="AG32" t="str">
            <v>AC</v>
          </cell>
          <cell r="AH32">
            <v>50</v>
          </cell>
          <cell r="AM32">
            <v>7</v>
          </cell>
          <cell r="BO32" t="str">
            <v>RS 019</v>
          </cell>
          <cell r="BP32">
            <v>11.8</v>
          </cell>
          <cell r="BQ32">
            <v>6</v>
          </cell>
          <cell r="BR32" t="str">
            <v>F</v>
          </cell>
          <cell r="BS32" t="str">
            <v>C</v>
          </cell>
          <cell r="BT32">
            <v>0</v>
          </cell>
          <cell r="BU32" t="str">
            <v>AC</v>
          </cell>
          <cell r="BV32" t="str">
            <v>DS</v>
          </cell>
          <cell r="BW32">
            <v>7</v>
          </cell>
          <cell r="BX32">
            <v>40</v>
          </cell>
          <cell r="BY32">
            <v>15</v>
          </cell>
          <cell r="BZ32">
            <v>1</v>
          </cell>
          <cell r="CA32">
            <v>10</v>
          </cell>
          <cell r="CB32">
            <v>2.2290000000000001</v>
          </cell>
          <cell r="CC32">
            <v>2.2000000000000002</v>
          </cell>
          <cell r="CD32">
            <v>70</v>
          </cell>
          <cell r="CE32">
            <v>4</v>
          </cell>
          <cell r="CF32">
            <v>0</v>
          </cell>
          <cell r="CG32">
            <v>70</v>
          </cell>
          <cell r="CH32">
            <v>4</v>
          </cell>
          <cell r="CI32">
            <v>0.5</v>
          </cell>
          <cell r="CJ32">
            <v>1.6666666666666668E-3</v>
          </cell>
          <cell r="CK32">
            <v>1.6666666666666668E-3</v>
          </cell>
          <cell r="CL32">
            <v>0</v>
          </cell>
          <cell r="CM32">
            <v>6.4615384615384621E-4</v>
          </cell>
          <cell r="CN32">
            <v>6.4615384615384621E-4</v>
          </cell>
          <cell r="CO32">
            <v>0</v>
          </cell>
          <cell r="CP32">
            <v>0</v>
          </cell>
          <cell r="CQ32">
            <v>2.2006461538461539</v>
          </cell>
          <cell r="CR32">
            <v>0</v>
          </cell>
          <cell r="CS32">
            <v>1</v>
          </cell>
          <cell r="CT32">
            <v>0</v>
          </cell>
          <cell r="CU32">
            <v>0</v>
          </cell>
          <cell r="CV32">
            <v>9</v>
          </cell>
          <cell r="CW32">
            <v>27</v>
          </cell>
          <cell r="CX32">
            <v>54</v>
          </cell>
          <cell r="CY32">
            <v>1.5</v>
          </cell>
          <cell r="CZ32">
            <v>1.3</v>
          </cell>
          <cell r="DA32">
            <v>1.3</v>
          </cell>
          <cell r="DB32">
            <v>440</v>
          </cell>
          <cell r="DC32">
            <v>207</v>
          </cell>
          <cell r="DD32">
            <v>115</v>
          </cell>
          <cell r="DE32">
            <v>33</v>
          </cell>
          <cell r="DF32">
            <v>51</v>
          </cell>
          <cell r="DG32">
            <v>9</v>
          </cell>
          <cell r="DH32">
            <v>5</v>
          </cell>
          <cell r="DI32">
            <v>22</v>
          </cell>
        </row>
        <row r="33">
          <cell r="A33" t="str">
            <v>RS 029</v>
          </cell>
          <cell r="B33">
            <v>29</v>
          </cell>
          <cell r="C33" t="str">
            <v>C</v>
          </cell>
          <cell r="D33" t="str">
            <v>T</v>
          </cell>
          <cell r="E33" t="str">
            <v>Bemvu - Njereza</v>
          </cell>
          <cell r="F33" t="str">
            <v>M01</v>
          </cell>
          <cell r="G33">
            <v>31</v>
          </cell>
          <cell r="H33">
            <v>8.8000000000000007</v>
          </cell>
          <cell r="I33" t="str">
            <v>R</v>
          </cell>
          <cell r="J33" t="str">
            <v>NTCHEU</v>
          </cell>
          <cell r="K33">
            <v>8</v>
          </cell>
          <cell r="W33">
            <v>71</v>
          </cell>
          <cell r="X33" t="str">
            <v>AC</v>
          </cell>
          <cell r="Y33">
            <v>125</v>
          </cell>
          <cell r="Z33" t="str">
            <v>SB</v>
          </cell>
          <cell r="AA33">
            <v>150</v>
          </cell>
          <cell r="AB33" t="str">
            <v>GR</v>
          </cell>
          <cell r="AC33">
            <v>10</v>
          </cell>
          <cell r="AD33" t="str">
            <v>VR</v>
          </cell>
          <cell r="AE33">
            <v>89</v>
          </cell>
          <cell r="AF33" t="str">
            <v>AO</v>
          </cell>
          <cell r="AG33" t="str">
            <v>AC</v>
          </cell>
          <cell r="AH33">
            <v>50</v>
          </cell>
          <cell r="AM33">
            <v>6</v>
          </cell>
          <cell r="BO33" t="str">
            <v>RS 029</v>
          </cell>
          <cell r="BP33">
            <v>8.8000000000000007</v>
          </cell>
          <cell r="BQ33">
            <v>6</v>
          </cell>
          <cell r="BR33" t="str">
            <v>R</v>
          </cell>
          <cell r="BS33" t="str">
            <v>C</v>
          </cell>
          <cell r="BT33">
            <v>0</v>
          </cell>
          <cell r="BU33" t="str">
            <v>AC</v>
          </cell>
          <cell r="BV33" t="str">
            <v>AC</v>
          </cell>
          <cell r="BW33">
            <v>6</v>
          </cell>
          <cell r="BX33">
            <v>40</v>
          </cell>
          <cell r="BY33">
            <v>40</v>
          </cell>
          <cell r="BZ33">
            <v>1</v>
          </cell>
          <cell r="CA33">
            <v>10</v>
          </cell>
          <cell r="CB33">
            <v>2.6040000000000001</v>
          </cell>
          <cell r="CC33">
            <v>2.3115847507331377</v>
          </cell>
          <cell r="CD33">
            <v>1</v>
          </cell>
          <cell r="CE33">
            <v>0</v>
          </cell>
          <cell r="CF33">
            <v>0</v>
          </cell>
          <cell r="CG33">
            <v>1</v>
          </cell>
          <cell r="CH33">
            <v>0</v>
          </cell>
          <cell r="CI33">
            <v>0</v>
          </cell>
          <cell r="CJ33">
            <v>0</v>
          </cell>
          <cell r="CK33">
            <v>0</v>
          </cell>
          <cell r="CL33">
            <v>0</v>
          </cell>
          <cell r="CM33">
            <v>0</v>
          </cell>
          <cell r="CN33">
            <v>0</v>
          </cell>
          <cell r="CO33">
            <v>0</v>
          </cell>
          <cell r="CP33">
            <v>0</v>
          </cell>
          <cell r="CQ33">
            <v>2.3115847507331377</v>
          </cell>
          <cell r="CR33">
            <v>0</v>
          </cell>
          <cell r="CS33">
            <v>1</v>
          </cell>
          <cell r="CT33">
            <v>0</v>
          </cell>
          <cell r="CU33">
            <v>0</v>
          </cell>
          <cell r="CV33">
            <v>9</v>
          </cell>
          <cell r="CW33">
            <v>27</v>
          </cell>
          <cell r="CX33">
            <v>54</v>
          </cell>
          <cell r="CY33">
            <v>1.1000000000000001</v>
          </cell>
          <cell r="CZ33">
            <v>1.2</v>
          </cell>
          <cell r="DA33">
            <v>1.1000000000000001</v>
          </cell>
          <cell r="DB33">
            <v>440</v>
          </cell>
          <cell r="DC33">
            <v>207</v>
          </cell>
          <cell r="DD33">
            <v>115</v>
          </cell>
          <cell r="DE33">
            <v>33</v>
          </cell>
          <cell r="DF33">
            <v>51</v>
          </cell>
          <cell r="DG33">
            <v>9</v>
          </cell>
          <cell r="DH33">
            <v>5</v>
          </cell>
          <cell r="DI33">
            <v>22</v>
          </cell>
        </row>
        <row r="34">
          <cell r="A34" t="str">
            <v>RS 016</v>
          </cell>
          <cell r="B34">
            <v>16</v>
          </cell>
          <cell r="C34" t="str">
            <v>C</v>
          </cell>
          <cell r="D34" t="str">
            <v>T</v>
          </cell>
          <cell r="E34" t="str">
            <v>Njereza - Balaka Market</v>
          </cell>
          <cell r="F34" t="str">
            <v>M01</v>
          </cell>
          <cell r="G34">
            <v>32</v>
          </cell>
          <cell r="H34">
            <v>12</v>
          </cell>
          <cell r="I34" t="str">
            <v>R</v>
          </cell>
          <cell r="J34" t="str">
            <v>NTCHEU</v>
          </cell>
          <cell r="K34">
            <v>8</v>
          </cell>
          <cell r="W34">
            <v>71</v>
          </cell>
          <cell r="X34" t="str">
            <v>DS</v>
          </cell>
          <cell r="Y34">
            <v>150</v>
          </cell>
          <cell r="Z34" t="str">
            <v>SB</v>
          </cell>
          <cell r="AA34">
            <v>125</v>
          </cell>
          <cell r="AB34" t="str">
            <v>GR</v>
          </cell>
          <cell r="AC34">
            <v>10</v>
          </cell>
          <cell r="AD34" t="str">
            <v>VR</v>
          </cell>
          <cell r="AE34">
            <v>89</v>
          </cell>
          <cell r="AF34" t="str">
            <v>AO</v>
          </cell>
          <cell r="AG34" t="str">
            <v>AC</v>
          </cell>
          <cell r="AH34">
            <v>50</v>
          </cell>
          <cell r="AM34">
            <v>7</v>
          </cell>
          <cell r="BO34" t="str">
            <v>RS 016</v>
          </cell>
          <cell r="BP34">
            <v>12</v>
          </cell>
          <cell r="BQ34">
            <v>6</v>
          </cell>
          <cell r="BR34" t="str">
            <v>R</v>
          </cell>
          <cell r="BS34" t="str">
            <v>S</v>
          </cell>
          <cell r="BT34">
            <v>0</v>
          </cell>
          <cell r="BU34" t="str">
            <v>AC</v>
          </cell>
          <cell r="BV34" t="str">
            <v>DS</v>
          </cell>
          <cell r="BW34">
            <v>7</v>
          </cell>
          <cell r="BX34">
            <v>40</v>
          </cell>
          <cell r="BY34">
            <v>15</v>
          </cell>
          <cell r="BZ34">
            <v>1</v>
          </cell>
          <cell r="CA34">
            <v>10</v>
          </cell>
          <cell r="CB34">
            <v>1.9790000000000001</v>
          </cell>
          <cell r="CC34">
            <v>1.8983616102372702</v>
          </cell>
          <cell r="CD34">
            <v>0</v>
          </cell>
          <cell r="CE34">
            <v>0</v>
          </cell>
          <cell r="CF34">
            <v>0</v>
          </cell>
          <cell r="CG34">
            <v>0</v>
          </cell>
          <cell r="CH34">
            <v>0</v>
          </cell>
          <cell r="CI34">
            <v>0</v>
          </cell>
          <cell r="CJ34">
            <v>0</v>
          </cell>
          <cell r="CK34">
            <v>0</v>
          </cell>
          <cell r="CL34">
            <v>0</v>
          </cell>
          <cell r="CM34">
            <v>0</v>
          </cell>
          <cell r="CN34">
            <v>0</v>
          </cell>
          <cell r="CO34">
            <v>0</v>
          </cell>
          <cell r="CP34">
            <v>0</v>
          </cell>
          <cell r="CQ34">
            <v>1.8983616102372702</v>
          </cell>
          <cell r="CR34">
            <v>0</v>
          </cell>
          <cell r="CS34">
            <v>1</v>
          </cell>
          <cell r="CT34">
            <v>0</v>
          </cell>
          <cell r="CU34">
            <v>0</v>
          </cell>
          <cell r="CV34">
            <v>9</v>
          </cell>
          <cell r="CW34">
            <v>27</v>
          </cell>
          <cell r="CX34">
            <v>54</v>
          </cell>
          <cell r="CY34">
            <v>1.1000000000000001</v>
          </cell>
          <cell r="CZ34">
            <v>1.2</v>
          </cell>
          <cell r="DA34">
            <v>1.1000000000000001</v>
          </cell>
          <cell r="DB34">
            <v>400</v>
          </cell>
          <cell r="DC34">
            <v>188</v>
          </cell>
          <cell r="DD34">
            <v>104</v>
          </cell>
          <cell r="DE34">
            <v>30</v>
          </cell>
          <cell r="DF34">
            <v>46</v>
          </cell>
          <cell r="DG34">
            <v>8</v>
          </cell>
          <cell r="DH34">
            <v>4</v>
          </cell>
          <cell r="DI34">
            <v>20</v>
          </cell>
        </row>
        <row r="35">
          <cell r="A35" t="str">
            <v>RS 036</v>
          </cell>
          <cell r="B35">
            <v>36</v>
          </cell>
          <cell r="C35" t="str">
            <v>C</v>
          </cell>
          <cell r="D35" t="str">
            <v>T</v>
          </cell>
          <cell r="E35" t="str">
            <v>Balaka Market - Chingeni</v>
          </cell>
          <cell r="F35" t="str">
            <v>M01</v>
          </cell>
          <cell r="G35">
            <v>33</v>
          </cell>
          <cell r="H35">
            <v>4.7</v>
          </cell>
          <cell r="I35" t="str">
            <v>F</v>
          </cell>
          <cell r="J35" t="str">
            <v>MACHINGA</v>
          </cell>
          <cell r="K35">
            <v>8</v>
          </cell>
          <cell r="W35">
            <v>71</v>
          </cell>
          <cell r="X35" t="str">
            <v>AC</v>
          </cell>
          <cell r="Y35">
            <v>125</v>
          </cell>
          <cell r="Z35" t="str">
            <v>SB</v>
          </cell>
          <cell r="AA35">
            <v>150</v>
          </cell>
          <cell r="AB35" t="str">
            <v>GR</v>
          </cell>
          <cell r="AC35">
            <v>10</v>
          </cell>
          <cell r="AD35" t="str">
            <v>VR</v>
          </cell>
          <cell r="AE35">
            <v>89</v>
          </cell>
          <cell r="AF35" t="str">
            <v>AO</v>
          </cell>
          <cell r="AG35" t="str">
            <v>AC</v>
          </cell>
          <cell r="AH35">
            <v>50</v>
          </cell>
          <cell r="AM35">
            <v>6</v>
          </cell>
          <cell r="BO35" t="str">
            <v>RS 036</v>
          </cell>
          <cell r="BP35">
            <v>4.7</v>
          </cell>
          <cell r="BQ35">
            <v>6</v>
          </cell>
          <cell r="BR35" t="str">
            <v>F</v>
          </cell>
          <cell r="BS35" t="str">
            <v>C</v>
          </cell>
          <cell r="BT35">
            <v>0</v>
          </cell>
          <cell r="BU35" t="str">
            <v>AC</v>
          </cell>
          <cell r="BV35" t="str">
            <v>AC</v>
          </cell>
          <cell r="BW35">
            <v>6</v>
          </cell>
          <cell r="BX35">
            <v>40</v>
          </cell>
          <cell r="BY35">
            <v>40</v>
          </cell>
          <cell r="BZ35">
            <v>1</v>
          </cell>
          <cell r="CA35">
            <v>10</v>
          </cell>
          <cell r="CB35">
            <v>2.6040000000000001</v>
          </cell>
          <cell r="CC35">
            <v>3.05</v>
          </cell>
          <cell r="CD35">
            <v>60</v>
          </cell>
          <cell r="CE35">
            <v>25</v>
          </cell>
          <cell r="CF35">
            <v>10</v>
          </cell>
          <cell r="CG35">
            <v>50</v>
          </cell>
          <cell r="CH35">
            <v>15</v>
          </cell>
          <cell r="CI35">
            <v>0.3</v>
          </cell>
          <cell r="CJ35">
            <v>1E-3</v>
          </cell>
          <cell r="CK35">
            <v>10</v>
          </cell>
          <cell r="CL35">
            <v>10</v>
          </cell>
          <cell r="CM35">
            <v>0.16653153846153848</v>
          </cell>
          <cell r="CN35">
            <v>0.16653153846153848</v>
          </cell>
          <cell r="CO35">
            <v>0</v>
          </cell>
          <cell r="CP35">
            <v>0</v>
          </cell>
          <cell r="CQ35">
            <v>3.2165315384615383</v>
          </cell>
          <cell r="CR35">
            <v>10</v>
          </cell>
          <cell r="CS35">
            <v>1</v>
          </cell>
          <cell r="CT35">
            <v>0</v>
          </cell>
          <cell r="CU35">
            <v>0</v>
          </cell>
          <cell r="CV35">
            <v>9</v>
          </cell>
          <cell r="CW35">
            <v>27</v>
          </cell>
          <cell r="CX35">
            <v>54</v>
          </cell>
          <cell r="CY35">
            <v>2</v>
          </cell>
          <cell r="CZ35">
            <v>1.5</v>
          </cell>
          <cell r="DA35">
            <v>1.3</v>
          </cell>
          <cell r="DB35">
            <v>500</v>
          </cell>
          <cell r="DC35">
            <v>235</v>
          </cell>
          <cell r="DD35">
            <v>130</v>
          </cell>
          <cell r="DE35">
            <v>38</v>
          </cell>
          <cell r="DF35">
            <v>58</v>
          </cell>
          <cell r="DG35">
            <v>10</v>
          </cell>
          <cell r="DH35">
            <v>5</v>
          </cell>
          <cell r="DI35">
            <v>25</v>
          </cell>
        </row>
        <row r="36">
          <cell r="A36" t="str">
            <v>RS 018</v>
          </cell>
          <cell r="B36">
            <v>18</v>
          </cell>
          <cell r="C36" t="str">
            <v>C</v>
          </cell>
          <cell r="D36" t="str">
            <v>T</v>
          </cell>
          <cell r="E36" t="str">
            <v>Chingeni - Senzani</v>
          </cell>
          <cell r="F36" t="str">
            <v>M01</v>
          </cell>
          <cell r="G36">
            <v>34</v>
          </cell>
          <cell r="H36">
            <v>14.8</v>
          </cell>
          <cell r="I36" t="str">
            <v>R</v>
          </cell>
          <cell r="J36" t="str">
            <v>NTCHEU</v>
          </cell>
          <cell r="K36">
            <v>8</v>
          </cell>
          <cell r="W36">
            <v>89</v>
          </cell>
          <cell r="X36" t="str">
            <v>DS</v>
          </cell>
          <cell r="Y36">
            <v>200</v>
          </cell>
          <cell r="Z36" t="str">
            <v>SB</v>
          </cell>
          <cell r="AA36">
            <v>200</v>
          </cell>
          <cell r="AB36" t="str">
            <v>GR</v>
          </cell>
          <cell r="AC36">
            <v>16</v>
          </cell>
          <cell r="AD36" t="str">
            <v>VR</v>
          </cell>
          <cell r="AM36">
            <v>1</v>
          </cell>
          <cell r="AN36" t="str">
            <v>never resealed</v>
          </cell>
          <cell r="BO36" t="str">
            <v>RS 018</v>
          </cell>
          <cell r="BP36">
            <v>14.8</v>
          </cell>
          <cell r="BQ36">
            <v>6</v>
          </cell>
          <cell r="BR36" t="str">
            <v>R</v>
          </cell>
          <cell r="BS36" t="str">
            <v>C</v>
          </cell>
          <cell r="BT36">
            <v>0</v>
          </cell>
          <cell r="BU36" t="str">
            <v>DS</v>
          </cell>
          <cell r="BV36" t="str">
            <v/>
          </cell>
          <cell r="BW36">
            <v>1</v>
          </cell>
          <cell r="BX36">
            <v>15</v>
          </cell>
          <cell r="BY36" t="str">
            <v/>
          </cell>
          <cell r="BZ36">
            <v>1</v>
          </cell>
          <cell r="CA36">
            <v>16</v>
          </cell>
          <cell r="CB36">
            <v>2.177</v>
          </cell>
          <cell r="CC36">
            <v>2.9262475073313787</v>
          </cell>
          <cell r="CD36">
            <v>0</v>
          </cell>
          <cell r="CE36">
            <v>0</v>
          </cell>
          <cell r="CF36">
            <v>0</v>
          </cell>
          <cell r="CG36">
            <v>0</v>
          </cell>
          <cell r="CH36">
            <v>0</v>
          </cell>
          <cell r="CI36">
            <v>0.9</v>
          </cell>
          <cell r="CJ36">
            <v>3.0000000000000005E-3</v>
          </cell>
          <cell r="CK36">
            <v>3.0000000000000005E-3</v>
          </cell>
          <cell r="CL36">
            <v>0</v>
          </cell>
          <cell r="CM36">
            <v>1.1630769230769234E-3</v>
          </cell>
          <cell r="CN36">
            <v>1.1630769230769234E-3</v>
          </cell>
          <cell r="CO36">
            <v>0</v>
          </cell>
          <cell r="CP36">
            <v>0</v>
          </cell>
          <cell r="CQ36">
            <v>2.9274105842544556</v>
          </cell>
          <cell r="CR36">
            <v>0</v>
          </cell>
          <cell r="CS36">
            <v>1</v>
          </cell>
          <cell r="CT36">
            <v>0</v>
          </cell>
          <cell r="CU36">
            <v>0</v>
          </cell>
          <cell r="CV36">
            <v>9</v>
          </cell>
          <cell r="CW36">
            <v>9</v>
          </cell>
          <cell r="CX36" t="str">
            <v/>
          </cell>
          <cell r="CY36">
            <v>1.5</v>
          </cell>
          <cell r="CZ36">
            <v>1.3</v>
          </cell>
          <cell r="DA36">
            <v>1.1000000000000001</v>
          </cell>
          <cell r="DB36">
            <v>400</v>
          </cell>
          <cell r="DC36">
            <v>188</v>
          </cell>
          <cell r="DD36">
            <v>104</v>
          </cell>
          <cell r="DE36">
            <v>30</v>
          </cell>
          <cell r="DF36">
            <v>46</v>
          </cell>
          <cell r="DG36">
            <v>8</v>
          </cell>
          <cell r="DH36">
            <v>4</v>
          </cell>
          <cell r="DI36">
            <v>20</v>
          </cell>
        </row>
        <row r="37">
          <cell r="A37" t="str">
            <v>RS 105</v>
          </cell>
          <cell r="B37">
            <v>105</v>
          </cell>
          <cell r="C37" t="str">
            <v>S</v>
          </cell>
          <cell r="D37" t="str">
            <v>T</v>
          </cell>
          <cell r="E37" t="str">
            <v>Senzani - Lipaluwa River</v>
          </cell>
          <cell r="F37" t="str">
            <v>M01</v>
          </cell>
          <cell r="G37">
            <v>35</v>
          </cell>
          <cell r="H37">
            <v>26.8</v>
          </cell>
          <cell r="I37" t="str">
            <v>F</v>
          </cell>
          <cell r="J37" t="str">
            <v>NTCHEU</v>
          </cell>
          <cell r="K37">
            <v>8</v>
          </cell>
          <cell r="W37">
            <v>89</v>
          </cell>
          <cell r="X37" t="str">
            <v>DS</v>
          </cell>
          <cell r="Y37">
            <v>200</v>
          </cell>
          <cell r="Z37" t="str">
            <v>SB</v>
          </cell>
          <cell r="AA37">
            <v>150</v>
          </cell>
          <cell r="AB37" t="str">
            <v>GR</v>
          </cell>
          <cell r="AC37">
            <v>5</v>
          </cell>
          <cell r="AD37" t="str">
            <v>VR</v>
          </cell>
          <cell r="AM37">
            <v>1</v>
          </cell>
          <cell r="AN37" t="str">
            <v>never resealed</v>
          </cell>
          <cell r="BO37" t="str">
            <v>RS 105</v>
          </cell>
          <cell r="BP37">
            <v>26.8</v>
          </cell>
          <cell r="BQ37">
            <v>6</v>
          </cell>
          <cell r="BR37" t="str">
            <v>F</v>
          </cell>
          <cell r="BS37" t="str">
            <v>C</v>
          </cell>
          <cell r="BT37">
            <v>0</v>
          </cell>
          <cell r="BU37" t="str">
            <v>DS</v>
          </cell>
          <cell r="BV37" t="str">
            <v/>
          </cell>
          <cell r="BW37">
            <v>1</v>
          </cell>
          <cell r="BX37">
            <v>15</v>
          </cell>
          <cell r="BY37" t="str">
            <v/>
          </cell>
          <cell r="BZ37">
            <v>1</v>
          </cell>
          <cell r="CA37">
            <v>5</v>
          </cell>
          <cell r="CB37">
            <v>1.677</v>
          </cell>
          <cell r="CC37">
            <v>3.31</v>
          </cell>
          <cell r="CD37">
            <v>2.5</v>
          </cell>
          <cell r="CE37">
            <v>0</v>
          </cell>
          <cell r="CF37">
            <v>0</v>
          </cell>
          <cell r="CG37">
            <v>2.5</v>
          </cell>
          <cell r="CH37">
            <v>0</v>
          </cell>
          <cell r="CI37">
            <v>1.1000000000000001</v>
          </cell>
          <cell r="CJ37">
            <v>3.666666666666667E-3</v>
          </cell>
          <cell r="CK37">
            <v>3.666666666666667E-3</v>
          </cell>
          <cell r="CL37">
            <v>0</v>
          </cell>
          <cell r="CM37">
            <v>1.4215384615384617E-3</v>
          </cell>
          <cell r="CN37">
            <v>1.4215384615384617E-3</v>
          </cell>
          <cell r="CO37">
            <v>0</v>
          </cell>
          <cell r="CP37">
            <v>0</v>
          </cell>
          <cell r="CQ37">
            <v>3.3114215384615386</v>
          </cell>
          <cell r="CR37">
            <v>0</v>
          </cell>
          <cell r="CS37">
            <v>1</v>
          </cell>
          <cell r="CT37">
            <v>0</v>
          </cell>
          <cell r="CU37">
            <v>0</v>
          </cell>
          <cell r="CV37">
            <v>9</v>
          </cell>
          <cell r="CW37">
            <v>9</v>
          </cell>
          <cell r="CX37" t="str">
            <v/>
          </cell>
          <cell r="CY37">
            <v>1.1000000000000001</v>
          </cell>
          <cell r="CZ37">
            <v>1.2</v>
          </cell>
          <cell r="DA37">
            <v>1.1000000000000001</v>
          </cell>
          <cell r="DB37">
            <v>400</v>
          </cell>
          <cell r="DC37">
            <v>188</v>
          </cell>
          <cell r="DD37">
            <v>104</v>
          </cell>
          <cell r="DE37">
            <v>30</v>
          </cell>
          <cell r="DF37">
            <v>46</v>
          </cell>
          <cell r="DG37">
            <v>8</v>
          </cell>
          <cell r="DH37">
            <v>4</v>
          </cell>
          <cell r="DI37">
            <v>20</v>
          </cell>
        </row>
        <row r="38">
          <cell r="A38" t="str">
            <v>RS 094</v>
          </cell>
          <cell r="B38">
            <v>94</v>
          </cell>
          <cell r="C38" t="str">
            <v>S</v>
          </cell>
          <cell r="D38" t="str">
            <v>T</v>
          </cell>
          <cell r="E38" t="str">
            <v>Matope - Chigaru</v>
          </cell>
          <cell r="F38" t="str">
            <v>M01</v>
          </cell>
          <cell r="G38">
            <v>36</v>
          </cell>
          <cell r="H38">
            <v>4.9000000000000004</v>
          </cell>
          <cell r="I38" t="str">
            <v>R</v>
          </cell>
          <cell r="J38" t="str">
            <v>BLANTYRE</v>
          </cell>
          <cell r="K38">
            <v>9</v>
          </cell>
          <cell r="W38">
            <v>89</v>
          </cell>
          <cell r="X38" t="str">
            <v>DS</v>
          </cell>
          <cell r="Y38">
            <v>200</v>
          </cell>
          <cell r="Z38" t="str">
            <v>SB</v>
          </cell>
          <cell r="AA38">
            <v>150</v>
          </cell>
          <cell r="AB38" t="str">
            <v>GR</v>
          </cell>
          <cell r="AC38">
            <v>5</v>
          </cell>
          <cell r="AD38" t="str">
            <v>VR</v>
          </cell>
          <cell r="AM38">
            <v>1</v>
          </cell>
          <cell r="AN38" t="str">
            <v>never resealed</v>
          </cell>
          <cell r="BO38" t="str">
            <v>RS 094</v>
          </cell>
          <cell r="BP38">
            <v>4.9000000000000004</v>
          </cell>
          <cell r="BQ38">
            <v>6</v>
          </cell>
          <cell r="BR38" t="str">
            <v>R</v>
          </cell>
          <cell r="BS38" t="str">
            <v>C</v>
          </cell>
          <cell r="BT38">
            <v>0</v>
          </cell>
          <cell r="BU38" t="str">
            <v>DS</v>
          </cell>
          <cell r="BV38" t="str">
            <v/>
          </cell>
          <cell r="BW38">
            <v>1</v>
          </cell>
          <cell r="BX38">
            <v>15</v>
          </cell>
          <cell r="BY38" t="str">
            <v/>
          </cell>
          <cell r="BZ38">
            <v>1</v>
          </cell>
          <cell r="CA38">
            <v>5</v>
          </cell>
          <cell r="CB38">
            <v>1.677</v>
          </cell>
          <cell r="CC38">
            <v>2.868769501466276</v>
          </cell>
          <cell r="CD38">
            <v>0</v>
          </cell>
          <cell r="CE38">
            <v>0</v>
          </cell>
          <cell r="CF38">
            <v>0</v>
          </cell>
          <cell r="CG38">
            <v>0</v>
          </cell>
          <cell r="CH38">
            <v>0</v>
          </cell>
          <cell r="CI38">
            <v>0.21</v>
          </cell>
          <cell r="CJ38">
            <v>7.000000000000001E-4</v>
          </cell>
          <cell r="CK38">
            <v>7.000000000000001E-4</v>
          </cell>
          <cell r="CL38">
            <v>0</v>
          </cell>
          <cell r="CM38">
            <v>2.7138461538461539E-4</v>
          </cell>
          <cell r="CN38">
            <v>2.7138461538461539E-4</v>
          </cell>
          <cell r="CO38">
            <v>0</v>
          </cell>
          <cell r="CP38">
            <v>0</v>
          </cell>
          <cell r="CQ38">
            <v>2.8690408860816605</v>
          </cell>
          <cell r="CR38">
            <v>0</v>
          </cell>
          <cell r="CS38">
            <v>1</v>
          </cell>
          <cell r="CT38">
            <v>0</v>
          </cell>
          <cell r="CU38">
            <v>0</v>
          </cell>
          <cell r="CV38">
            <v>9</v>
          </cell>
          <cell r="CW38">
            <v>9</v>
          </cell>
          <cell r="CX38" t="str">
            <v/>
          </cell>
          <cell r="CY38">
            <v>1.1000000000000001</v>
          </cell>
          <cell r="CZ38">
            <v>1.2</v>
          </cell>
          <cell r="DA38">
            <v>1</v>
          </cell>
          <cell r="DB38">
            <v>400</v>
          </cell>
          <cell r="DC38">
            <v>188</v>
          </cell>
          <cell r="DD38">
            <v>104</v>
          </cell>
          <cell r="DE38">
            <v>30</v>
          </cell>
          <cell r="DF38">
            <v>46</v>
          </cell>
          <cell r="DG38">
            <v>8</v>
          </cell>
          <cell r="DH38">
            <v>4</v>
          </cell>
          <cell r="DI38">
            <v>20</v>
          </cell>
        </row>
        <row r="39">
          <cell r="A39" t="str">
            <v>RS 090</v>
          </cell>
          <cell r="B39">
            <v>90</v>
          </cell>
          <cell r="C39" t="str">
            <v>S</v>
          </cell>
          <cell r="D39" t="str">
            <v>T</v>
          </cell>
          <cell r="E39" t="str">
            <v>Chigaru - Ndeka</v>
          </cell>
          <cell r="F39" t="str">
            <v>M01</v>
          </cell>
          <cell r="G39">
            <v>37</v>
          </cell>
          <cell r="H39">
            <v>12</v>
          </cell>
          <cell r="I39" t="str">
            <v>R</v>
          </cell>
          <cell r="J39" t="str">
            <v>BLANTYRE</v>
          </cell>
          <cell r="K39">
            <v>9</v>
          </cell>
          <cell r="W39">
            <v>87</v>
          </cell>
          <cell r="X39" t="str">
            <v>DS</v>
          </cell>
          <cell r="Y39">
            <v>200</v>
          </cell>
          <cell r="Z39" t="str">
            <v>GR</v>
          </cell>
          <cell r="AA39">
            <v>200</v>
          </cell>
          <cell r="AB39" t="str">
            <v>GR</v>
          </cell>
          <cell r="AC39">
            <v>16</v>
          </cell>
          <cell r="AD39" t="str">
            <v>VR</v>
          </cell>
          <cell r="AM39">
            <v>1</v>
          </cell>
          <cell r="AN39" t="str">
            <v>never resealed</v>
          </cell>
          <cell r="BO39" t="str">
            <v>RS 090</v>
          </cell>
          <cell r="BP39">
            <v>12</v>
          </cell>
          <cell r="BQ39">
            <v>6.7</v>
          </cell>
          <cell r="BR39" t="str">
            <v>R</v>
          </cell>
          <cell r="BS39" t="str">
            <v>C</v>
          </cell>
          <cell r="BT39">
            <v>0</v>
          </cell>
          <cell r="BU39" t="str">
            <v>DS</v>
          </cell>
          <cell r="BV39" t="str">
            <v/>
          </cell>
          <cell r="BW39">
            <v>1</v>
          </cell>
          <cell r="BX39">
            <v>15</v>
          </cell>
          <cell r="BY39" t="str">
            <v/>
          </cell>
          <cell r="BZ39">
            <v>1</v>
          </cell>
          <cell r="CA39">
            <v>16</v>
          </cell>
          <cell r="CB39">
            <v>1.9770000000000001</v>
          </cell>
          <cell r="CC39">
            <v>3.1605583577712615</v>
          </cell>
          <cell r="CD39">
            <v>40</v>
          </cell>
          <cell r="CE39">
            <v>12</v>
          </cell>
          <cell r="CF39">
            <v>0</v>
          </cell>
          <cell r="CG39">
            <v>40</v>
          </cell>
          <cell r="CH39">
            <v>12</v>
          </cell>
          <cell r="CI39">
            <v>0.67</v>
          </cell>
          <cell r="CJ39">
            <v>2E-3</v>
          </cell>
          <cell r="CK39">
            <v>2E-3</v>
          </cell>
          <cell r="CL39">
            <v>0</v>
          </cell>
          <cell r="CM39">
            <v>7.7538461538461539E-4</v>
          </cell>
          <cell r="CN39">
            <v>7.7538461538461539E-4</v>
          </cell>
          <cell r="CO39">
            <v>0</v>
          </cell>
          <cell r="CP39">
            <v>0</v>
          </cell>
          <cell r="CQ39">
            <v>3.1613337423866459</v>
          </cell>
          <cell r="CR39">
            <v>10</v>
          </cell>
          <cell r="CS39">
            <v>1</v>
          </cell>
          <cell r="CT39">
            <v>0</v>
          </cell>
          <cell r="CU39">
            <v>0</v>
          </cell>
          <cell r="CV39">
            <v>11</v>
          </cell>
          <cell r="CW39">
            <v>11</v>
          </cell>
          <cell r="CX39" t="str">
            <v/>
          </cell>
          <cell r="CY39">
            <v>2</v>
          </cell>
          <cell r="CZ39">
            <v>2</v>
          </cell>
          <cell r="DA39">
            <v>1</v>
          </cell>
          <cell r="DB39">
            <v>400</v>
          </cell>
          <cell r="DC39">
            <v>188</v>
          </cell>
          <cell r="DD39">
            <v>104</v>
          </cell>
          <cell r="DE39">
            <v>30</v>
          </cell>
          <cell r="DF39">
            <v>46</v>
          </cell>
          <cell r="DG39">
            <v>8</v>
          </cell>
          <cell r="DH39">
            <v>4</v>
          </cell>
          <cell r="DI39">
            <v>20</v>
          </cell>
        </row>
        <row r="40">
          <cell r="A40" t="str">
            <v>RS 098</v>
          </cell>
          <cell r="B40">
            <v>98</v>
          </cell>
          <cell r="C40" t="str">
            <v>S</v>
          </cell>
          <cell r="D40" t="str">
            <v>T</v>
          </cell>
          <cell r="E40" t="str">
            <v>Ndeka - Lirangwe</v>
          </cell>
          <cell r="F40" t="str">
            <v>M01</v>
          </cell>
          <cell r="G40">
            <v>38</v>
          </cell>
          <cell r="H40">
            <v>10.9</v>
          </cell>
          <cell r="I40" t="str">
            <v>R</v>
          </cell>
          <cell r="J40" t="str">
            <v>BLANTYRE</v>
          </cell>
          <cell r="K40">
            <v>9</v>
          </cell>
          <cell r="W40">
            <v>89</v>
          </cell>
          <cell r="X40" t="str">
            <v>DS</v>
          </cell>
          <cell r="Y40">
            <v>200</v>
          </cell>
          <cell r="Z40" t="str">
            <v>SB</v>
          </cell>
          <cell r="AA40">
            <v>150</v>
          </cell>
          <cell r="AB40" t="str">
            <v>GR</v>
          </cell>
          <cell r="AC40">
            <v>5</v>
          </cell>
          <cell r="AD40" t="str">
            <v>VR</v>
          </cell>
          <cell r="AM40">
            <v>1</v>
          </cell>
          <cell r="AN40" t="str">
            <v>never resealed</v>
          </cell>
          <cell r="BO40" t="str">
            <v>RS 098</v>
          </cell>
          <cell r="BP40">
            <v>10.9</v>
          </cell>
          <cell r="BQ40">
            <v>6.7</v>
          </cell>
          <cell r="BR40" t="str">
            <v>R</v>
          </cell>
          <cell r="BS40" t="str">
            <v>C</v>
          </cell>
          <cell r="BT40">
            <v>0</v>
          </cell>
          <cell r="BU40" t="str">
            <v>DS</v>
          </cell>
          <cell r="BV40" t="str">
            <v/>
          </cell>
          <cell r="BW40">
            <v>1</v>
          </cell>
          <cell r="BX40">
            <v>15</v>
          </cell>
          <cell r="BY40" t="str">
            <v/>
          </cell>
          <cell r="BZ40">
            <v>1</v>
          </cell>
          <cell r="CA40">
            <v>5</v>
          </cell>
          <cell r="CB40">
            <v>1.677</v>
          </cell>
          <cell r="CC40">
            <v>3.1</v>
          </cell>
          <cell r="CD40">
            <v>20</v>
          </cell>
          <cell r="CE40">
            <v>0</v>
          </cell>
          <cell r="CF40">
            <v>0</v>
          </cell>
          <cell r="CG40">
            <v>20</v>
          </cell>
          <cell r="CH40">
            <v>0</v>
          </cell>
          <cell r="CI40">
            <v>0.2</v>
          </cell>
          <cell r="CJ40">
            <v>5.9701492537313444E-4</v>
          </cell>
          <cell r="CK40">
            <v>5.9701492537313444E-4</v>
          </cell>
          <cell r="CL40">
            <v>0</v>
          </cell>
          <cell r="CM40">
            <v>2.3145809414466134E-4</v>
          </cell>
          <cell r="CN40">
            <v>2.3145809414466134E-4</v>
          </cell>
          <cell r="CO40">
            <v>0</v>
          </cell>
          <cell r="CP40">
            <v>0</v>
          </cell>
          <cell r="CQ40">
            <v>3.1002314580941448</v>
          </cell>
          <cell r="CR40">
            <v>15</v>
          </cell>
          <cell r="CS40">
            <v>1</v>
          </cell>
          <cell r="CT40">
            <v>0</v>
          </cell>
          <cell r="CU40">
            <v>0</v>
          </cell>
          <cell r="CV40">
            <v>9</v>
          </cell>
          <cell r="CW40">
            <v>9</v>
          </cell>
          <cell r="CX40" t="str">
            <v/>
          </cell>
          <cell r="CY40">
            <v>2</v>
          </cell>
          <cell r="CZ40">
            <v>2</v>
          </cell>
          <cell r="DA40">
            <v>1.3</v>
          </cell>
          <cell r="DB40">
            <v>600</v>
          </cell>
          <cell r="DC40">
            <v>282</v>
          </cell>
          <cell r="DD40">
            <v>156</v>
          </cell>
          <cell r="DE40">
            <v>45</v>
          </cell>
          <cell r="DF40">
            <v>69</v>
          </cell>
          <cell r="DG40">
            <v>12</v>
          </cell>
          <cell r="DH40">
            <v>6</v>
          </cell>
          <cell r="DI40">
            <v>30</v>
          </cell>
        </row>
        <row r="41">
          <cell r="A41" t="str">
            <v>RS 096</v>
          </cell>
          <cell r="B41">
            <v>96</v>
          </cell>
          <cell r="C41" t="str">
            <v>S</v>
          </cell>
          <cell r="D41" t="str">
            <v>T</v>
          </cell>
          <cell r="E41" t="str">
            <v>Lirangwe - Chirimba</v>
          </cell>
          <cell r="F41" t="str">
            <v>M01</v>
          </cell>
          <cell r="G41">
            <v>39</v>
          </cell>
          <cell r="H41">
            <v>22.5</v>
          </cell>
          <cell r="I41" t="str">
            <v>R</v>
          </cell>
          <cell r="J41" t="str">
            <v>BLANTYRE</v>
          </cell>
          <cell r="K41">
            <v>9</v>
          </cell>
          <cell r="W41">
            <v>89</v>
          </cell>
          <cell r="X41" t="str">
            <v>DS</v>
          </cell>
          <cell r="Y41">
            <v>200</v>
          </cell>
          <cell r="Z41" t="str">
            <v>SB</v>
          </cell>
          <cell r="AA41">
            <v>150</v>
          </cell>
          <cell r="AB41" t="str">
            <v>GR</v>
          </cell>
          <cell r="AC41">
            <v>5</v>
          </cell>
          <cell r="AD41" t="str">
            <v>VR</v>
          </cell>
          <cell r="AM41">
            <v>1</v>
          </cell>
          <cell r="AN41" t="str">
            <v>never resealed</v>
          </cell>
          <cell r="BO41" t="str">
            <v>RS 096</v>
          </cell>
          <cell r="BP41">
            <v>22.5</v>
          </cell>
          <cell r="BQ41">
            <v>6.7</v>
          </cell>
          <cell r="BR41" t="str">
            <v>R</v>
          </cell>
          <cell r="BS41" t="str">
            <v>C</v>
          </cell>
          <cell r="BT41">
            <v>0</v>
          </cell>
          <cell r="BU41" t="str">
            <v>DS</v>
          </cell>
          <cell r="BV41" t="str">
            <v/>
          </cell>
          <cell r="BW41">
            <v>1</v>
          </cell>
          <cell r="BX41">
            <v>15</v>
          </cell>
          <cell r="BY41" t="str">
            <v/>
          </cell>
          <cell r="BZ41">
            <v>1</v>
          </cell>
          <cell r="CA41">
            <v>5</v>
          </cell>
          <cell r="CB41">
            <v>1.677</v>
          </cell>
          <cell r="CC41">
            <v>3.0335055718475079</v>
          </cell>
          <cell r="CD41">
            <v>60</v>
          </cell>
          <cell r="CE41">
            <v>12</v>
          </cell>
          <cell r="CF41">
            <v>0</v>
          </cell>
          <cell r="CG41">
            <v>60</v>
          </cell>
          <cell r="CH41">
            <v>12</v>
          </cell>
          <cell r="CI41">
            <v>2</v>
          </cell>
          <cell r="CJ41">
            <v>5.9701492537313433E-3</v>
          </cell>
          <cell r="CK41">
            <v>5.9701492537313433E-3</v>
          </cell>
          <cell r="CL41">
            <v>0</v>
          </cell>
          <cell r="CM41">
            <v>2.3145809414466131E-3</v>
          </cell>
          <cell r="CN41">
            <v>2.3145809414466131E-3</v>
          </cell>
          <cell r="CO41">
            <v>0</v>
          </cell>
          <cell r="CP41">
            <v>0</v>
          </cell>
          <cell r="CQ41">
            <v>3.0358201527889546</v>
          </cell>
          <cell r="CR41">
            <v>5</v>
          </cell>
          <cell r="CS41">
            <v>1</v>
          </cell>
          <cell r="CT41">
            <v>0</v>
          </cell>
          <cell r="CU41">
            <v>0</v>
          </cell>
          <cell r="CV41">
            <v>9</v>
          </cell>
          <cell r="CW41">
            <v>9</v>
          </cell>
          <cell r="CX41" t="str">
            <v/>
          </cell>
          <cell r="CY41">
            <v>1.5</v>
          </cell>
          <cell r="CZ41">
            <v>2</v>
          </cell>
          <cell r="DA41">
            <v>2</v>
          </cell>
          <cell r="DB41">
            <v>600</v>
          </cell>
          <cell r="DC41">
            <v>282</v>
          </cell>
          <cell r="DD41">
            <v>156</v>
          </cell>
          <cell r="DE41">
            <v>45</v>
          </cell>
          <cell r="DF41">
            <v>69</v>
          </cell>
          <cell r="DG41">
            <v>12</v>
          </cell>
          <cell r="DH41">
            <v>6</v>
          </cell>
          <cell r="DI41">
            <v>30</v>
          </cell>
        </row>
        <row r="42">
          <cell r="A42" t="str">
            <v>RS 095</v>
          </cell>
          <cell r="B42">
            <v>95</v>
          </cell>
          <cell r="C42" t="str">
            <v>S</v>
          </cell>
          <cell r="D42" t="str">
            <v>T</v>
          </cell>
          <cell r="E42" t="str">
            <v>Chirimba - Blantyre</v>
          </cell>
          <cell r="F42" t="str">
            <v>M01</v>
          </cell>
          <cell r="G42">
            <v>40</v>
          </cell>
          <cell r="H42">
            <v>10.4</v>
          </cell>
          <cell r="I42" t="str">
            <v>R</v>
          </cell>
          <cell r="J42" t="str">
            <v>BLANTYRE</v>
          </cell>
          <cell r="K42">
            <v>9</v>
          </cell>
          <cell r="W42">
            <v>89</v>
          </cell>
          <cell r="X42" t="str">
            <v>DS</v>
          </cell>
          <cell r="Y42">
            <v>200</v>
          </cell>
          <cell r="Z42" t="str">
            <v>SB</v>
          </cell>
          <cell r="AA42">
            <v>150</v>
          </cell>
          <cell r="AB42" t="str">
            <v>GR</v>
          </cell>
          <cell r="AC42">
            <v>5</v>
          </cell>
          <cell r="AD42" t="str">
            <v>VR</v>
          </cell>
          <cell r="AM42">
            <v>1</v>
          </cell>
          <cell r="AN42" t="str">
            <v>never resealed</v>
          </cell>
          <cell r="BO42" t="str">
            <v>RS 095</v>
          </cell>
          <cell r="BP42">
            <v>10.4</v>
          </cell>
          <cell r="BQ42">
            <v>6.7</v>
          </cell>
          <cell r="BR42" t="str">
            <v>R</v>
          </cell>
          <cell r="BS42" t="str">
            <v>C</v>
          </cell>
          <cell r="BT42">
            <v>0</v>
          </cell>
          <cell r="BU42" t="str">
            <v>DS</v>
          </cell>
          <cell r="BV42" t="str">
            <v/>
          </cell>
          <cell r="BW42">
            <v>1</v>
          </cell>
          <cell r="BX42">
            <v>15</v>
          </cell>
          <cell r="BY42" t="str">
            <v/>
          </cell>
          <cell r="BZ42">
            <v>1</v>
          </cell>
          <cell r="CA42">
            <v>5</v>
          </cell>
          <cell r="CB42">
            <v>1.677</v>
          </cell>
          <cell r="CC42">
            <v>4.1772032258064513</v>
          </cell>
          <cell r="CD42">
            <v>75</v>
          </cell>
          <cell r="CE42">
            <v>38</v>
          </cell>
          <cell r="CF42">
            <v>23</v>
          </cell>
          <cell r="CG42">
            <v>52</v>
          </cell>
          <cell r="CH42">
            <v>15</v>
          </cell>
          <cell r="CI42">
            <v>2.5</v>
          </cell>
          <cell r="CJ42">
            <v>7.462686567164179E-3</v>
          </cell>
          <cell r="CK42">
            <v>10</v>
          </cell>
          <cell r="CL42">
            <v>23</v>
          </cell>
          <cell r="CM42">
            <v>0.25497244546498277</v>
          </cell>
          <cell r="CN42">
            <v>0.25497244546498277</v>
          </cell>
          <cell r="CO42">
            <v>0</v>
          </cell>
          <cell r="CP42">
            <v>0</v>
          </cell>
          <cell r="CQ42">
            <v>4.432175671271434</v>
          </cell>
          <cell r="CR42">
            <v>5</v>
          </cell>
          <cell r="CS42">
            <v>1</v>
          </cell>
          <cell r="CT42">
            <v>0</v>
          </cell>
          <cell r="CU42">
            <v>0</v>
          </cell>
          <cell r="CV42">
            <v>9</v>
          </cell>
          <cell r="CW42">
            <v>9</v>
          </cell>
          <cell r="CX42" t="str">
            <v/>
          </cell>
          <cell r="CY42">
            <v>3</v>
          </cell>
          <cell r="CZ42">
            <v>2.8</v>
          </cell>
          <cell r="DA42">
            <v>1.1000000000000001</v>
          </cell>
          <cell r="DB42">
            <v>900</v>
          </cell>
          <cell r="DC42">
            <v>423</v>
          </cell>
          <cell r="DD42">
            <v>234</v>
          </cell>
          <cell r="DE42">
            <v>68</v>
          </cell>
          <cell r="DF42">
            <v>104</v>
          </cell>
          <cell r="DG42">
            <v>18</v>
          </cell>
          <cell r="DH42">
            <v>9</v>
          </cell>
          <cell r="DI42">
            <v>45</v>
          </cell>
        </row>
        <row r="43">
          <cell r="A43" t="str">
            <v>RS 092</v>
          </cell>
          <cell r="B43">
            <v>92</v>
          </cell>
          <cell r="C43" t="str">
            <v>S</v>
          </cell>
          <cell r="D43" t="str">
            <v>T</v>
          </cell>
          <cell r="E43" t="str">
            <v>Blantyre - Bango</v>
          </cell>
          <cell r="F43" t="str">
            <v>M01</v>
          </cell>
          <cell r="G43">
            <v>41</v>
          </cell>
          <cell r="H43">
            <v>7.4</v>
          </cell>
          <cell r="I43" t="str">
            <v>R</v>
          </cell>
          <cell r="J43" t="str">
            <v>BLANTYRE</v>
          </cell>
          <cell r="K43">
            <v>10</v>
          </cell>
          <cell r="W43">
            <v>80</v>
          </cell>
          <cell r="X43" t="str">
            <v>DS</v>
          </cell>
          <cell r="Y43">
            <v>150</v>
          </cell>
          <cell r="Z43" t="str">
            <v>SB</v>
          </cell>
          <cell r="AA43">
            <v>150</v>
          </cell>
          <cell r="AB43" t="str">
            <v>GR</v>
          </cell>
          <cell r="AC43">
            <v>12</v>
          </cell>
          <cell r="AD43" t="str">
            <v>VR</v>
          </cell>
          <cell r="AM43">
            <v>1</v>
          </cell>
          <cell r="AN43" t="str">
            <v>never resealed</v>
          </cell>
          <cell r="BO43" t="str">
            <v>RS 092</v>
          </cell>
          <cell r="BP43">
            <v>7.4</v>
          </cell>
          <cell r="BQ43">
            <v>6</v>
          </cell>
          <cell r="BR43" t="str">
            <v>R</v>
          </cell>
          <cell r="BS43" t="str">
            <v>C</v>
          </cell>
          <cell r="BT43">
            <v>0</v>
          </cell>
          <cell r="BU43" t="str">
            <v>DS</v>
          </cell>
          <cell r="BV43" t="str">
            <v/>
          </cell>
          <cell r="BW43">
            <v>1</v>
          </cell>
          <cell r="BX43">
            <v>15</v>
          </cell>
          <cell r="BY43" t="str">
            <v/>
          </cell>
          <cell r="BZ43">
            <v>1</v>
          </cell>
          <cell r="CA43">
            <v>12</v>
          </cell>
          <cell r="CB43">
            <v>1.677</v>
          </cell>
          <cell r="CC43">
            <v>5.69</v>
          </cell>
          <cell r="CD43">
            <v>85</v>
          </cell>
          <cell r="CE43">
            <v>51</v>
          </cell>
          <cell r="CF43">
            <v>36</v>
          </cell>
          <cell r="CG43">
            <v>49</v>
          </cell>
          <cell r="CH43">
            <v>15</v>
          </cell>
          <cell r="CI43">
            <v>600</v>
          </cell>
          <cell r="CJ43">
            <v>2</v>
          </cell>
          <cell r="CK43">
            <v>10</v>
          </cell>
          <cell r="CL43">
            <v>36</v>
          </cell>
          <cell r="CM43">
            <v>1.0935384615384616</v>
          </cell>
          <cell r="CN43">
            <v>1.0935384615384616</v>
          </cell>
          <cell r="CO43">
            <v>0</v>
          </cell>
          <cell r="CP43">
            <v>0</v>
          </cell>
          <cell r="CQ43">
            <v>6.7835384615384617</v>
          </cell>
          <cell r="CR43">
            <v>0</v>
          </cell>
          <cell r="CS43">
            <v>1</v>
          </cell>
          <cell r="CT43">
            <v>0</v>
          </cell>
          <cell r="CU43">
            <v>0</v>
          </cell>
          <cell r="CV43">
            <v>18</v>
          </cell>
          <cell r="CW43">
            <v>18</v>
          </cell>
          <cell r="CX43" t="str">
            <v/>
          </cell>
          <cell r="CY43">
            <v>3</v>
          </cell>
          <cell r="CZ43">
            <v>3</v>
          </cell>
          <cell r="DA43">
            <v>2</v>
          </cell>
          <cell r="DB43">
            <v>500</v>
          </cell>
          <cell r="DC43">
            <v>235</v>
          </cell>
          <cell r="DD43">
            <v>130</v>
          </cell>
          <cell r="DE43">
            <v>38</v>
          </cell>
          <cell r="DF43">
            <v>58</v>
          </cell>
          <cell r="DG43">
            <v>10</v>
          </cell>
          <cell r="DH43">
            <v>5</v>
          </cell>
          <cell r="DI43">
            <v>25</v>
          </cell>
        </row>
        <row r="44">
          <cell r="A44" t="str">
            <v>RS 104</v>
          </cell>
          <cell r="B44">
            <v>104</v>
          </cell>
          <cell r="C44" t="str">
            <v>S</v>
          </cell>
          <cell r="D44" t="str">
            <v>T</v>
          </cell>
          <cell r="E44" t="str">
            <v>Bango - Mirale Police Post</v>
          </cell>
          <cell r="F44" t="str">
            <v>M01</v>
          </cell>
          <cell r="G44">
            <v>42</v>
          </cell>
          <cell r="H44">
            <v>11.4</v>
          </cell>
          <cell r="I44" t="str">
            <v>R</v>
          </cell>
          <cell r="J44" t="str">
            <v>BLANTYRE</v>
          </cell>
          <cell r="K44">
            <v>9</v>
          </cell>
          <cell r="W44">
            <v>80</v>
          </cell>
          <cell r="X44" t="str">
            <v>DS</v>
          </cell>
          <cell r="Y44">
            <v>150</v>
          </cell>
          <cell r="Z44" t="str">
            <v>SB</v>
          </cell>
          <cell r="AA44">
            <v>100</v>
          </cell>
          <cell r="AB44" t="str">
            <v>GR</v>
          </cell>
          <cell r="AC44">
            <v>12</v>
          </cell>
          <cell r="AD44" t="str">
            <v>VR</v>
          </cell>
          <cell r="AM44">
            <v>1</v>
          </cell>
          <cell r="AN44" t="str">
            <v>never resealed</v>
          </cell>
          <cell r="BO44" t="str">
            <v>RS 104</v>
          </cell>
          <cell r="BP44">
            <v>11.4</v>
          </cell>
          <cell r="BQ44">
            <v>6</v>
          </cell>
          <cell r="BR44" t="str">
            <v>R</v>
          </cell>
          <cell r="BS44" t="str">
            <v>C</v>
          </cell>
          <cell r="BT44">
            <v>0</v>
          </cell>
          <cell r="BU44" t="str">
            <v>DS</v>
          </cell>
          <cell r="BV44" t="str">
            <v/>
          </cell>
          <cell r="BW44">
            <v>1</v>
          </cell>
          <cell r="BX44">
            <v>15</v>
          </cell>
          <cell r="BY44" t="str">
            <v/>
          </cell>
          <cell r="BZ44">
            <v>1</v>
          </cell>
          <cell r="CA44">
            <v>12</v>
          </cell>
          <cell r="CB44">
            <v>1.177</v>
          </cell>
          <cell r="CC44">
            <v>5.1370979472140768</v>
          </cell>
          <cell r="CD44">
            <v>90</v>
          </cell>
          <cell r="CE44">
            <v>55</v>
          </cell>
          <cell r="CF44">
            <v>40</v>
          </cell>
          <cell r="CG44">
            <v>50</v>
          </cell>
          <cell r="CH44">
            <v>15</v>
          </cell>
          <cell r="CI44">
            <v>25</v>
          </cell>
          <cell r="CJ44">
            <v>8.3333333333333343E-2</v>
          </cell>
          <cell r="CK44">
            <v>10</v>
          </cell>
          <cell r="CL44">
            <v>40</v>
          </cell>
          <cell r="CM44">
            <v>0.39608974358974353</v>
          </cell>
          <cell r="CN44">
            <v>0.39608974358974353</v>
          </cell>
          <cell r="CO44">
            <v>0</v>
          </cell>
          <cell r="CP44">
            <v>0</v>
          </cell>
          <cell r="CQ44">
            <v>5.5331876908038202</v>
          </cell>
          <cell r="CR44">
            <v>60</v>
          </cell>
          <cell r="CS44">
            <v>1</v>
          </cell>
          <cell r="CT44">
            <v>0</v>
          </cell>
          <cell r="CU44">
            <v>0</v>
          </cell>
          <cell r="CV44">
            <v>18</v>
          </cell>
          <cell r="CW44">
            <v>18</v>
          </cell>
          <cell r="CX44" t="str">
            <v/>
          </cell>
          <cell r="CY44">
            <v>2</v>
          </cell>
          <cell r="CZ44">
            <v>2</v>
          </cell>
          <cell r="DA44">
            <v>2</v>
          </cell>
          <cell r="DB44">
            <v>400</v>
          </cell>
          <cell r="DC44">
            <v>188</v>
          </cell>
          <cell r="DD44">
            <v>104</v>
          </cell>
          <cell r="DE44">
            <v>30</v>
          </cell>
          <cell r="DF44">
            <v>46</v>
          </cell>
          <cell r="DG44">
            <v>8</v>
          </cell>
          <cell r="DH44">
            <v>4</v>
          </cell>
          <cell r="DI44">
            <v>20</v>
          </cell>
        </row>
        <row r="45">
          <cell r="A45" t="str">
            <v>RS 093</v>
          </cell>
          <cell r="B45">
            <v>93</v>
          </cell>
          <cell r="C45" t="str">
            <v>S</v>
          </cell>
          <cell r="D45" t="str">
            <v>T</v>
          </cell>
          <cell r="E45" t="str">
            <v>Mirale Police Post - Madziabango</v>
          </cell>
          <cell r="F45" t="str">
            <v>M01</v>
          </cell>
          <cell r="G45">
            <v>43</v>
          </cell>
          <cell r="H45">
            <v>7.9</v>
          </cell>
          <cell r="I45" t="str">
            <v>R</v>
          </cell>
          <cell r="J45" t="str">
            <v>BLANTYRE</v>
          </cell>
          <cell r="K45">
            <v>9</v>
          </cell>
          <cell r="W45">
            <v>80</v>
          </cell>
          <cell r="X45" t="str">
            <v>DS</v>
          </cell>
          <cell r="Y45">
            <v>150</v>
          </cell>
          <cell r="Z45" t="str">
            <v>SB</v>
          </cell>
          <cell r="AA45">
            <v>150</v>
          </cell>
          <cell r="AB45" t="str">
            <v>GR</v>
          </cell>
          <cell r="AC45">
            <v>12</v>
          </cell>
          <cell r="AD45" t="str">
            <v>VR</v>
          </cell>
          <cell r="AM45">
            <v>1</v>
          </cell>
          <cell r="AN45" t="str">
            <v>never resealed</v>
          </cell>
          <cell r="BO45" t="str">
            <v>RS 093</v>
          </cell>
          <cell r="BP45">
            <v>7.9</v>
          </cell>
          <cell r="BQ45">
            <v>6</v>
          </cell>
          <cell r="BR45" t="str">
            <v>R</v>
          </cell>
          <cell r="BS45" t="str">
            <v>C</v>
          </cell>
          <cell r="BT45">
            <v>0</v>
          </cell>
          <cell r="BU45" t="str">
            <v>DS</v>
          </cell>
          <cell r="BV45" t="str">
            <v/>
          </cell>
          <cell r="BW45">
            <v>1</v>
          </cell>
          <cell r="BX45">
            <v>15</v>
          </cell>
          <cell r="BY45" t="str">
            <v/>
          </cell>
          <cell r="BZ45">
            <v>1</v>
          </cell>
          <cell r="CA45">
            <v>12</v>
          </cell>
          <cell r="CB45">
            <v>1.677</v>
          </cell>
          <cell r="CC45">
            <v>6.7552300377042318</v>
          </cell>
          <cell r="CD45">
            <v>85</v>
          </cell>
          <cell r="CE45">
            <v>50</v>
          </cell>
          <cell r="CF45">
            <v>35</v>
          </cell>
          <cell r="CG45">
            <v>50</v>
          </cell>
          <cell r="CH45">
            <v>15</v>
          </cell>
          <cell r="CI45">
            <v>24</v>
          </cell>
          <cell r="CJ45">
            <v>8.0000000000000016E-2</v>
          </cell>
          <cell r="CK45">
            <v>10</v>
          </cell>
          <cell r="CL45">
            <v>35</v>
          </cell>
          <cell r="CM45">
            <v>0.36175384615384615</v>
          </cell>
          <cell r="CN45">
            <v>0.36175384615384615</v>
          </cell>
          <cell r="CO45">
            <v>0</v>
          </cell>
          <cell r="CP45">
            <v>0</v>
          </cell>
          <cell r="CQ45">
            <v>7.1169838838580777</v>
          </cell>
          <cell r="CR45">
            <v>55</v>
          </cell>
          <cell r="CS45">
            <v>1</v>
          </cell>
          <cell r="CT45">
            <v>0</v>
          </cell>
          <cell r="CU45">
            <v>0</v>
          </cell>
          <cell r="CV45">
            <v>18</v>
          </cell>
          <cell r="CW45">
            <v>18</v>
          </cell>
          <cell r="CX45" t="str">
            <v/>
          </cell>
          <cell r="CY45">
            <v>1.8</v>
          </cell>
          <cell r="CZ45">
            <v>2</v>
          </cell>
          <cell r="DA45">
            <v>1.8</v>
          </cell>
          <cell r="DB45">
            <v>400</v>
          </cell>
          <cell r="DC45">
            <v>188</v>
          </cell>
          <cell r="DD45">
            <v>104</v>
          </cell>
          <cell r="DE45">
            <v>30</v>
          </cell>
          <cell r="DF45">
            <v>46</v>
          </cell>
          <cell r="DG45">
            <v>8</v>
          </cell>
          <cell r="DH45">
            <v>4</v>
          </cell>
          <cell r="DI45">
            <v>20</v>
          </cell>
        </row>
        <row r="46">
          <cell r="A46" t="str">
            <v>RS 106</v>
          </cell>
          <cell r="B46">
            <v>106</v>
          </cell>
          <cell r="C46" t="str">
            <v>S</v>
          </cell>
          <cell r="D46" t="str">
            <v>T</v>
          </cell>
          <cell r="E46" t="str">
            <v>Madziabango - Thabwa</v>
          </cell>
          <cell r="F46" t="str">
            <v>M01</v>
          </cell>
          <cell r="G46">
            <v>44</v>
          </cell>
          <cell r="H46">
            <v>11.7</v>
          </cell>
          <cell r="I46" t="str">
            <v>H</v>
          </cell>
          <cell r="J46" t="str">
            <v>CHIKWAWA</v>
          </cell>
          <cell r="K46">
            <v>9</v>
          </cell>
          <cell r="W46">
            <v>80</v>
          </cell>
          <cell r="X46" t="str">
            <v>DS</v>
          </cell>
          <cell r="Y46">
            <v>150</v>
          </cell>
          <cell r="Z46" t="str">
            <v>SB</v>
          </cell>
          <cell r="AA46">
            <v>100</v>
          </cell>
          <cell r="AB46" t="str">
            <v>GR</v>
          </cell>
          <cell r="AC46">
            <v>12</v>
          </cell>
          <cell r="AD46" t="str">
            <v>VR</v>
          </cell>
          <cell r="AM46">
            <v>1</v>
          </cell>
          <cell r="AN46" t="str">
            <v>never resealed</v>
          </cell>
          <cell r="BO46" t="str">
            <v>RS 106</v>
          </cell>
          <cell r="BP46">
            <v>11.7</v>
          </cell>
          <cell r="BQ46">
            <v>6</v>
          </cell>
          <cell r="BR46" t="str">
            <v>H</v>
          </cell>
          <cell r="BS46" t="str">
            <v>C</v>
          </cell>
          <cell r="BT46">
            <v>0</v>
          </cell>
          <cell r="BU46" t="str">
            <v>DS</v>
          </cell>
          <cell r="BV46" t="str">
            <v/>
          </cell>
          <cell r="BW46">
            <v>1</v>
          </cell>
          <cell r="BX46">
            <v>15</v>
          </cell>
          <cell r="BY46" t="str">
            <v/>
          </cell>
          <cell r="BZ46">
            <v>1</v>
          </cell>
          <cell r="CA46">
            <v>12</v>
          </cell>
          <cell r="CB46">
            <v>1.177</v>
          </cell>
          <cell r="CC46">
            <v>6.6103543854972013</v>
          </cell>
          <cell r="CD46">
            <v>80</v>
          </cell>
          <cell r="CE46">
            <v>50</v>
          </cell>
          <cell r="CF46">
            <v>35</v>
          </cell>
          <cell r="CG46">
            <v>45</v>
          </cell>
          <cell r="CH46">
            <v>15</v>
          </cell>
          <cell r="CI46">
            <v>23</v>
          </cell>
          <cell r="CJ46">
            <v>7.6666666666666675E-2</v>
          </cell>
          <cell r="CK46">
            <v>10</v>
          </cell>
          <cell r="CL46">
            <v>35</v>
          </cell>
          <cell r="CM46">
            <v>0.36049487179487183</v>
          </cell>
          <cell r="CN46">
            <v>0.36049487179487183</v>
          </cell>
          <cell r="CO46">
            <v>0</v>
          </cell>
          <cell r="CP46">
            <v>0</v>
          </cell>
          <cell r="CQ46">
            <v>6.9708492572920733</v>
          </cell>
          <cell r="CR46">
            <v>50</v>
          </cell>
          <cell r="CS46">
            <v>1</v>
          </cell>
          <cell r="CT46">
            <v>0</v>
          </cell>
          <cell r="CU46">
            <v>0</v>
          </cell>
          <cell r="CV46">
            <v>18</v>
          </cell>
          <cell r="CW46">
            <v>18</v>
          </cell>
          <cell r="CX46" t="str">
            <v/>
          </cell>
          <cell r="CY46">
            <v>1.5</v>
          </cell>
          <cell r="CZ46">
            <v>2</v>
          </cell>
          <cell r="DA46">
            <v>1.3</v>
          </cell>
          <cell r="DB46">
            <v>300</v>
          </cell>
          <cell r="DC46">
            <v>141</v>
          </cell>
          <cell r="DD46">
            <v>78</v>
          </cell>
          <cell r="DE46">
            <v>23</v>
          </cell>
          <cell r="DF46">
            <v>35</v>
          </cell>
          <cell r="DG46">
            <v>6</v>
          </cell>
          <cell r="DH46">
            <v>3</v>
          </cell>
          <cell r="DI46">
            <v>15</v>
          </cell>
        </row>
        <row r="47">
          <cell r="A47" t="str">
            <v>RS 102</v>
          </cell>
          <cell r="B47">
            <v>102</v>
          </cell>
          <cell r="C47" t="str">
            <v>S</v>
          </cell>
          <cell r="D47" t="str">
            <v>T</v>
          </cell>
          <cell r="E47" t="str">
            <v>Thabwa - Chikwawa</v>
          </cell>
          <cell r="F47" t="str">
            <v>M01</v>
          </cell>
          <cell r="G47">
            <v>45</v>
          </cell>
          <cell r="H47">
            <v>8.3000000000000007</v>
          </cell>
          <cell r="I47" t="str">
            <v>F</v>
          </cell>
          <cell r="J47" t="str">
            <v>CHIKWAWA</v>
          </cell>
          <cell r="K47">
            <v>9</v>
          </cell>
          <cell r="W47">
            <v>80</v>
          </cell>
          <cell r="X47" t="str">
            <v>DS</v>
          </cell>
          <cell r="Y47">
            <v>150</v>
          </cell>
          <cell r="Z47" t="str">
            <v>SB</v>
          </cell>
          <cell r="AA47">
            <v>100</v>
          </cell>
          <cell r="AB47" t="str">
            <v>GR</v>
          </cell>
          <cell r="AC47">
            <v>12</v>
          </cell>
          <cell r="AD47" t="str">
            <v>VR</v>
          </cell>
          <cell r="AM47">
            <v>1</v>
          </cell>
          <cell r="AN47" t="str">
            <v>never resealed</v>
          </cell>
          <cell r="BO47" t="str">
            <v>RS 102</v>
          </cell>
          <cell r="BP47">
            <v>8.3000000000000007</v>
          </cell>
          <cell r="BQ47">
            <v>6</v>
          </cell>
          <cell r="BR47" t="str">
            <v>F</v>
          </cell>
          <cell r="BS47" t="str">
            <v>C</v>
          </cell>
          <cell r="BT47">
            <v>0</v>
          </cell>
          <cell r="BU47" t="str">
            <v>DS</v>
          </cell>
          <cell r="BV47" t="str">
            <v/>
          </cell>
          <cell r="BW47">
            <v>1</v>
          </cell>
          <cell r="BX47">
            <v>15</v>
          </cell>
          <cell r="BY47" t="str">
            <v/>
          </cell>
          <cell r="BZ47">
            <v>1</v>
          </cell>
          <cell r="CA47">
            <v>12</v>
          </cell>
          <cell r="CB47">
            <v>1.177</v>
          </cell>
          <cell r="CC47">
            <v>8.3274964809384162</v>
          </cell>
          <cell r="CD47">
            <v>99</v>
          </cell>
          <cell r="CE47">
            <v>80</v>
          </cell>
          <cell r="CF47">
            <v>65</v>
          </cell>
          <cell r="CG47">
            <v>34</v>
          </cell>
          <cell r="CH47">
            <v>15</v>
          </cell>
          <cell r="CI47">
            <v>85</v>
          </cell>
          <cell r="CJ47">
            <v>0.28333333333333333</v>
          </cell>
          <cell r="CK47">
            <v>10</v>
          </cell>
          <cell r="CL47">
            <v>65</v>
          </cell>
          <cell r="CM47">
            <v>0.63701282051282049</v>
          </cell>
          <cell r="CN47">
            <v>0.63701282051282049</v>
          </cell>
          <cell r="CO47">
            <v>0</v>
          </cell>
          <cell r="CP47">
            <v>0</v>
          </cell>
          <cell r="CQ47">
            <v>8.9645093014512369</v>
          </cell>
          <cell r="CR47">
            <v>75</v>
          </cell>
          <cell r="CS47">
            <v>1</v>
          </cell>
          <cell r="CT47">
            <v>0</v>
          </cell>
          <cell r="CU47">
            <v>0</v>
          </cell>
          <cell r="CV47">
            <v>18</v>
          </cell>
          <cell r="CW47">
            <v>18</v>
          </cell>
          <cell r="CX47" t="str">
            <v/>
          </cell>
          <cell r="CY47">
            <v>1.2</v>
          </cell>
          <cell r="CZ47">
            <v>2</v>
          </cell>
          <cell r="DA47">
            <v>1.1000000000000001</v>
          </cell>
          <cell r="DB47">
            <v>500</v>
          </cell>
          <cell r="DC47">
            <v>235</v>
          </cell>
          <cell r="DD47">
            <v>130</v>
          </cell>
          <cell r="DE47">
            <v>38</v>
          </cell>
          <cell r="DF47">
            <v>58</v>
          </cell>
          <cell r="DG47">
            <v>10</v>
          </cell>
          <cell r="DH47">
            <v>5</v>
          </cell>
          <cell r="DI47">
            <v>25</v>
          </cell>
        </row>
        <row r="48">
          <cell r="A48" t="str">
            <v>RS 101</v>
          </cell>
          <cell r="B48">
            <v>101</v>
          </cell>
          <cell r="C48" t="str">
            <v>S</v>
          </cell>
          <cell r="D48" t="str">
            <v>T</v>
          </cell>
          <cell r="E48" t="str">
            <v>Chikwawa - Lengwe T/Off</v>
          </cell>
          <cell r="F48" t="str">
            <v>M01</v>
          </cell>
          <cell r="G48">
            <v>46</v>
          </cell>
          <cell r="H48">
            <v>18.7</v>
          </cell>
          <cell r="I48" t="str">
            <v>F</v>
          </cell>
          <cell r="J48" t="str">
            <v>CHIKWAWA</v>
          </cell>
          <cell r="K48">
            <v>9</v>
          </cell>
          <cell r="W48">
            <v>78</v>
          </cell>
          <cell r="X48" t="str">
            <v>SA</v>
          </cell>
          <cell r="Y48">
            <v>60</v>
          </cell>
          <cell r="Z48" t="str">
            <v>SB</v>
          </cell>
          <cell r="AA48">
            <v>150</v>
          </cell>
          <cell r="AB48" t="str">
            <v>GR</v>
          </cell>
          <cell r="AC48">
            <v>6</v>
          </cell>
          <cell r="AD48" t="str">
            <v>VR</v>
          </cell>
          <cell r="AE48">
            <v>83</v>
          </cell>
          <cell r="AF48" t="str">
            <v>RC</v>
          </cell>
          <cell r="AG48" t="str">
            <v>ST</v>
          </cell>
          <cell r="AH48">
            <v>15</v>
          </cell>
          <cell r="AI48">
            <v>98</v>
          </cell>
          <cell r="AJ48" t="str">
            <v>RC</v>
          </cell>
          <cell r="AK48" t="str">
            <v>DS</v>
          </cell>
          <cell r="AL48">
            <v>15</v>
          </cell>
          <cell r="AM48">
            <v>1</v>
          </cell>
          <cell r="AN48" t="str">
            <v>under reconstuction</v>
          </cell>
          <cell r="BO48" t="str">
            <v>RS 101</v>
          </cell>
          <cell r="BP48">
            <v>18.7</v>
          </cell>
          <cell r="BQ48" t="str">
            <v>n.a.</v>
          </cell>
          <cell r="BR48" t="str">
            <v>F</v>
          </cell>
          <cell r="BS48" t="str">
            <v>n.a.</v>
          </cell>
          <cell r="BT48">
            <v>0</v>
          </cell>
          <cell r="BU48" t="str">
            <v>DS</v>
          </cell>
          <cell r="BV48" t="str">
            <v/>
          </cell>
          <cell r="BW48">
            <v>1</v>
          </cell>
          <cell r="BX48">
            <v>15</v>
          </cell>
          <cell r="BY48" t="str">
            <v/>
          </cell>
          <cell r="BZ48">
            <v>1</v>
          </cell>
          <cell r="CA48">
            <v>6</v>
          </cell>
          <cell r="CB48">
            <v>1.6850000000000001</v>
          </cell>
          <cell r="CC48" t="str">
            <v>Under reconstruction 1998</v>
          </cell>
          <cell r="CX48" t="str">
            <v/>
          </cell>
          <cell r="CY48" t="str">
            <v>n.a.</v>
          </cell>
          <cell r="CZ48" t="str">
            <v>n.a.</v>
          </cell>
          <cell r="DA48" t="str">
            <v>n.a.</v>
          </cell>
          <cell r="DB48">
            <v>300</v>
          </cell>
          <cell r="DC48">
            <v>141</v>
          </cell>
          <cell r="DD48">
            <v>78</v>
          </cell>
          <cell r="DE48">
            <v>23</v>
          </cell>
          <cell r="DF48">
            <v>35</v>
          </cell>
          <cell r="DG48">
            <v>6</v>
          </cell>
          <cell r="DH48">
            <v>3</v>
          </cell>
          <cell r="DI48">
            <v>15</v>
          </cell>
        </row>
        <row r="49">
          <cell r="A49" t="str">
            <v>RS 103</v>
          </cell>
          <cell r="B49">
            <v>103</v>
          </cell>
          <cell r="C49" t="str">
            <v>S</v>
          </cell>
          <cell r="D49" t="str">
            <v>T</v>
          </cell>
          <cell r="E49" t="str">
            <v>Lengwe T/Off - Nchalo</v>
          </cell>
          <cell r="F49" t="str">
            <v>M01</v>
          </cell>
          <cell r="G49">
            <v>47</v>
          </cell>
          <cell r="H49">
            <v>8.5</v>
          </cell>
          <cell r="I49" t="str">
            <v>F</v>
          </cell>
          <cell r="J49" t="str">
            <v>CHIKWAWA</v>
          </cell>
          <cell r="K49">
            <v>9</v>
          </cell>
          <cell r="W49">
            <v>78</v>
          </cell>
          <cell r="X49" t="str">
            <v>SA</v>
          </cell>
          <cell r="Y49">
            <v>60</v>
          </cell>
          <cell r="Z49" t="str">
            <v>SB</v>
          </cell>
          <cell r="AA49">
            <v>150</v>
          </cell>
          <cell r="AB49" t="str">
            <v>GR</v>
          </cell>
          <cell r="AC49">
            <v>6</v>
          </cell>
          <cell r="AD49" t="str">
            <v>VR</v>
          </cell>
          <cell r="AE49">
            <v>83</v>
          </cell>
          <cell r="AF49" t="str">
            <v>RC</v>
          </cell>
          <cell r="AG49" t="str">
            <v>ST</v>
          </cell>
          <cell r="AH49">
            <v>15</v>
          </cell>
          <cell r="AI49">
            <v>98</v>
          </cell>
          <cell r="AJ49" t="str">
            <v>RC</v>
          </cell>
          <cell r="AK49" t="str">
            <v>DS</v>
          </cell>
          <cell r="AL49">
            <v>15</v>
          </cell>
          <cell r="AM49">
            <v>1</v>
          </cell>
          <cell r="AN49" t="str">
            <v>under reconstuction</v>
          </cell>
          <cell r="BO49" t="str">
            <v>RS 103</v>
          </cell>
          <cell r="BP49">
            <v>8.5</v>
          </cell>
          <cell r="BQ49" t="str">
            <v>n.a.</v>
          </cell>
          <cell r="BR49" t="str">
            <v>F</v>
          </cell>
          <cell r="BS49" t="str">
            <v>n.a.</v>
          </cell>
          <cell r="BT49">
            <v>0</v>
          </cell>
          <cell r="BU49" t="str">
            <v>DS</v>
          </cell>
          <cell r="BV49" t="str">
            <v/>
          </cell>
          <cell r="BW49">
            <v>1</v>
          </cell>
          <cell r="BX49">
            <v>15</v>
          </cell>
          <cell r="BY49" t="str">
            <v/>
          </cell>
          <cell r="BZ49">
            <v>1</v>
          </cell>
          <cell r="CA49">
            <v>6</v>
          </cell>
          <cell r="CB49">
            <v>1.6850000000000001</v>
          </cell>
          <cell r="CC49" t="str">
            <v>Under reconstruction 1998</v>
          </cell>
          <cell r="CX49" t="str">
            <v/>
          </cell>
          <cell r="CY49" t="str">
            <v>n.a.</v>
          </cell>
          <cell r="CZ49" t="str">
            <v>n.a.</v>
          </cell>
          <cell r="DA49" t="str">
            <v>n.a.</v>
          </cell>
          <cell r="DB49">
            <v>300</v>
          </cell>
          <cell r="DC49">
            <v>141</v>
          </cell>
          <cell r="DD49">
            <v>78</v>
          </cell>
          <cell r="DE49">
            <v>23</v>
          </cell>
          <cell r="DF49">
            <v>35</v>
          </cell>
          <cell r="DG49">
            <v>6</v>
          </cell>
          <cell r="DH49">
            <v>3</v>
          </cell>
          <cell r="DI49">
            <v>15</v>
          </cell>
        </row>
        <row r="50">
          <cell r="A50" t="str">
            <v>RS 099</v>
          </cell>
          <cell r="B50">
            <v>99</v>
          </cell>
          <cell r="C50" t="str">
            <v>S</v>
          </cell>
          <cell r="D50" t="str">
            <v>T</v>
          </cell>
          <cell r="E50" t="str">
            <v>Nchalo - Gama</v>
          </cell>
          <cell r="F50" t="str">
            <v>M01</v>
          </cell>
          <cell r="G50">
            <v>48</v>
          </cell>
          <cell r="H50">
            <v>16.899999999999999</v>
          </cell>
          <cell r="I50" t="str">
            <v>F</v>
          </cell>
          <cell r="J50" t="str">
            <v>CHIKWAWA</v>
          </cell>
          <cell r="K50">
            <v>10</v>
          </cell>
          <cell r="W50">
            <v>78</v>
          </cell>
          <cell r="X50" t="str">
            <v>SA</v>
          </cell>
          <cell r="Y50">
            <v>60</v>
          </cell>
          <cell r="Z50" t="str">
            <v>SB</v>
          </cell>
          <cell r="AA50">
            <v>150</v>
          </cell>
          <cell r="AB50" t="str">
            <v>GR</v>
          </cell>
          <cell r="AC50">
            <v>6</v>
          </cell>
          <cell r="AD50" t="str">
            <v>VR</v>
          </cell>
          <cell r="AE50">
            <v>83</v>
          </cell>
          <cell r="AF50" t="str">
            <v>RC</v>
          </cell>
          <cell r="AG50" t="str">
            <v>ST</v>
          </cell>
          <cell r="AH50">
            <v>15</v>
          </cell>
          <cell r="AI50">
            <v>98</v>
          </cell>
          <cell r="AJ50" t="str">
            <v>RC</v>
          </cell>
          <cell r="AK50" t="str">
            <v>DS</v>
          </cell>
          <cell r="AL50">
            <v>15</v>
          </cell>
          <cell r="AM50">
            <v>1</v>
          </cell>
          <cell r="AN50" t="str">
            <v>under reconstuction</v>
          </cell>
          <cell r="BO50" t="str">
            <v>RS 099</v>
          </cell>
          <cell r="BP50">
            <v>16.899999999999999</v>
          </cell>
          <cell r="BQ50" t="str">
            <v>n.a.</v>
          </cell>
          <cell r="BR50" t="str">
            <v>F</v>
          </cell>
          <cell r="BS50" t="str">
            <v>n.a.</v>
          </cell>
          <cell r="BT50">
            <v>0</v>
          </cell>
          <cell r="BU50" t="str">
            <v>DS</v>
          </cell>
          <cell r="BV50" t="str">
            <v/>
          </cell>
          <cell r="BW50">
            <v>1</v>
          </cell>
          <cell r="BX50">
            <v>15</v>
          </cell>
          <cell r="BY50" t="str">
            <v/>
          </cell>
          <cell r="BZ50">
            <v>1</v>
          </cell>
          <cell r="CA50">
            <v>6</v>
          </cell>
          <cell r="CB50">
            <v>1.6850000000000001</v>
          </cell>
          <cell r="CC50" t="str">
            <v>Under reconstruction 1998</v>
          </cell>
          <cell r="CX50" t="str">
            <v/>
          </cell>
          <cell r="CY50" t="str">
            <v>n.a.</v>
          </cell>
          <cell r="CZ50" t="str">
            <v>n.a.</v>
          </cell>
          <cell r="DA50" t="str">
            <v>n.a.</v>
          </cell>
          <cell r="DB50">
            <v>300</v>
          </cell>
          <cell r="DC50">
            <v>141</v>
          </cell>
          <cell r="DD50">
            <v>78</v>
          </cell>
          <cell r="DE50">
            <v>23</v>
          </cell>
          <cell r="DF50">
            <v>35</v>
          </cell>
          <cell r="DG50">
            <v>6</v>
          </cell>
          <cell r="DH50">
            <v>3</v>
          </cell>
          <cell r="DI50">
            <v>15</v>
          </cell>
        </row>
        <row r="51">
          <cell r="A51" t="str">
            <v>RS 100</v>
          </cell>
          <cell r="B51">
            <v>100</v>
          </cell>
          <cell r="C51" t="str">
            <v>S</v>
          </cell>
          <cell r="D51" t="str">
            <v>T</v>
          </cell>
          <cell r="E51" t="str">
            <v>Gama - Ngabu</v>
          </cell>
          <cell r="F51" t="str">
            <v>M01</v>
          </cell>
          <cell r="G51">
            <v>49</v>
          </cell>
          <cell r="H51">
            <v>7</v>
          </cell>
          <cell r="I51" t="str">
            <v>R</v>
          </cell>
          <cell r="J51" t="str">
            <v>CHIKWAWA</v>
          </cell>
          <cell r="K51">
            <v>10</v>
          </cell>
          <cell r="W51">
            <v>78</v>
          </cell>
          <cell r="X51" t="str">
            <v>SA</v>
          </cell>
          <cell r="Y51">
            <v>60</v>
          </cell>
          <cell r="Z51" t="str">
            <v>SB</v>
          </cell>
          <cell r="AA51">
            <v>150</v>
          </cell>
          <cell r="AB51" t="str">
            <v>GR</v>
          </cell>
          <cell r="AC51">
            <v>6</v>
          </cell>
          <cell r="AD51" t="str">
            <v>VR</v>
          </cell>
          <cell r="AE51">
            <v>83</v>
          </cell>
          <cell r="AF51" t="str">
            <v>RC</v>
          </cell>
          <cell r="AG51" t="str">
            <v>ST</v>
          </cell>
          <cell r="AH51">
            <v>15</v>
          </cell>
          <cell r="AM51">
            <v>1</v>
          </cell>
          <cell r="BO51" t="str">
            <v>RS 100</v>
          </cell>
          <cell r="BP51">
            <v>7</v>
          </cell>
          <cell r="BQ51" t="str">
            <v>n.a.</v>
          </cell>
          <cell r="BR51" t="str">
            <v>R</v>
          </cell>
          <cell r="BS51" t="str">
            <v>n.a.</v>
          </cell>
          <cell r="BT51">
            <v>0</v>
          </cell>
          <cell r="BU51" t="str">
            <v>ST</v>
          </cell>
          <cell r="BV51" t="str">
            <v/>
          </cell>
          <cell r="BW51">
            <v>1</v>
          </cell>
          <cell r="BX51">
            <v>10</v>
          </cell>
          <cell r="BY51" t="str">
            <v/>
          </cell>
          <cell r="BZ51">
            <v>1</v>
          </cell>
          <cell r="CA51">
            <v>6</v>
          </cell>
          <cell r="CB51">
            <v>1.6850000000000001</v>
          </cell>
          <cell r="CC51" t="str">
            <v>Under reconstruction 1998</v>
          </cell>
          <cell r="CX51" t="str">
            <v/>
          </cell>
          <cell r="CY51" t="str">
            <v>n.a.</v>
          </cell>
          <cell r="CZ51" t="str">
            <v>n.a.</v>
          </cell>
          <cell r="DA51" t="str">
            <v>n.a.</v>
          </cell>
          <cell r="DB51">
            <v>300</v>
          </cell>
          <cell r="DC51">
            <v>141</v>
          </cell>
          <cell r="DD51">
            <v>78</v>
          </cell>
          <cell r="DE51">
            <v>23</v>
          </cell>
          <cell r="DF51">
            <v>35</v>
          </cell>
          <cell r="DG51">
            <v>6</v>
          </cell>
          <cell r="DH51">
            <v>3</v>
          </cell>
          <cell r="DI51">
            <v>15</v>
          </cell>
        </row>
        <row r="52">
          <cell r="A52" t="str">
            <v>RS 097</v>
          </cell>
          <cell r="B52">
            <v>97</v>
          </cell>
          <cell r="C52" t="str">
            <v>S</v>
          </cell>
          <cell r="D52" t="str">
            <v>T</v>
          </cell>
          <cell r="E52" t="str">
            <v>Ngabu - Lalanje River</v>
          </cell>
          <cell r="F52" t="str">
            <v>M01</v>
          </cell>
          <cell r="G52">
            <v>50</v>
          </cell>
          <cell r="H52">
            <v>17.399999999999999</v>
          </cell>
          <cell r="I52" t="str">
            <v>F</v>
          </cell>
          <cell r="J52" t="str">
            <v>CHIKWAWA</v>
          </cell>
          <cell r="K52">
            <v>10</v>
          </cell>
          <cell r="W52">
            <v>78</v>
          </cell>
          <cell r="X52" t="str">
            <v>SA</v>
          </cell>
          <cell r="Y52">
            <v>60</v>
          </cell>
          <cell r="Z52" t="str">
            <v>SB</v>
          </cell>
          <cell r="AA52">
            <v>150</v>
          </cell>
          <cell r="AB52" t="str">
            <v>GR</v>
          </cell>
          <cell r="AC52">
            <v>6</v>
          </cell>
          <cell r="AD52" t="str">
            <v>VR</v>
          </cell>
          <cell r="AE52">
            <v>83</v>
          </cell>
          <cell r="AF52" t="str">
            <v>RC</v>
          </cell>
          <cell r="AG52" t="str">
            <v>ST</v>
          </cell>
          <cell r="AH52">
            <v>15</v>
          </cell>
          <cell r="AM52">
            <v>1</v>
          </cell>
          <cell r="BO52" t="str">
            <v>RS 097</v>
          </cell>
          <cell r="BP52">
            <v>17.399999999999999</v>
          </cell>
          <cell r="BQ52">
            <v>6</v>
          </cell>
          <cell r="BR52" t="str">
            <v>F</v>
          </cell>
          <cell r="BS52" t="str">
            <v>C</v>
          </cell>
          <cell r="BT52">
            <v>25</v>
          </cell>
          <cell r="BU52" t="str">
            <v>ST</v>
          </cell>
          <cell r="BV52" t="str">
            <v/>
          </cell>
          <cell r="BW52">
            <v>1</v>
          </cell>
          <cell r="BX52">
            <v>10</v>
          </cell>
          <cell r="BY52" t="str">
            <v/>
          </cell>
          <cell r="BZ52">
            <v>1</v>
          </cell>
          <cell r="CA52">
            <v>6</v>
          </cell>
          <cell r="CB52">
            <v>1.6850000000000001</v>
          </cell>
          <cell r="CC52">
            <v>7</v>
          </cell>
          <cell r="CD52">
            <v>80</v>
          </cell>
          <cell r="CE52">
            <v>65</v>
          </cell>
          <cell r="CF52">
            <v>50</v>
          </cell>
          <cell r="CG52">
            <v>30</v>
          </cell>
          <cell r="CH52">
            <v>15</v>
          </cell>
          <cell r="CI52">
            <v>95</v>
          </cell>
          <cell r="CJ52">
            <v>0.31666666666666665</v>
          </cell>
          <cell r="CK52">
            <v>10</v>
          </cell>
          <cell r="CL52">
            <v>50</v>
          </cell>
          <cell r="CM52">
            <v>0.55037179487179477</v>
          </cell>
          <cell r="CN52">
            <v>0.55037179487179477</v>
          </cell>
          <cell r="CO52">
            <v>0</v>
          </cell>
          <cell r="CP52">
            <v>0</v>
          </cell>
          <cell r="CQ52">
            <v>7.5503717948717952</v>
          </cell>
          <cell r="CR52">
            <v>50</v>
          </cell>
          <cell r="CS52">
            <v>1</v>
          </cell>
          <cell r="CT52">
            <v>0</v>
          </cell>
          <cell r="CU52">
            <v>0</v>
          </cell>
          <cell r="CV52">
            <v>15</v>
          </cell>
          <cell r="CW52">
            <v>15</v>
          </cell>
          <cell r="CX52" t="str">
            <v/>
          </cell>
          <cell r="CY52">
            <v>2</v>
          </cell>
          <cell r="CZ52">
            <v>2</v>
          </cell>
          <cell r="DA52">
            <v>2</v>
          </cell>
          <cell r="DB52">
            <v>200</v>
          </cell>
          <cell r="DC52">
            <v>94</v>
          </cell>
          <cell r="DD52">
            <v>52</v>
          </cell>
          <cell r="DE52">
            <v>15</v>
          </cell>
          <cell r="DF52">
            <v>23</v>
          </cell>
          <cell r="DG52">
            <v>4</v>
          </cell>
          <cell r="DH52">
            <v>2</v>
          </cell>
          <cell r="DI52">
            <v>10</v>
          </cell>
        </row>
        <row r="53">
          <cell r="A53" t="str">
            <v>RS 091</v>
          </cell>
          <cell r="B53">
            <v>91</v>
          </cell>
          <cell r="C53" t="str">
            <v>S</v>
          </cell>
          <cell r="D53" t="str">
            <v>T</v>
          </cell>
          <cell r="E53" t="str">
            <v>Lalanje River - Thangadzi River</v>
          </cell>
          <cell r="F53" t="str">
            <v>M01</v>
          </cell>
          <cell r="G53">
            <v>51</v>
          </cell>
          <cell r="H53">
            <v>9.1999999999999993</v>
          </cell>
          <cell r="I53" t="str">
            <v>H</v>
          </cell>
          <cell r="J53" t="str">
            <v>CHIKWAWA</v>
          </cell>
          <cell r="K53">
            <v>10</v>
          </cell>
          <cell r="W53">
            <v>76</v>
          </cell>
          <cell r="X53" t="str">
            <v>SA</v>
          </cell>
          <cell r="Y53">
            <v>60</v>
          </cell>
          <cell r="Z53" t="str">
            <v>SB</v>
          </cell>
          <cell r="AA53">
            <v>150</v>
          </cell>
          <cell r="AB53" t="str">
            <v>GR</v>
          </cell>
          <cell r="AC53">
            <v>6</v>
          </cell>
          <cell r="AD53" t="str">
            <v>VR</v>
          </cell>
          <cell r="AE53">
            <v>83</v>
          </cell>
          <cell r="AF53" t="str">
            <v>RC</v>
          </cell>
          <cell r="AG53" t="str">
            <v>ST</v>
          </cell>
          <cell r="AH53">
            <v>15</v>
          </cell>
          <cell r="AM53">
            <v>1</v>
          </cell>
          <cell r="BO53" t="str">
            <v>RS 091</v>
          </cell>
          <cell r="BP53">
            <v>9.1999999999999993</v>
          </cell>
          <cell r="BQ53">
            <v>6</v>
          </cell>
          <cell r="BR53" t="str">
            <v>H</v>
          </cell>
          <cell r="BS53" t="str">
            <v>C</v>
          </cell>
          <cell r="BT53">
            <v>25</v>
          </cell>
          <cell r="BU53" t="str">
            <v>ST</v>
          </cell>
          <cell r="BV53" t="str">
            <v/>
          </cell>
          <cell r="BW53">
            <v>1</v>
          </cell>
          <cell r="BX53">
            <v>10</v>
          </cell>
          <cell r="BY53" t="str">
            <v/>
          </cell>
          <cell r="BZ53">
            <v>1</v>
          </cell>
          <cell r="CA53">
            <v>6</v>
          </cell>
          <cell r="CB53">
            <v>1.6850000000000001</v>
          </cell>
          <cell r="CC53">
            <v>7</v>
          </cell>
          <cell r="CD53">
            <v>85</v>
          </cell>
          <cell r="CE53">
            <v>70</v>
          </cell>
          <cell r="CF53">
            <v>55</v>
          </cell>
          <cell r="CG53">
            <v>30</v>
          </cell>
          <cell r="CH53">
            <v>15</v>
          </cell>
          <cell r="CI53">
            <v>105</v>
          </cell>
          <cell r="CJ53">
            <v>0.35000000000000003</v>
          </cell>
          <cell r="CK53">
            <v>10</v>
          </cell>
          <cell r="CL53">
            <v>55</v>
          </cell>
          <cell r="CM53">
            <v>0.59603846153846152</v>
          </cell>
          <cell r="CN53">
            <v>0.59603846153846152</v>
          </cell>
          <cell r="CO53">
            <v>0</v>
          </cell>
          <cell r="CP53">
            <v>0</v>
          </cell>
          <cell r="CQ53">
            <v>7.5960384615384617</v>
          </cell>
          <cell r="CR53">
            <v>50</v>
          </cell>
          <cell r="CS53">
            <v>1</v>
          </cell>
          <cell r="CT53">
            <v>0</v>
          </cell>
          <cell r="CU53">
            <v>0</v>
          </cell>
          <cell r="CV53">
            <v>15</v>
          </cell>
          <cell r="CW53">
            <v>15</v>
          </cell>
          <cell r="CX53" t="str">
            <v/>
          </cell>
          <cell r="CY53">
            <v>2</v>
          </cell>
          <cell r="CZ53">
            <v>2</v>
          </cell>
          <cell r="DA53">
            <v>2</v>
          </cell>
          <cell r="DB53">
            <v>200</v>
          </cell>
          <cell r="DC53">
            <v>94</v>
          </cell>
          <cell r="DD53">
            <v>52</v>
          </cell>
          <cell r="DE53">
            <v>15</v>
          </cell>
          <cell r="DF53">
            <v>23</v>
          </cell>
          <cell r="DG53">
            <v>4</v>
          </cell>
          <cell r="DH53">
            <v>2</v>
          </cell>
          <cell r="DI53">
            <v>10</v>
          </cell>
        </row>
        <row r="54">
          <cell r="A54" t="str">
            <v>RS 315</v>
          </cell>
          <cell r="B54">
            <v>137</v>
          </cell>
          <cell r="C54" t="str">
            <v>S</v>
          </cell>
          <cell r="D54" t="str">
            <v>T</v>
          </cell>
          <cell r="E54" t="str">
            <v>Thangadzi River - Bangula</v>
          </cell>
          <cell r="F54" t="str">
            <v>M01</v>
          </cell>
          <cell r="G54">
            <v>52</v>
          </cell>
          <cell r="H54">
            <v>5.2</v>
          </cell>
          <cell r="I54" t="str">
            <v>F</v>
          </cell>
          <cell r="J54" t="str">
            <v>NSANJE</v>
          </cell>
          <cell r="K54">
            <v>10</v>
          </cell>
          <cell r="W54">
            <v>76</v>
          </cell>
          <cell r="X54" t="str">
            <v>SA</v>
          </cell>
          <cell r="Y54">
            <v>60</v>
          </cell>
          <cell r="Z54" t="str">
            <v>SB</v>
          </cell>
          <cell r="AA54">
            <v>150</v>
          </cell>
          <cell r="AB54" t="str">
            <v>GR</v>
          </cell>
          <cell r="AC54">
            <v>6</v>
          </cell>
          <cell r="AD54" t="str">
            <v>VR</v>
          </cell>
          <cell r="AE54">
            <v>83</v>
          </cell>
          <cell r="AF54" t="str">
            <v>RC</v>
          </cell>
          <cell r="AG54" t="str">
            <v>ST</v>
          </cell>
          <cell r="AH54">
            <v>15</v>
          </cell>
          <cell r="AM54">
            <v>1</v>
          </cell>
          <cell r="BO54" t="str">
            <v>RS 315</v>
          </cell>
          <cell r="BP54">
            <v>5.2</v>
          </cell>
          <cell r="BQ54">
            <v>6</v>
          </cell>
          <cell r="BR54" t="str">
            <v>H</v>
          </cell>
          <cell r="BS54" t="str">
            <v>C</v>
          </cell>
          <cell r="BT54">
            <v>25</v>
          </cell>
          <cell r="BU54" t="str">
            <v>ST</v>
          </cell>
          <cell r="BV54" t="str">
            <v/>
          </cell>
          <cell r="BW54">
            <v>1</v>
          </cell>
          <cell r="BX54">
            <v>10</v>
          </cell>
          <cell r="BY54" t="str">
            <v/>
          </cell>
          <cell r="BZ54">
            <v>1</v>
          </cell>
          <cell r="CA54">
            <v>6</v>
          </cell>
          <cell r="CB54">
            <v>1.6850000000000001</v>
          </cell>
          <cell r="CC54">
            <v>7</v>
          </cell>
          <cell r="CD54">
            <v>85</v>
          </cell>
          <cell r="CE54">
            <v>70</v>
          </cell>
          <cell r="CF54">
            <v>55</v>
          </cell>
          <cell r="CG54">
            <v>30</v>
          </cell>
          <cell r="CH54">
            <v>15</v>
          </cell>
          <cell r="CI54">
            <v>105</v>
          </cell>
          <cell r="CJ54">
            <v>0.35000000000000003</v>
          </cell>
          <cell r="CK54">
            <v>10</v>
          </cell>
          <cell r="CL54">
            <v>55</v>
          </cell>
          <cell r="CM54">
            <v>0.59603846153846152</v>
          </cell>
          <cell r="CN54">
            <v>0.59603846153846152</v>
          </cell>
          <cell r="CO54">
            <v>0</v>
          </cell>
          <cell r="CP54">
            <v>0</v>
          </cell>
          <cell r="CQ54">
            <v>7.5960384615384617</v>
          </cell>
          <cell r="CR54">
            <v>50</v>
          </cell>
          <cell r="CS54">
            <v>1</v>
          </cell>
          <cell r="CT54">
            <v>0</v>
          </cell>
          <cell r="CU54">
            <v>0</v>
          </cell>
          <cell r="CV54">
            <v>15</v>
          </cell>
          <cell r="CW54">
            <v>15</v>
          </cell>
          <cell r="CX54" t="str">
            <v/>
          </cell>
          <cell r="CY54">
            <v>2</v>
          </cell>
          <cell r="CZ54">
            <v>2</v>
          </cell>
          <cell r="DA54">
            <v>2</v>
          </cell>
          <cell r="DB54">
            <v>220</v>
          </cell>
          <cell r="DC54">
            <v>104</v>
          </cell>
          <cell r="DD54">
            <v>58</v>
          </cell>
          <cell r="DE54">
            <v>17</v>
          </cell>
          <cell r="DF54">
            <v>26</v>
          </cell>
          <cell r="DG54">
            <v>5</v>
          </cell>
          <cell r="DH54">
            <v>3</v>
          </cell>
          <cell r="DI54">
            <v>11</v>
          </cell>
        </row>
        <row r="55">
          <cell r="A55" t="str">
            <v>RS 115</v>
          </cell>
          <cell r="B55">
            <v>115</v>
          </cell>
          <cell r="C55" t="str">
            <v>S</v>
          </cell>
          <cell r="D55" t="str">
            <v>T</v>
          </cell>
          <cell r="E55" t="str">
            <v>Limbe - Chigumula</v>
          </cell>
          <cell r="F55" t="str">
            <v>M02</v>
          </cell>
          <cell r="G55">
            <v>1</v>
          </cell>
          <cell r="H55">
            <v>9.4</v>
          </cell>
          <cell r="I55" t="str">
            <v>R</v>
          </cell>
          <cell r="J55" t="str">
            <v>BLANTYRE</v>
          </cell>
          <cell r="K55">
            <v>9</v>
          </cell>
          <cell r="W55">
            <v>60</v>
          </cell>
          <cell r="X55" t="str">
            <v>GM</v>
          </cell>
          <cell r="Y55">
            <v>150</v>
          </cell>
          <cell r="Z55" t="str">
            <v>SB</v>
          </cell>
          <cell r="AA55">
            <v>125</v>
          </cell>
          <cell r="AB55" t="str">
            <v>GR</v>
          </cell>
          <cell r="AC55">
            <v>12</v>
          </cell>
          <cell r="AD55" t="str">
            <v>VR</v>
          </cell>
          <cell r="AE55">
            <v>99</v>
          </cell>
          <cell r="AF55" t="str">
            <v>RC</v>
          </cell>
          <cell r="AG55" t="str">
            <v>ST</v>
          </cell>
          <cell r="AH55">
            <v>15</v>
          </cell>
          <cell r="AM55">
            <v>1</v>
          </cell>
          <cell r="AN55" t="str">
            <v>reconstruct 1999</v>
          </cell>
          <cell r="BO55" t="str">
            <v>RS 115</v>
          </cell>
          <cell r="BP55">
            <v>9.4</v>
          </cell>
          <cell r="BQ55">
            <v>3</v>
          </cell>
          <cell r="BR55" t="str">
            <v>R</v>
          </cell>
          <cell r="BS55" t="str">
            <v>C</v>
          </cell>
          <cell r="BT55">
            <v>0</v>
          </cell>
          <cell r="BU55" t="str">
            <v>ST</v>
          </cell>
          <cell r="BV55" t="str">
            <v/>
          </cell>
          <cell r="BW55">
            <v>1</v>
          </cell>
          <cell r="BX55">
            <v>10</v>
          </cell>
          <cell r="BY55" t="str">
            <v/>
          </cell>
          <cell r="BZ55">
            <v>1</v>
          </cell>
          <cell r="CA55">
            <v>12</v>
          </cell>
          <cell r="CB55">
            <v>1.9</v>
          </cell>
          <cell r="CC55" t="str">
            <v>To be reconstructed 1999</v>
          </cell>
          <cell r="CV55">
            <v>-1</v>
          </cell>
          <cell r="CW55">
            <v>-1</v>
          </cell>
          <cell r="CX55" t="str">
            <v/>
          </cell>
          <cell r="CY55">
            <v>3</v>
          </cell>
          <cell r="CZ55">
            <v>2</v>
          </cell>
          <cell r="DA55">
            <v>1.5</v>
          </cell>
          <cell r="DB55">
            <v>1700</v>
          </cell>
          <cell r="DC55">
            <v>799</v>
          </cell>
          <cell r="DD55">
            <v>442</v>
          </cell>
          <cell r="DE55">
            <v>128</v>
          </cell>
          <cell r="DF55">
            <v>196</v>
          </cell>
          <cell r="DG55">
            <v>34</v>
          </cell>
          <cell r="DH55">
            <v>17</v>
          </cell>
          <cell r="DI55">
            <v>85</v>
          </cell>
        </row>
        <row r="56">
          <cell r="A56" t="str">
            <v>RS 112</v>
          </cell>
          <cell r="B56">
            <v>112</v>
          </cell>
          <cell r="C56" t="str">
            <v>S</v>
          </cell>
          <cell r="D56" t="str">
            <v>T</v>
          </cell>
          <cell r="E56" t="str">
            <v>Chigumula - Nantipwili River</v>
          </cell>
          <cell r="F56" t="str">
            <v>M02</v>
          </cell>
          <cell r="G56">
            <v>2</v>
          </cell>
          <cell r="H56">
            <v>2.6</v>
          </cell>
          <cell r="I56" t="str">
            <v>R</v>
          </cell>
          <cell r="J56" t="str">
            <v>BLANTYRE</v>
          </cell>
          <cell r="K56">
            <v>9</v>
          </cell>
          <cell r="W56">
            <v>60</v>
          </cell>
          <cell r="X56" t="str">
            <v>GM</v>
          </cell>
          <cell r="Y56">
            <v>150</v>
          </cell>
          <cell r="Z56" t="str">
            <v>SB</v>
          </cell>
          <cell r="AA56">
            <v>125</v>
          </cell>
          <cell r="AB56" t="str">
            <v>GR</v>
          </cell>
          <cell r="AC56">
            <v>12</v>
          </cell>
          <cell r="AD56" t="str">
            <v>VR</v>
          </cell>
          <cell r="AE56">
            <v>99</v>
          </cell>
          <cell r="AF56" t="str">
            <v>RC</v>
          </cell>
          <cell r="AG56" t="str">
            <v>ST</v>
          </cell>
          <cell r="AH56">
            <v>15</v>
          </cell>
          <cell r="AM56">
            <v>1</v>
          </cell>
          <cell r="AN56" t="str">
            <v>reconstruct 1999</v>
          </cell>
          <cell r="BO56" t="str">
            <v>RS 112</v>
          </cell>
          <cell r="BP56">
            <v>2.6</v>
          </cell>
          <cell r="BQ56" t="str">
            <v>n.a.</v>
          </cell>
          <cell r="BR56" t="str">
            <v>R</v>
          </cell>
          <cell r="BS56" t="str">
            <v>X</v>
          </cell>
          <cell r="BT56">
            <v>80</v>
          </cell>
          <cell r="BU56" t="str">
            <v>ST</v>
          </cell>
          <cell r="BV56" t="str">
            <v/>
          </cell>
          <cell r="BW56">
            <v>1</v>
          </cell>
          <cell r="BX56">
            <v>10</v>
          </cell>
          <cell r="BY56" t="str">
            <v/>
          </cell>
          <cell r="BZ56">
            <v>1</v>
          </cell>
          <cell r="CA56">
            <v>12</v>
          </cell>
          <cell r="CB56">
            <v>1.9</v>
          </cell>
          <cell r="CC56" t="str">
            <v>Bitumen surface removed. To be re-constructed 1999</v>
          </cell>
          <cell r="CV56">
            <v>-1</v>
          </cell>
          <cell r="CW56">
            <v>-1</v>
          </cell>
          <cell r="CX56" t="str">
            <v/>
          </cell>
          <cell r="CY56" t="str">
            <v>n.a.</v>
          </cell>
          <cell r="CZ56" t="str">
            <v>n.a.</v>
          </cell>
          <cell r="DA56">
            <v>1.5</v>
          </cell>
          <cell r="DB56">
            <v>1600</v>
          </cell>
          <cell r="DC56">
            <v>752</v>
          </cell>
          <cell r="DD56">
            <v>416</v>
          </cell>
          <cell r="DE56">
            <v>120</v>
          </cell>
          <cell r="DF56">
            <v>184</v>
          </cell>
          <cell r="DG56">
            <v>32</v>
          </cell>
          <cell r="DH56">
            <v>16</v>
          </cell>
          <cell r="DI56">
            <v>80</v>
          </cell>
        </row>
        <row r="57">
          <cell r="A57" t="str">
            <v>RS 110</v>
          </cell>
          <cell r="B57">
            <v>110</v>
          </cell>
          <cell r="C57" t="str">
            <v>S</v>
          </cell>
          <cell r="D57" t="str">
            <v>T</v>
          </cell>
          <cell r="E57" t="str">
            <v>Bvumbwe - Thunga</v>
          </cell>
          <cell r="F57" t="str">
            <v>M02</v>
          </cell>
          <cell r="G57">
            <v>3</v>
          </cell>
          <cell r="H57">
            <v>9.3000000000000007</v>
          </cell>
          <cell r="I57" t="str">
            <v>F</v>
          </cell>
          <cell r="J57" t="str">
            <v>THYOLO</v>
          </cell>
          <cell r="K57">
            <v>9</v>
          </cell>
          <cell r="W57">
            <v>60</v>
          </cell>
          <cell r="X57" t="str">
            <v>GM</v>
          </cell>
          <cell r="Y57">
            <v>150</v>
          </cell>
          <cell r="Z57" t="str">
            <v>SB</v>
          </cell>
          <cell r="AA57">
            <v>125</v>
          </cell>
          <cell r="AB57" t="str">
            <v>GR</v>
          </cell>
          <cell r="AC57">
            <v>12</v>
          </cell>
          <cell r="AD57" t="str">
            <v>VR</v>
          </cell>
          <cell r="AE57">
            <v>99</v>
          </cell>
          <cell r="AF57" t="str">
            <v>RC</v>
          </cell>
          <cell r="AG57" t="str">
            <v>ST</v>
          </cell>
          <cell r="AH57">
            <v>15</v>
          </cell>
          <cell r="AM57">
            <v>1</v>
          </cell>
          <cell r="AN57" t="str">
            <v>reconstruct 1999</v>
          </cell>
          <cell r="BO57" t="str">
            <v>RS 110</v>
          </cell>
          <cell r="BP57">
            <v>9.3000000000000007</v>
          </cell>
          <cell r="BQ57" t="str">
            <v>n.a.</v>
          </cell>
          <cell r="BR57" t="str">
            <v>F</v>
          </cell>
          <cell r="BS57" t="str">
            <v>X</v>
          </cell>
          <cell r="BT57">
            <v>80</v>
          </cell>
          <cell r="BU57" t="str">
            <v>ST</v>
          </cell>
          <cell r="BV57" t="str">
            <v/>
          </cell>
          <cell r="BW57">
            <v>1</v>
          </cell>
          <cell r="BX57">
            <v>10</v>
          </cell>
          <cell r="BY57" t="str">
            <v/>
          </cell>
          <cell r="BZ57">
            <v>1</v>
          </cell>
          <cell r="CA57">
            <v>12</v>
          </cell>
          <cell r="CB57">
            <v>1.9</v>
          </cell>
          <cell r="CC57" t="str">
            <v>Bitumen surface removed. To be re-constructed 1999</v>
          </cell>
          <cell r="CV57">
            <v>-1</v>
          </cell>
          <cell r="CW57">
            <v>-1</v>
          </cell>
          <cell r="CX57" t="str">
            <v/>
          </cell>
          <cell r="CY57" t="str">
            <v>n.a.</v>
          </cell>
          <cell r="CZ57" t="str">
            <v>n.a.</v>
          </cell>
          <cell r="DA57">
            <v>1.5</v>
          </cell>
          <cell r="DB57">
            <v>1000</v>
          </cell>
          <cell r="DC57">
            <v>470</v>
          </cell>
          <cell r="DD57">
            <v>260</v>
          </cell>
          <cell r="DE57">
            <v>75</v>
          </cell>
          <cell r="DF57">
            <v>115</v>
          </cell>
          <cell r="DG57">
            <v>20</v>
          </cell>
          <cell r="DH57">
            <v>10</v>
          </cell>
          <cell r="DI57">
            <v>50</v>
          </cell>
        </row>
        <row r="58">
          <cell r="A58" t="str">
            <v>RS 117</v>
          </cell>
          <cell r="B58">
            <v>117</v>
          </cell>
          <cell r="C58" t="str">
            <v>S</v>
          </cell>
          <cell r="D58" t="str">
            <v>T</v>
          </cell>
          <cell r="E58" t="str">
            <v>Thunga - Thyolo</v>
          </cell>
          <cell r="F58" t="str">
            <v>M02</v>
          </cell>
          <cell r="G58">
            <v>4</v>
          </cell>
          <cell r="H58">
            <v>12</v>
          </cell>
          <cell r="I58" t="str">
            <v>H</v>
          </cell>
          <cell r="J58" t="str">
            <v>THYOLO</v>
          </cell>
          <cell r="K58">
            <v>9</v>
          </cell>
          <cell r="W58">
            <v>60</v>
          </cell>
          <cell r="X58" t="str">
            <v>GM</v>
          </cell>
          <cell r="Y58">
            <v>150</v>
          </cell>
          <cell r="Z58" t="str">
            <v>SB</v>
          </cell>
          <cell r="AA58">
            <v>125</v>
          </cell>
          <cell r="AB58" t="str">
            <v>GR</v>
          </cell>
          <cell r="AC58">
            <v>12</v>
          </cell>
          <cell r="AD58" t="str">
            <v>VR</v>
          </cell>
          <cell r="AE58">
            <v>99</v>
          </cell>
          <cell r="AF58" t="str">
            <v>RC</v>
          </cell>
          <cell r="AG58" t="str">
            <v>ST</v>
          </cell>
          <cell r="AH58">
            <v>15</v>
          </cell>
          <cell r="AM58">
            <v>1</v>
          </cell>
          <cell r="AN58" t="str">
            <v>reconstruct 1999</v>
          </cell>
          <cell r="BO58" t="str">
            <v>RS 117</v>
          </cell>
          <cell r="BP58">
            <v>12</v>
          </cell>
          <cell r="BQ58">
            <v>3.5</v>
          </cell>
          <cell r="BR58" t="str">
            <v>H</v>
          </cell>
          <cell r="BS58" t="str">
            <v>C</v>
          </cell>
          <cell r="BT58">
            <v>0</v>
          </cell>
          <cell r="BU58" t="str">
            <v>ST</v>
          </cell>
          <cell r="BV58" t="str">
            <v/>
          </cell>
          <cell r="BW58">
            <v>1</v>
          </cell>
          <cell r="BX58">
            <v>10</v>
          </cell>
          <cell r="BY58" t="str">
            <v/>
          </cell>
          <cell r="BZ58">
            <v>1</v>
          </cell>
          <cell r="CA58">
            <v>12</v>
          </cell>
          <cell r="CB58">
            <v>1.9</v>
          </cell>
          <cell r="CC58" t="str">
            <v>To be reconstructed 1999</v>
          </cell>
          <cell r="CV58" t="str">
            <v>recon 99</v>
          </cell>
          <cell r="CY58">
            <v>3</v>
          </cell>
          <cell r="CZ58">
            <v>2</v>
          </cell>
          <cell r="DA58">
            <v>1.5</v>
          </cell>
          <cell r="DB58">
            <v>935</v>
          </cell>
          <cell r="DC58">
            <v>440</v>
          </cell>
          <cell r="DD58">
            <v>244</v>
          </cell>
          <cell r="DE58">
            <v>71</v>
          </cell>
          <cell r="DF58">
            <v>108</v>
          </cell>
          <cell r="DG58">
            <v>19</v>
          </cell>
          <cell r="DH58">
            <v>10</v>
          </cell>
          <cell r="DI58">
            <v>47</v>
          </cell>
        </row>
        <row r="59">
          <cell r="A59" t="str">
            <v>RS 109</v>
          </cell>
          <cell r="B59">
            <v>109</v>
          </cell>
          <cell r="C59" t="str">
            <v>S</v>
          </cell>
          <cell r="D59" t="str">
            <v>T</v>
          </cell>
          <cell r="E59" t="str">
            <v>Thyolo - Thuchila River</v>
          </cell>
          <cell r="F59" t="str">
            <v>M02</v>
          </cell>
          <cell r="G59">
            <v>5</v>
          </cell>
          <cell r="H59">
            <v>22.7</v>
          </cell>
          <cell r="I59" t="str">
            <v>H</v>
          </cell>
          <cell r="J59" t="str">
            <v>THYOLO</v>
          </cell>
          <cell r="K59">
            <v>9</v>
          </cell>
          <cell r="W59">
            <v>60</v>
          </cell>
          <cell r="X59" t="str">
            <v>GM</v>
          </cell>
          <cell r="Y59">
            <v>150</v>
          </cell>
          <cell r="Z59" t="str">
            <v>SB</v>
          </cell>
          <cell r="AA59">
            <v>125</v>
          </cell>
          <cell r="AB59" t="str">
            <v>GR</v>
          </cell>
          <cell r="AC59">
            <v>12</v>
          </cell>
          <cell r="AD59" t="str">
            <v>VR</v>
          </cell>
          <cell r="AE59">
            <v>98</v>
          </cell>
          <cell r="AF59" t="str">
            <v>RC</v>
          </cell>
          <cell r="AG59" t="str">
            <v>ST</v>
          </cell>
          <cell r="AH59">
            <v>15</v>
          </cell>
          <cell r="AM59">
            <v>1</v>
          </cell>
          <cell r="AN59" t="str">
            <v>reconstructed 1998</v>
          </cell>
          <cell r="BO59" t="str">
            <v>RS 109</v>
          </cell>
          <cell r="BP59">
            <v>22.7</v>
          </cell>
          <cell r="BQ59" t="str">
            <v>n.a.</v>
          </cell>
          <cell r="BR59" t="str">
            <v>H</v>
          </cell>
          <cell r="BS59" t="str">
            <v>n.a.</v>
          </cell>
          <cell r="BT59">
            <v>0</v>
          </cell>
          <cell r="BU59" t="str">
            <v>ST</v>
          </cell>
          <cell r="BV59" t="str">
            <v/>
          </cell>
          <cell r="BW59">
            <v>1</v>
          </cell>
          <cell r="BX59">
            <v>10</v>
          </cell>
          <cell r="BY59" t="str">
            <v/>
          </cell>
          <cell r="BZ59">
            <v>1</v>
          </cell>
          <cell r="CA59">
            <v>12</v>
          </cell>
          <cell r="CB59">
            <v>1.9</v>
          </cell>
          <cell r="CC59" t="str">
            <v>Under reconstruction 1998</v>
          </cell>
          <cell r="CV59">
            <v>0</v>
          </cell>
          <cell r="CW59">
            <v>0</v>
          </cell>
          <cell r="CX59" t="str">
            <v/>
          </cell>
          <cell r="CY59" t="str">
            <v>n.a.</v>
          </cell>
          <cell r="CZ59" t="str">
            <v>n.a.</v>
          </cell>
          <cell r="DA59" t="str">
            <v>n.a.</v>
          </cell>
          <cell r="DB59">
            <v>935</v>
          </cell>
          <cell r="DC59">
            <v>440</v>
          </cell>
          <cell r="DD59">
            <v>244</v>
          </cell>
          <cell r="DE59">
            <v>71</v>
          </cell>
          <cell r="DF59">
            <v>108</v>
          </cell>
          <cell r="DG59">
            <v>19</v>
          </cell>
          <cell r="DH59">
            <v>10</v>
          </cell>
          <cell r="DI59">
            <v>47</v>
          </cell>
        </row>
        <row r="60">
          <cell r="A60" t="str">
            <v>RS 111</v>
          </cell>
          <cell r="B60">
            <v>111</v>
          </cell>
          <cell r="C60" t="str">
            <v>S</v>
          </cell>
          <cell r="D60" t="str">
            <v>T</v>
          </cell>
          <cell r="E60" t="str">
            <v>Luchenza - Luwanje</v>
          </cell>
          <cell r="F60" t="str">
            <v>M02</v>
          </cell>
          <cell r="G60">
            <v>6</v>
          </cell>
          <cell r="H60">
            <v>11</v>
          </cell>
          <cell r="I60" t="str">
            <v>R</v>
          </cell>
          <cell r="J60" t="str">
            <v>MULANJE</v>
          </cell>
          <cell r="K60">
            <v>9</v>
          </cell>
          <cell r="W60">
            <v>60</v>
          </cell>
          <cell r="X60" t="str">
            <v>GM</v>
          </cell>
          <cell r="Y60">
            <v>150</v>
          </cell>
          <cell r="Z60" t="str">
            <v>SB</v>
          </cell>
          <cell r="AA60">
            <v>125</v>
          </cell>
          <cell r="AB60" t="str">
            <v>GR</v>
          </cell>
          <cell r="AC60">
            <v>12</v>
          </cell>
          <cell r="AD60" t="str">
            <v>VR</v>
          </cell>
          <cell r="AE60">
            <v>98</v>
          </cell>
          <cell r="AF60" t="str">
            <v>RC</v>
          </cell>
          <cell r="AG60" t="str">
            <v>ST</v>
          </cell>
          <cell r="AH60">
            <v>15</v>
          </cell>
          <cell r="AM60">
            <v>1</v>
          </cell>
          <cell r="AN60" t="str">
            <v>reconstructed 1998</v>
          </cell>
          <cell r="BO60" t="str">
            <v>RS 111</v>
          </cell>
          <cell r="BP60">
            <v>11</v>
          </cell>
          <cell r="BQ60" t="str">
            <v>n.a.</v>
          </cell>
          <cell r="BR60" t="str">
            <v>R</v>
          </cell>
          <cell r="BS60" t="str">
            <v>n.a.</v>
          </cell>
          <cell r="BT60">
            <v>0</v>
          </cell>
          <cell r="BU60" t="str">
            <v>ST</v>
          </cell>
          <cell r="BV60" t="str">
            <v/>
          </cell>
          <cell r="BW60">
            <v>1</v>
          </cell>
          <cell r="BX60">
            <v>10</v>
          </cell>
          <cell r="BY60" t="str">
            <v/>
          </cell>
          <cell r="BZ60">
            <v>1</v>
          </cell>
          <cell r="CA60">
            <v>12</v>
          </cell>
          <cell r="CB60">
            <v>1.9</v>
          </cell>
          <cell r="CC60" t="str">
            <v>Under reconstruction 1998</v>
          </cell>
          <cell r="CV60">
            <v>0</v>
          </cell>
          <cell r="CW60">
            <v>0</v>
          </cell>
          <cell r="CX60" t="str">
            <v/>
          </cell>
          <cell r="CY60" t="str">
            <v>n.a.</v>
          </cell>
          <cell r="CZ60" t="str">
            <v>n.a.</v>
          </cell>
          <cell r="DA60" t="str">
            <v>n.a.</v>
          </cell>
          <cell r="DB60">
            <v>400</v>
          </cell>
          <cell r="DC60">
            <v>188</v>
          </cell>
          <cell r="DD60">
            <v>104</v>
          </cell>
          <cell r="DE60">
            <v>30</v>
          </cell>
          <cell r="DF60">
            <v>46</v>
          </cell>
          <cell r="DG60">
            <v>8</v>
          </cell>
          <cell r="DH60">
            <v>4</v>
          </cell>
          <cell r="DI60">
            <v>20</v>
          </cell>
        </row>
        <row r="61">
          <cell r="A61" t="str">
            <v>RS 108</v>
          </cell>
          <cell r="B61">
            <v>108</v>
          </cell>
          <cell r="C61" t="str">
            <v>S</v>
          </cell>
          <cell r="D61" t="str">
            <v>T</v>
          </cell>
          <cell r="E61" t="str">
            <v>Luwanje - Chitakale</v>
          </cell>
          <cell r="F61" t="str">
            <v>M02</v>
          </cell>
          <cell r="G61">
            <v>7</v>
          </cell>
          <cell r="H61">
            <v>9.5</v>
          </cell>
          <cell r="I61" t="str">
            <v>F</v>
          </cell>
          <cell r="J61" t="str">
            <v>MULANJE</v>
          </cell>
          <cell r="K61">
            <v>9</v>
          </cell>
          <cell r="W61">
            <v>60</v>
          </cell>
          <cell r="X61" t="str">
            <v>GM</v>
          </cell>
          <cell r="Y61">
            <v>150</v>
          </cell>
          <cell r="Z61" t="str">
            <v>SB</v>
          </cell>
          <cell r="AA61">
            <v>125</v>
          </cell>
          <cell r="AB61" t="str">
            <v>GR</v>
          </cell>
          <cell r="AC61">
            <v>12</v>
          </cell>
          <cell r="AD61" t="str">
            <v>VR</v>
          </cell>
          <cell r="AE61">
            <v>98</v>
          </cell>
          <cell r="AF61" t="str">
            <v>RC</v>
          </cell>
          <cell r="AG61" t="str">
            <v>ST</v>
          </cell>
          <cell r="AH61">
            <v>15</v>
          </cell>
          <cell r="AM61">
            <v>1</v>
          </cell>
          <cell r="AN61" t="str">
            <v>reconstruct 1998</v>
          </cell>
          <cell r="BO61" t="str">
            <v>RS 108</v>
          </cell>
          <cell r="BP61">
            <v>9.5</v>
          </cell>
          <cell r="BQ61" t="str">
            <v>n.a.</v>
          </cell>
          <cell r="BR61" t="str">
            <v>F</v>
          </cell>
          <cell r="BS61" t="str">
            <v>n.a.</v>
          </cell>
          <cell r="BT61">
            <v>0</v>
          </cell>
          <cell r="BU61" t="str">
            <v>ST</v>
          </cell>
          <cell r="BV61" t="str">
            <v/>
          </cell>
          <cell r="BW61">
            <v>1</v>
          </cell>
          <cell r="BX61">
            <v>10</v>
          </cell>
          <cell r="BY61" t="str">
            <v/>
          </cell>
          <cell r="BZ61">
            <v>1</v>
          </cell>
          <cell r="CA61">
            <v>12</v>
          </cell>
          <cell r="CB61">
            <v>1.9</v>
          </cell>
          <cell r="CC61" t="str">
            <v>Under reconstruction 1998</v>
          </cell>
          <cell r="CV61">
            <v>0</v>
          </cell>
          <cell r="CW61">
            <v>0</v>
          </cell>
          <cell r="CX61" t="str">
            <v/>
          </cell>
          <cell r="CY61" t="str">
            <v>n.a.</v>
          </cell>
          <cell r="CZ61" t="str">
            <v>n.a.</v>
          </cell>
          <cell r="DA61" t="str">
            <v>n.a.</v>
          </cell>
          <cell r="DB61">
            <v>400</v>
          </cell>
          <cell r="DC61">
            <v>188</v>
          </cell>
          <cell r="DD61">
            <v>104</v>
          </cell>
          <cell r="DE61">
            <v>30</v>
          </cell>
          <cell r="DF61">
            <v>46</v>
          </cell>
          <cell r="DG61">
            <v>8</v>
          </cell>
          <cell r="DH61">
            <v>4</v>
          </cell>
          <cell r="DI61">
            <v>20</v>
          </cell>
        </row>
        <row r="62">
          <cell r="A62" t="str">
            <v>RS 114</v>
          </cell>
          <cell r="B62">
            <v>114</v>
          </cell>
          <cell r="C62" t="str">
            <v>S</v>
          </cell>
          <cell r="D62" t="str">
            <v>T</v>
          </cell>
          <cell r="E62" t="str">
            <v>Chitakale - Chanunkha River</v>
          </cell>
          <cell r="F62" t="str">
            <v>M02</v>
          </cell>
          <cell r="G62">
            <v>8</v>
          </cell>
          <cell r="H62">
            <v>10</v>
          </cell>
          <cell r="I62" t="str">
            <v>F</v>
          </cell>
          <cell r="J62" t="str">
            <v>MULANJE</v>
          </cell>
          <cell r="K62">
            <v>9</v>
          </cell>
          <cell r="W62">
            <v>60</v>
          </cell>
          <cell r="X62" t="str">
            <v>GM</v>
          </cell>
          <cell r="Y62">
            <v>150</v>
          </cell>
          <cell r="Z62" t="str">
            <v>SB</v>
          </cell>
          <cell r="AA62">
            <v>125</v>
          </cell>
          <cell r="AB62" t="str">
            <v>GR</v>
          </cell>
          <cell r="AC62">
            <v>12</v>
          </cell>
          <cell r="AD62" t="str">
            <v>VR</v>
          </cell>
          <cell r="AE62">
            <v>98</v>
          </cell>
          <cell r="AF62" t="str">
            <v>RC</v>
          </cell>
          <cell r="AG62" t="str">
            <v>ST</v>
          </cell>
          <cell r="AH62">
            <v>15</v>
          </cell>
          <cell r="AM62">
            <v>1</v>
          </cell>
          <cell r="AN62" t="str">
            <v>reconstruct 1998</v>
          </cell>
          <cell r="BO62" t="str">
            <v>RS 114</v>
          </cell>
          <cell r="BP62">
            <v>10</v>
          </cell>
          <cell r="BQ62" t="str">
            <v>n.a.</v>
          </cell>
          <cell r="BR62" t="str">
            <v>F</v>
          </cell>
          <cell r="BS62" t="str">
            <v>n.a.</v>
          </cell>
          <cell r="BT62">
            <v>0</v>
          </cell>
          <cell r="BU62" t="str">
            <v>ST</v>
          </cell>
          <cell r="BV62" t="str">
            <v/>
          </cell>
          <cell r="BW62">
            <v>1</v>
          </cell>
          <cell r="BX62">
            <v>10</v>
          </cell>
          <cell r="BY62" t="str">
            <v/>
          </cell>
          <cell r="BZ62">
            <v>1</v>
          </cell>
          <cell r="CA62">
            <v>12</v>
          </cell>
          <cell r="CB62">
            <v>1.9</v>
          </cell>
          <cell r="CC62" t="str">
            <v>Under reconstruction 1998</v>
          </cell>
          <cell r="CV62">
            <v>0</v>
          </cell>
          <cell r="CW62">
            <v>0</v>
          </cell>
          <cell r="CX62" t="str">
            <v/>
          </cell>
          <cell r="CY62" t="str">
            <v>n.a.</v>
          </cell>
          <cell r="CZ62" t="str">
            <v>n.a.</v>
          </cell>
          <cell r="DA62" t="str">
            <v>n.a.</v>
          </cell>
          <cell r="DB62">
            <v>350</v>
          </cell>
          <cell r="DC62">
            <v>165</v>
          </cell>
          <cell r="DD62">
            <v>91</v>
          </cell>
          <cell r="DE62">
            <v>27</v>
          </cell>
          <cell r="DF62">
            <v>41</v>
          </cell>
          <cell r="DG62">
            <v>7</v>
          </cell>
          <cell r="DH62">
            <v>4</v>
          </cell>
          <cell r="DI62">
            <v>18</v>
          </cell>
        </row>
        <row r="63">
          <cell r="A63" t="str">
            <v>RS 118</v>
          </cell>
          <cell r="B63">
            <v>118</v>
          </cell>
          <cell r="C63" t="str">
            <v>S</v>
          </cell>
          <cell r="D63" t="str">
            <v>T</v>
          </cell>
          <cell r="E63" t="str">
            <v>Chanunkha River - Mimosa</v>
          </cell>
          <cell r="F63" t="str">
            <v>M02</v>
          </cell>
          <cell r="G63">
            <v>9</v>
          </cell>
          <cell r="H63">
            <v>7.5</v>
          </cell>
          <cell r="I63" t="str">
            <v>R</v>
          </cell>
          <cell r="J63" t="str">
            <v>MULANJE</v>
          </cell>
          <cell r="K63">
            <v>9</v>
          </cell>
          <cell r="W63">
            <v>60</v>
          </cell>
          <cell r="X63" t="str">
            <v>GM</v>
          </cell>
          <cell r="Y63">
            <v>150</v>
          </cell>
          <cell r="Z63" t="str">
            <v>SB</v>
          </cell>
          <cell r="AA63">
            <v>125</v>
          </cell>
          <cell r="AB63" t="str">
            <v>GR</v>
          </cell>
          <cell r="AC63">
            <v>12</v>
          </cell>
          <cell r="AD63" t="str">
            <v>VR</v>
          </cell>
          <cell r="AE63">
            <v>98</v>
          </cell>
          <cell r="AF63" t="str">
            <v>RC</v>
          </cell>
          <cell r="AG63" t="str">
            <v>ST</v>
          </cell>
          <cell r="AH63">
            <v>15</v>
          </cell>
          <cell r="AM63">
            <v>1</v>
          </cell>
          <cell r="AN63" t="str">
            <v>reconstruct 1998</v>
          </cell>
          <cell r="BO63" t="str">
            <v>RS 118</v>
          </cell>
          <cell r="BP63">
            <v>7.5</v>
          </cell>
          <cell r="BQ63" t="str">
            <v>n.a.</v>
          </cell>
          <cell r="BR63" t="str">
            <v>R</v>
          </cell>
          <cell r="BS63" t="str">
            <v>n.a.</v>
          </cell>
          <cell r="BT63">
            <v>0</v>
          </cell>
          <cell r="BU63" t="str">
            <v>ST</v>
          </cell>
          <cell r="BV63" t="str">
            <v/>
          </cell>
          <cell r="BW63">
            <v>1</v>
          </cell>
          <cell r="BX63">
            <v>10</v>
          </cell>
          <cell r="BY63" t="str">
            <v/>
          </cell>
          <cell r="BZ63">
            <v>1</v>
          </cell>
          <cell r="CA63">
            <v>12</v>
          </cell>
          <cell r="CB63">
            <v>1.9</v>
          </cell>
          <cell r="CC63" t="str">
            <v>Under reconstruction 1998</v>
          </cell>
          <cell r="CV63">
            <v>0</v>
          </cell>
          <cell r="CW63">
            <v>0</v>
          </cell>
          <cell r="CX63" t="str">
            <v/>
          </cell>
          <cell r="CY63" t="str">
            <v>n.a.</v>
          </cell>
          <cell r="CZ63" t="str">
            <v>n.a.</v>
          </cell>
          <cell r="DA63" t="str">
            <v>n.a.</v>
          </cell>
          <cell r="DB63">
            <v>350</v>
          </cell>
          <cell r="DC63">
            <v>165</v>
          </cell>
          <cell r="DD63">
            <v>91</v>
          </cell>
          <cell r="DE63">
            <v>27</v>
          </cell>
          <cell r="DF63">
            <v>41</v>
          </cell>
          <cell r="DG63">
            <v>7</v>
          </cell>
          <cell r="DH63">
            <v>4</v>
          </cell>
          <cell r="DI63">
            <v>18</v>
          </cell>
        </row>
        <row r="64">
          <cell r="A64" t="str">
            <v>RS 113</v>
          </cell>
          <cell r="B64">
            <v>113</v>
          </cell>
          <cell r="C64" t="str">
            <v>S</v>
          </cell>
          <cell r="D64" t="str">
            <v>T</v>
          </cell>
          <cell r="E64" t="str">
            <v>Mimosa - Muloza International Border</v>
          </cell>
          <cell r="F64" t="str">
            <v>M02</v>
          </cell>
          <cell r="G64">
            <v>10</v>
          </cell>
          <cell r="H64">
            <v>14.2</v>
          </cell>
          <cell r="I64" t="str">
            <v>R</v>
          </cell>
          <cell r="J64" t="str">
            <v>MULANJE</v>
          </cell>
          <cell r="K64">
            <v>9</v>
          </cell>
          <cell r="W64">
            <v>60</v>
          </cell>
          <cell r="X64" t="str">
            <v>GM</v>
          </cell>
          <cell r="Y64">
            <v>150</v>
          </cell>
          <cell r="Z64" t="str">
            <v>SB</v>
          </cell>
          <cell r="AA64">
            <v>125</v>
          </cell>
          <cell r="AB64" t="str">
            <v>GR</v>
          </cell>
          <cell r="AC64">
            <v>12</v>
          </cell>
          <cell r="AD64" t="str">
            <v>VR</v>
          </cell>
          <cell r="AE64">
            <v>98</v>
          </cell>
          <cell r="AF64" t="str">
            <v>RC</v>
          </cell>
          <cell r="AG64" t="str">
            <v>ST</v>
          </cell>
          <cell r="AH64">
            <v>15</v>
          </cell>
          <cell r="AM64">
            <v>1</v>
          </cell>
          <cell r="AN64" t="str">
            <v>reconstruct 1998</v>
          </cell>
          <cell r="BO64" t="str">
            <v>RS 113</v>
          </cell>
          <cell r="BP64">
            <v>14.2</v>
          </cell>
          <cell r="BQ64" t="str">
            <v>n.a.</v>
          </cell>
          <cell r="BR64" t="str">
            <v>R</v>
          </cell>
          <cell r="BS64" t="str">
            <v>n.a.</v>
          </cell>
          <cell r="BT64">
            <v>0</v>
          </cell>
          <cell r="BU64" t="str">
            <v>ST</v>
          </cell>
          <cell r="BV64" t="str">
            <v/>
          </cell>
          <cell r="BW64">
            <v>1</v>
          </cell>
          <cell r="BX64">
            <v>10</v>
          </cell>
          <cell r="BY64" t="str">
            <v/>
          </cell>
          <cell r="BZ64">
            <v>1</v>
          </cell>
          <cell r="CA64">
            <v>12</v>
          </cell>
          <cell r="CB64">
            <v>1.9</v>
          </cell>
          <cell r="CC64" t="str">
            <v>Under reconstruction 1998</v>
          </cell>
          <cell r="CV64">
            <v>0</v>
          </cell>
          <cell r="CW64">
            <v>0</v>
          </cell>
          <cell r="CX64" t="str">
            <v/>
          </cell>
          <cell r="CY64" t="str">
            <v>n.a.</v>
          </cell>
          <cell r="CZ64" t="str">
            <v>n.a.</v>
          </cell>
          <cell r="DA64" t="str">
            <v>n.a.</v>
          </cell>
          <cell r="DB64">
            <v>200</v>
          </cell>
          <cell r="DC64">
            <v>94</v>
          </cell>
          <cell r="DD64">
            <v>52</v>
          </cell>
          <cell r="DE64">
            <v>15</v>
          </cell>
          <cell r="DF64">
            <v>23</v>
          </cell>
          <cell r="DG64">
            <v>4</v>
          </cell>
          <cell r="DH64">
            <v>2</v>
          </cell>
          <cell r="DI64">
            <v>10</v>
          </cell>
        </row>
        <row r="65">
          <cell r="A65" t="str">
            <v>RS 123</v>
          </cell>
          <cell r="B65">
            <v>123</v>
          </cell>
          <cell r="C65" t="str">
            <v>S</v>
          </cell>
          <cell r="D65" t="str">
            <v>T</v>
          </cell>
          <cell r="E65" t="str">
            <v>Chinkombero (BBC Post) - Mbulumbuzi</v>
          </cell>
          <cell r="F65" t="str">
            <v>M03</v>
          </cell>
          <cell r="G65">
            <v>1</v>
          </cell>
          <cell r="H65">
            <v>12.4</v>
          </cell>
          <cell r="I65" t="str">
            <v>F</v>
          </cell>
          <cell r="J65" t="str">
            <v>CHIRADZULU</v>
          </cell>
          <cell r="K65">
            <v>9</v>
          </cell>
          <cell r="W65">
            <v>50</v>
          </cell>
          <cell r="X65" t="str">
            <v>GM</v>
          </cell>
          <cell r="Y65">
            <v>150</v>
          </cell>
          <cell r="Z65" t="str">
            <v>SB</v>
          </cell>
          <cell r="AA65">
            <v>150</v>
          </cell>
          <cell r="AB65" t="str">
            <v>GR</v>
          </cell>
          <cell r="AC65">
            <v>15</v>
          </cell>
          <cell r="AD65" t="str">
            <v>VR</v>
          </cell>
          <cell r="AE65">
            <v>87</v>
          </cell>
          <cell r="AF65" t="str">
            <v>SR</v>
          </cell>
          <cell r="AG65" t="str">
            <v>ST</v>
          </cell>
          <cell r="AH65">
            <v>10</v>
          </cell>
          <cell r="AI65">
            <v>96</v>
          </cell>
          <cell r="AJ65" t="str">
            <v>SS</v>
          </cell>
          <cell r="AK65" t="str">
            <v>SS</v>
          </cell>
          <cell r="AL65">
            <v>5</v>
          </cell>
          <cell r="AM65">
            <v>3</v>
          </cell>
          <cell r="BO65" t="str">
            <v>RS 123</v>
          </cell>
          <cell r="BP65">
            <v>12.4</v>
          </cell>
          <cell r="BQ65">
            <v>6</v>
          </cell>
          <cell r="BR65" t="str">
            <v>F</v>
          </cell>
          <cell r="BS65" t="str">
            <v>S</v>
          </cell>
          <cell r="BT65">
            <v>0</v>
          </cell>
          <cell r="BU65" t="str">
            <v>SS</v>
          </cell>
          <cell r="BV65" t="str">
            <v>SR</v>
          </cell>
          <cell r="BW65">
            <v>3</v>
          </cell>
          <cell r="BX65">
            <v>5</v>
          </cell>
          <cell r="BY65">
            <v>10</v>
          </cell>
          <cell r="BZ65">
            <v>1</v>
          </cell>
          <cell r="CA65">
            <v>15</v>
          </cell>
          <cell r="CB65">
            <v>2.15</v>
          </cell>
          <cell r="CC65">
            <v>6.2166767262063463</v>
          </cell>
          <cell r="CD65">
            <v>50</v>
          </cell>
          <cell r="CE65">
            <v>8</v>
          </cell>
          <cell r="CF65">
            <v>0</v>
          </cell>
          <cell r="CG65">
            <v>50</v>
          </cell>
          <cell r="CH65">
            <v>8</v>
          </cell>
          <cell r="CI65">
            <v>5</v>
          </cell>
          <cell r="CJ65">
            <v>1.6666666666666666E-2</v>
          </cell>
          <cell r="CK65">
            <v>1.6666666666666666E-2</v>
          </cell>
          <cell r="CL65">
            <v>0</v>
          </cell>
          <cell r="CM65">
            <v>6.4615384615384621E-3</v>
          </cell>
          <cell r="CN65">
            <v>6.4615384615384621E-3</v>
          </cell>
          <cell r="CO65">
            <v>0</v>
          </cell>
          <cell r="CP65">
            <v>0</v>
          </cell>
          <cell r="CQ65">
            <v>6.2231382646678846</v>
          </cell>
          <cell r="CR65">
            <v>0</v>
          </cell>
          <cell r="CS65">
            <v>1</v>
          </cell>
          <cell r="CT65">
            <v>0</v>
          </cell>
          <cell r="CU65">
            <v>0</v>
          </cell>
          <cell r="CV65">
            <v>2</v>
          </cell>
          <cell r="CW65">
            <v>48</v>
          </cell>
          <cell r="CX65">
            <v>96</v>
          </cell>
          <cell r="CY65">
            <v>2.5</v>
          </cell>
          <cell r="CZ65">
            <v>1.7</v>
          </cell>
          <cell r="DA65">
            <v>1.7</v>
          </cell>
          <cell r="DB65">
            <v>1400</v>
          </cell>
          <cell r="DC65">
            <v>658</v>
          </cell>
          <cell r="DD65">
            <v>364</v>
          </cell>
          <cell r="DE65">
            <v>105</v>
          </cell>
          <cell r="DF65">
            <v>161</v>
          </cell>
          <cell r="DG65">
            <v>28</v>
          </cell>
          <cell r="DH65">
            <v>14</v>
          </cell>
          <cell r="DI65">
            <v>70</v>
          </cell>
        </row>
        <row r="66">
          <cell r="A66" t="str">
            <v>RS 124</v>
          </cell>
          <cell r="B66">
            <v>124</v>
          </cell>
          <cell r="C66" t="str">
            <v>S</v>
          </cell>
          <cell r="D66" t="str">
            <v>T</v>
          </cell>
          <cell r="E66" t="str">
            <v>Mbulumbuzi - Magomero</v>
          </cell>
          <cell r="F66" t="str">
            <v>M03</v>
          </cell>
          <cell r="G66">
            <v>2</v>
          </cell>
          <cell r="H66">
            <v>11.5</v>
          </cell>
          <cell r="I66" t="str">
            <v>H</v>
          </cell>
          <cell r="J66" t="str">
            <v>CHIRADZULU</v>
          </cell>
          <cell r="K66">
            <v>9</v>
          </cell>
          <cell r="W66">
            <v>50</v>
          </cell>
          <cell r="X66" t="str">
            <v>GM</v>
          </cell>
          <cell r="Y66">
            <v>150</v>
          </cell>
          <cell r="Z66" t="str">
            <v>SB</v>
          </cell>
          <cell r="AA66">
            <v>150</v>
          </cell>
          <cell r="AB66" t="str">
            <v>GR</v>
          </cell>
          <cell r="AC66">
            <v>15</v>
          </cell>
          <cell r="AD66" t="str">
            <v>VR</v>
          </cell>
          <cell r="AE66">
            <v>87</v>
          </cell>
          <cell r="AF66" t="str">
            <v>SR</v>
          </cell>
          <cell r="AG66" t="str">
            <v>ST</v>
          </cell>
          <cell r="AH66">
            <v>10</v>
          </cell>
          <cell r="AI66">
            <v>96</v>
          </cell>
          <cell r="AJ66" t="str">
            <v>SS</v>
          </cell>
          <cell r="AK66" t="str">
            <v>SS</v>
          </cell>
          <cell r="AL66">
            <v>5</v>
          </cell>
          <cell r="AM66">
            <v>3</v>
          </cell>
          <cell r="BO66" t="str">
            <v>RS 124</v>
          </cell>
          <cell r="BP66">
            <v>11.5</v>
          </cell>
          <cell r="BQ66">
            <v>6</v>
          </cell>
          <cell r="BR66" t="str">
            <v>H</v>
          </cell>
          <cell r="BS66" t="str">
            <v>S</v>
          </cell>
          <cell r="BT66">
            <v>0</v>
          </cell>
          <cell r="BU66" t="str">
            <v>SS</v>
          </cell>
          <cell r="BV66" t="str">
            <v>SR</v>
          </cell>
          <cell r="BW66">
            <v>3</v>
          </cell>
          <cell r="BX66">
            <v>5</v>
          </cell>
          <cell r="BY66">
            <v>10</v>
          </cell>
          <cell r="BZ66">
            <v>1</v>
          </cell>
          <cell r="CA66">
            <v>15</v>
          </cell>
          <cell r="CB66">
            <v>2.15</v>
          </cell>
          <cell r="CC66">
            <v>5.0605850173287124</v>
          </cell>
          <cell r="CD66">
            <v>40</v>
          </cell>
          <cell r="CE66">
            <v>2</v>
          </cell>
          <cell r="CF66">
            <v>0</v>
          </cell>
          <cell r="CG66">
            <v>40</v>
          </cell>
          <cell r="CH66">
            <v>2</v>
          </cell>
          <cell r="CI66">
            <v>0.7</v>
          </cell>
          <cell r="CJ66">
            <v>2.3333333333333331E-3</v>
          </cell>
          <cell r="CK66">
            <v>2.3333333333333331E-3</v>
          </cell>
          <cell r="CL66">
            <v>0</v>
          </cell>
          <cell r="CM66">
            <v>9.0461538461538446E-4</v>
          </cell>
          <cell r="CN66">
            <v>9.0461538461538446E-4</v>
          </cell>
          <cell r="CO66">
            <v>0</v>
          </cell>
          <cell r="CP66">
            <v>0</v>
          </cell>
          <cell r="CQ66">
            <v>5.0614896327133279</v>
          </cell>
          <cell r="CR66">
            <v>0</v>
          </cell>
          <cell r="CS66">
            <v>1</v>
          </cell>
          <cell r="CT66">
            <v>0</v>
          </cell>
          <cell r="CU66">
            <v>0</v>
          </cell>
          <cell r="CV66">
            <v>2</v>
          </cell>
          <cell r="CW66">
            <v>48</v>
          </cell>
          <cell r="CX66">
            <v>96</v>
          </cell>
          <cell r="CY66">
            <v>2.2999999999999998</v>
          </cell>
          <cell r="CZ66">
            <v>1.5</v>
          </cell>
          <cell r="DA66">
            <v>1.7</v>
          </cell>
          <cell r="DB66">
            <v>1300</v>
          </cell>
          <cell r="DC66">
            <v>611</v>
          </cell>
          <cell r="DD66">
            <v>338</v>
          </cell>
          <cell r="DE66">
            <v>98</v>
          </cell>
          <cell r="DF66">
            <v>150</v>
          </cell>
          <cell r="DG66">
            <v>26</v>
          </cell>
          <cell r="DH66">
            <v>13</v>
          </cell>
          <cell r="DI66">
            <v>65</v>
          </cell>
        </row>
        <row r="67">
          <cell r="A67" t="str">
            <v>RS 126</v>
          </cell>
          <cell r="B67">
            <v>126</v>
          </cell>
          <cell r="C67" t="str">
            <v>S</v>
          </cell>
          <cell r="D67" t="str">
            <v>T</v>
          </cell>
          <cell r="E67" t="str">
            <v>Namadzi River-Zomba South T'ship Boundary</v>
          </cell>
          <cell r="F67" t="str">
            <v>M03</v>
          </cell>
          <cell r="G67">
            <v>3</v>
          </cell>
          <cell r="H67">
            <v>13.3</v>
          </cell>
          <cell r="I67" t="str">
            <v>R</v>
          </cell>
          <cell r="J67" t="str">
            <v>ZOMBA</v>
          </cell>
          <cell r="K67">
            <v>9</v>
          </cell>
          <cell r="W67">
            <v>50</v>
          </cell>
          <cell r="X67" t="str">
            <v>GM</v>
          </cell>
          <cell r="Y67">
            <v>150</v>
          </cell>
          <cell r="Z67" t="str">
            <v>SB</v>
          </cell>
          <cell r="AA67">
            <v>150</v>
          </cell>
          <cell r="AB67" t="str">
            <v>GR</v>
          </cell>
          <cell r="AC67">
            <v>15</v>
          </cell>
          <cell r="AD67" t="str">
            <v>VR</v>
          </cell>
          <cell r="AE67">
            <v>87</v>
          </cell>
          <cell r="AF67" t="str">
            <v>SR</v>
          </cell>
          <cell r="AG67" t="str">
            <v>ST</v>
          </cell>
          <cell r="AH67">
            <v>10</v>
          </cell>
          <cell r="AI67">
            <v>96</v>
          </cell>
          <cell r="AJ67" t="str">
            <v>SS</v>
          </cell>
          <cell r="AK67" t="str">
            <v>SS</v>
          </cell>
          <cell r="AL67">
            <v>5</v>
          </cell>
          <cell r="AM67">
            <v>3</v>
          </cell>
          <cell r="BO67" t="str">
            <v>RS 126</v>
          </cell>
          <cell r="BP67">
            <v>13.3</v>
          </cell>
          <cell r="BQ67">
            <v>6</v>
          </cell>
          <cell r="BR67" t="str">
            <v>R</v>
          </cell>
          <cell r="BS67" t="str">
            <v>S</v>
          </cell>
          <cell r="BT67">
            <v>0</v>
          </cell>
          <cell r="BU67" t="str">
            <v>SS</v>
          </cell>
          <cell r="BV67" t="str">
            <v>SR</v>
          </cell>
          <cell r="BW67">
            <v>3</v>
          </cell>
          <cell r="BX67">
            <v>5</v>
          </cell>
          <cell r="BY67">
            <v>10</v>
          </cell>
          <cell r="BZ67">
            <v>1</v>
          </cell>
          <cell r="CA67">
            <v>15</v>
          </cell>
          <cell r="CB67">
            <v>2.15</v>
          </cell>
          <cell r="CC67">
            <v>5.78</v>
          </cell>
          <cell r="CD67">
            <v>50</v>
          </cell>
          <cell r="CE67">
            <v>5</v>
          </cell>
          <cell r="CF67">
            <v>0</v>
          </cell>
          <cell r="CG67">
            <v>50</v>
          </cell>
          <cell r="CH67">
            <v>5</v>
          </cell>
          <cell r="CI67">
            <v>0.3</v>
          </cell>
          <cell r="CJ67">
            <v>1E-3</v>
          </cell>
          <cell r="CK67">
            <v>1E-3</v>
          </cell>
          <cell r="CL67">
            <v>0</v>
          </cell>
          <cell r="CM67">
            <v>3.876923076923077E-4</v>
          </cell>
          <cell r="CN67">
            <v>3.876923076923077E-4</v>
          </cell>
          <cell r="CO67">
            <v>0</v>
          </cell>
          <cell r="CP67">
            <v>0</v>
          </cell>
          <cell r="CQ67">
            <v>5.7803876923076922</v>
          </cell>
          <cell r="CR67">
            <v>0</v>
          </cell>
          <cell r="CS67">
            <v>1</v>
          </cell>
          <cell r="CT67">
            <v>0</v>
          </cell>
          <cell r="CU67">
            <v>0</v>
          </cell>
          <cell r="CV67">
            <v>2</v>
          </cell>
          <cell r="CW67">
            <v>48</v>
          </cell>
          <cell r="CX67">
            <v>96</v>
          </cell>
          <cell r="CY67">
            <v>2.5</v>
          </cell>
          <cell r="CZ67">
            <v>3</v>
          </cell>
          <cell r="DA67">
            <v>1.5</v>
          </cell>
          <cell r="DB67">
            <v>1300</v>
          </cell>
          <cell r="DC67">
            <v>611</v>
          </cell>
          <cell r="DD67">
            <v>338</v>
          </cell>
          <cell r="DE67">
            <v>98</v>
          </cell>
          <cell r="DF67">
            <v>150</v>
          </cell>
          <cell r="DG67">
            <v>26</v>
          </cell>
          <cell r="DH67">
            <v>13</v>
          </cell>
          <cell r="DI67">
            <v>65</v>
          </cell>
        </row>
        <row r="68">
          <cell r="A68" t="str">
            <v>RS 121</v>
          </cell>
          <cell r="B68">
            <v>121</v>
          </cell>
          <cell r="C68" t="str">
            <v>S</v>
          </cell>
          <cell r="D68" t="str">
            <v>T</v>
          </cell>
          <cell r="E68" t="str">
            <v>Zomba South Township Boundary-Zomba.</v>
          </cell>
          <cell r="F68" t="str">
            <v>M03</v>
          </cell>
          <cell r="G68">
            <v>4</v>
          </cell>
          <cell r="H68">
            <v>4.5</v>
          </cell>
          <cell r="I68" t="str">
            <v>R</v>
          </cell>
          <cell r="J68" t="str">
            <v>ZOMBA CITY</v>
          </cell>
          <cell r="K68">
            <v>9</v>
          </cell>
          <cell r="W68">
            <v>50</v>
          </cell>
          <cell r="X68" t="str">
            <v>GM</v>
          </cell>
          <cell r="Y68">
            <v>150</v>
          </cell>
          <cell r="Z68" t="str">
            <v>SB</v>
          </cell>
          <cell r="AA68">
            <v>150</v>
          </cell>
          <cell r="AB68" t="str">
            <v>GR</v>
          </cell>
          <cell r="AC68">
            <v>15</v>
          </cell>
          <cell r="AD68" t="str">
            <v>VR</v>
          </cell>
          <cell r="AE68">
            <v>87</v>
          </cell>
          <cell r="AF68" t="str">
            <v>SR</v>
          </cell>
          <cell r="AG68" t="str">
            <v>ST</v>
          </cell>
          <cell r="AH68">
            <v>10</v>
          </cell>
          <cell r="AI68">
            <v>96</v>
          </cell>
          <cell r="AJ68" t="str">
            <v>SS</v>
          </cell>
          <cell r="AK68" t="str">
            <v>SS</v>
          </cell>
          <cell r="AL68">
            <v>5</v>
          </cell>
          <cell r="AM68">
            <v>3</v>
          </cell>
          <cell r="BO68" t="str">
            <v>RS 121</v>
          </cell>
          <cell r="BP68">
            <v>4.5</v>
          </cell>
          <cell r="BQ68">
            <v>6.7</v>
          </cell>
          <cell r="BR68" t="str">
            <v>R</v>
          </cell>
          <cell r="BS68" t="str">
            <v>C</v>
          </cell>
          <cell r="BT68">
            <v>0</v>
          </cell>
          <cell r="BU68" t="str">
            <v>SS</v>
          </cell>
          <cell r="BV68" t="str">
            <v>SR</v>
          </cell>
          <cell r="BW68">
            <v>3</v>
          </cell>
          <cell r="BX68">
            <v>5</v>
          </cell>
          <cell r="BY68">
            <v>10</v>
          </cell>
          <cell r="BZ68">
            <v>1</v>
          </cell>
          <cell r="CA68">
            <v>15</v>
          </cell>
          <cell r="CB68">
            <v>2.15</v>
          </cell>
          <cell r="CC68">
            <v>6.83</v>
          </cell>
          <cell r="CD68">
            <v>20</v>
          </cell>
          <cell r="CE68">
            <v>10</v>
          </cell>
          <cell r="CF68">
            <v>0</v>
          </cell>
          <cell r="CG68">
            <v>20</v>
          </cell>
          <cell r="CH68">
            <v>10</v>
          </cell>
          <cell r="CI68">
            <v>0.1</v>
          </cell>
          <cell r="CJ68">
            <v>2.9850746268656722E-4</v>
          </cell>
          <cell r="CK68">
            <v>2.9850746268656722E-4</v>
          </cell>
          <cell r="CL68">
            <v>0</v>
          </cell>
          <cell r="CM68">
            <v>1.1572904707233067E-4</v>
          </cell>
          <cell r="CN68">
            <v>1.1572904707233067E-4</v>
          </cell>
          <cell r="CO68">
            <v>0</v>
          </cell>
          <cell r="CP68">
            <v>0</v>
          </cell>
          <cell r="CQ68">
            <v>6.8301157290470726</v>
          </cell>
          <cell r="CR68">
            <v>0</v>
          </cell>
          <cell r="CS68">
            <v>1</v>
          </cell>
          <cell r="CT68">
            <v>0</v>
          </cell>
          <cell r="CU68">
            <v>0</v>
          </cell>
          <cell r="CV68">
            <v>2</v>
          </cell>
          <cell r="CW68">
            <v>48</v>
          </cell>
          <cell r="CX68">
            <v>96</v>
          </cell>
          <cell r="CY68">
            <v>1.5</v>
          </cell>
          <cell r="CZ68">
            <v>1.5</v>
          </cell>
          <cell r="DA68">
            <v>1</v>
          </cell>
          <cell r="DB68">
            <v>2500</v>
          </cell>
          <cell r="DC68">
            <v>1175</v>
          </cell>
          <cell r="DD68">
            <v>650</v>
          </cell>
          <cell r="DE68">
            <v>188</v>
          </cell>
          <cell r="DF68">
            <v>288</v>
          </cell>
          <cell r="DG68">
            <v>50</v>
          </cell>
          <cell r="DH68">
            <v>25</v>
          </cell>
          <cell r="DI68">
            <v>125</v>
          </cell>
        </row>
        <row r="69">
          <cell r="A69" t="str">
            <v>RS 127</v>
          </cell>
          <cell r="B69">
            <v>127</v>
          </cell>
          <cell r="C69" t="str">
            <v>S</v>
          </cell>
          <cell r="D69" t="str">
            <v>T</v>
          </cell>
          <cell r="E69" t="str">
            <v>Zomba - Mwandakale</v>
          </cell>
          <cell r="F69" t="str">
            <v>M03</v>
          </cell>
          <cell r="G69">
            <v>5</v>
          </cell>
          <cell r="H69">
            <v>4.0999999999999996</v>
          </cell>
          <cell r="I69" t="str">
            <v>H</v>
          </cell>
          <cell r="J69" t="str">
            <v>ZOMBA CITY</v>
          </cell>
          <cell r="K69">
            <v>9</v>
          </cell>
          <cell r="W69">
            <v>71</v>
          </cell>
          <cell r="X69" t="str">
            <v>SA</v>
          </cell>
          <cell r="Y69">
            <v>125</v>
          </cell>
          <cell r="Z69" t="str">
            <v>SB</v>
          </cell>
          <cell r="AA69">
            <v>150</v>
          </cell>
          <cell r="AB69" t="str">
            <v>GR</v>
          </cell>
          <cell r="AC69">
            <v>14</v>
          </cell>
          <cell r="AD69" t="str">
            <v>VR</v>
          </cell>
          <cell r="AM69">
            <v>2</v>
          </cell>
          <cell r="AN69" t="str">
            <v>never resealed</v>
          </cell>
          <cell r="BO69" t="str">
            <v>RS 127</v>
          </cell>
          <cell r="BP69">
            <v>4.0999999999999996</v>
          </cell>
          <cell r="BQ69">
            <v>6.7</v>
          </cell>
          <cell r="BR69" t="str">
            <v>H</v>
          </cell>
          <cell r="BS69" t="str">
            <v>A</v>
          </cell>
          <cell r="BT69">
            <v>0</v>
          </cell>
          <cell r="BU69" t="str">
            <v>SA</v>
          </cell>
          <cell r="BV69" t="str">
            <v/>
          </cell>
          <cell r="BW69">
            <v>2</v>
          </cell>
          <cell r="BX69">
            <v>10</v>
          </cell>
          <cell r="BY69" t="str">
            <v/>
          </cell>
          <cell r="BZ69">
            <v>1</v>
          </cell>
          <cell r="CA69">
            <v>14</v>
          </cell>
          <cell r="CB69">
            <v>1.508</v>
          </cell>
          <cell r="CC69">
            <v>8.69</v>
          </cell>
          <cell r="CD69">
            <v>20</v>
          </cell>
          <cell r="CE69">
            <v>10</v>
          </cell>
          <cell r="CF69">
            <v>0</v>
          </cell>
          <cell r="CG69">
            <v>20</v>
          </cell>
          <cell r="CH69">
            <v>10</v>
          </cell>
          <cell r="CI69">
            <v>0.1</v>
          </cell>
          <cell r="CJ69">
            <v>2.9850746268656722E-4</v>
          </cell>
          <cell r="CK69">
            <v>2.9850746268656722E-4</v>
          </cell>
          <cell r="CL69">
            <v>0</v>
          </cell>
          <cell r="CM69">
            <v>1.1572904707233067E-4</v>
          </cell>
          <cell r="CN69">
            <v>1.1572904707233067E-4</v>
          </cell>
          <cell r="CO69">
            <v>0</v>
          </cell>
          <cell r="CP69">
            <v>0</v>
          </cell>
          <cell r="CQ69">
            <v>8.6901157290470721</v>
          </cell>
          <cell r="CR69">
            <v>0</v>
          </cell>
          <cell r="CS69">
            <v>1</v>
          </cell>
          <cell r="CT69">
            <v>0</v>
          </cell>
          <cell r="CU69">
            <v>0</v>
          </cell>
          <cell r="CV69">
            <v>27</v>
          </cell>
          <cell r="CW69">
            <v>27</v>
          </cell>
          <cell r="CX69" t="str">
            <v/>
          </cell>
          <cell r="CY69">
            <v>1.5</v>
          </cell>
          <cell r="CZ69">
            <v>1.5</v>
          </cell>
          <cell r="DA69">
            <v>1</v>
          </cell>
          <cell r="DB69">
            <v>3000</v>
          </cell>
          <cell r="DC69">
            <v>1410</v>
          </cell>
          <cell r="DD69">
            <v>780</v>
          </cell>
          <cell r="DE69">
            <v>225</v>
          </cell>
          <cell r="DF69">
            <v>345</v>
          </cell>
          <cell r="DG69">
            <v>60</v>
          </cell>
          <cell r="DH69">
            <v>30</v>
          </cell>
          <cell r="DI69">
            <v>150</v>
          </cell>
        </row>
        <row r="70">
          <cell r="A70" t="str">
            <v>RS 130</v>
          </cell>
          <cell r="B70">
            <v>130</v>
          </cell>
          <cell r="C70" t="str">
            <v>S</v>
          </cell>
          <cell r="D70" t="str">
            <v>T</v>
          </cell>
          <cell r="E70" t="str">
            <v>Jokala - Likwenu River Bridge</v>
          </cell>
          <cell r="F70" t="str">
            <v>M03</v>
          </cell>
          <cell r="G70">
            <v>6</v>
          </cell>
          <cell r="H70">
            <v>23.6</v>
          </cell>
          <cell r="I70" t="str">
            <v>R</v>
          </cell>
          <cell r="J70" t="str">
            <v>ZOMBA</v>
          </cell>
          <cell r="K70">
            <v>8</v>
          </cell>
          <cell r="W70">
            <v>71</v>
          </cell>
          <cell r="X70" t="str">
            <v>SA</v>
          </cell>
          <cell r="Y70">
            <v>125</v>
          </cell>
          <cell r="Z70" t="str">
            <v>SB</v>
          </cell>
          <cell r="AA70">
            <v>150</v>
          </cell>
          <cell r="AB70" t="str">
            <v>GR</v>
          </cell>
          <cell r="AC70">
            <v>14</v>
          </cell>
          <cell r="AD70" t="str">
            <v>VR</v>
          </cell>
          <cell r="AM70">
            <v>2</v>
          </cell>
          <cell r="AN70" t="str">
            <v>never resealed</v>
          </cell>
          <cell r="BO70" t="str">
            <v>RS 130</v>
          </cell>
          <cell r="BP70">
            <v>23.6</v>
          </cell>
          <cell r="BQ70">
            <v>6</v>
          </cell>
          <cell r="BR70" t="str">
            <v>R</v>
          </cell>
          <cell r="BS70" t="str">
            <v>S</v>
          </cell>
          <cell r="BT70">
            <v>0</v>
          </cell>
          <cell r="BU70" t="str">
            <v>SA</v>
          </cell>
          <cell r="BV70" t="str">
            <v/>
          </cell>
          <cell r="BW70">
            <v>2</v>
          </cell>
          <cell r="BX70">
            <v>10</v>
          </cell>
          <cell r="BY70" t="str">
            <v/>
          </cell>
          <cell r="BZ70">
            <v>1</v>
          </cell>
          <cell r="CA70">
            <v>14</v>
          </cell>
          <cell r="CB70">
            <v>1.508</v>
          </cell>
          <cell r="CC70">
            <v>2.92</v>
          </cell>
          <cell r="CD70">
            <v>85</v>
          </cell>
          <cell r="CE70">
            <v>51</v>
          </cell>
          <cell r="CF70">
            <v>36</v>
          </cell>
          <cell r="CG70">
            <v>49</v>
          </cell>
          <cell r="CH70">
            <v>15</v>
          </cell>
          <cell r="CI70">
            <v>0.2</v>
          </cell>
          <cell r="CJ70">
            <v>6.6666666666666686E-4</v>
          </cell>
          <cell r="CK70">
            <v>10</v>
          </cell>
          <cell r="CL70">
            <v>36</v>
          </cell>
          <cell r="CM70">
            <v>0.33840564102564102</v>
          </cell>
          <cell r="CN70">
            <v>0.33840564102564102</v>
          </cell>
          <cell r="CO70">
            <v>0</v>
          </cell>
          <cell r="CP70">
            <v>0</v>
          </cell>
          <cell r="CQ70">
            <v>3.2584056410256408</v>
          </cell>
          <cell r="CR70">
            <v>0</v>
          </cell>
          <cell r="CS70">
            <v>1</v>
          </cell>
          <cell r="CT70">
            <v>0</v>
          </cell>
          <cell r="CU70">
            <v>0</v>
          </cell>
          <cell r="CV70">
            <v>27</v>
          </cell>
          <cell r="CW70">
            <v>27</v>
          </cell>
          <cell r="CX70" t="str">
            <v/>
          </cell>
          <cell r="CY70">
            <v>1.5</v>
          </cell>
          <cell r="CZ70">
            <v>1.5</v>
          </cell>
          <cell r="DA70">
            <v>1.1000000000000001</v>
          </cell>
          <cell r="DB70">
            <v>1100</v>
          </cell>
          <cell r="DC70">
            <v>517</v>
          </cell>
          <cell r="DD70">
            <v>286</v>
          </cell>
          <cell r="DE70">
            <v>83</v>
          </cell>
          <cell r="DF70">
            <v>127</v>
          </cell>
          <cell r="DG70">
            <v>22</v>
          </cell>
          <cell r="DH70">
            <v>11</v>
          </cell>
          <cell r="DI70">
            <v>55</v>
          </cell>
        </row>
        <row r="71">
          <cell r="A71" t="str">
            <v>RS 128</v>
          </cell>
          <cell r="B71">
            <v>128</v>
          </cell>
          <cell r="C71" t="str">
            <v>S</v>
          </cell>
          <cell r="D71" t="str">
            <v>T</v>
          </cell>
          <cell r="E71" t="str">
            <v>Likwenu River Bridge - Mpilisi</v>
          </cell>
          <cell r="F71" t="str">
            <v>M03</v>
          </cell>
          <cell r="G71">
            <v>7</v>
          </cell>
          <cell r="H71">
            <v>15.4</v>
          </cell>
          <cell r="I71" t="str">
            <v>H</v>
          </cell>
          <cell r="J71" t="str">
            <v>MACHINGA</v>
          </cell>
          <cell r="K71">
            <v>8</v>
          </cell>
          <cell r="W71">
            <v>71</v>
          </cell>
          <cell r="X71" t="str">
            <v>SA</v>
          </cell>
          <cell r="Y71">
            <v>125</v>
          </cell>
          <cell r="Z71" t="str">
            <v>SB</v>
          </cell>
          <cell r="AA71">
            <v>150</v>
          </cell>
          <cell r="AB71" t="str">
            <v>GR</v>
          </cell>
          <cell r="AC71">
            <v>14</v>
          </cell>
          <cell r="AD71" t="str">
            <v>VR</v>
          </cell>
          <cell r="AM71">
            <v>2</v>
          </cell>
          <cell r="AN71" t="str">
            <v>never resealed</v>
          </cell>
          <cell r="BO71" t="str">
            <v>RS 128</v>
          </cell>
          <cell r="BP71">
            <v>15.4</v>
          </cell>
          <cell r="BQ71">
            <v>6</v>
          </cell>
          <cell r="BR71" t="str">
            <v>H</v>
          </cell>
          <cell r="BS71" t="str">
            <v>S</v>
          </cell>
          <cell r="BT71">
            <v>0</v>
          </cell>
          <cell r="BU71" t="str">
            <v>SA</v>
          </cell>
          <cell r="BV71" t="str">
            <v/>
          </cell>
          <cell r="BW71">
            <v>2</v>
          </cell>
          <cell r="BX71">
            <v>10</v>
          </cell>
          <cell r="BY71" t="str">
            <v/>
          </cell>
          <cell r="BZ71">
            <v>1</v>
          </cell>
          <cell r="CA71">
            <v>14</v>
          </cell>
          <cell r="CB71">
            <v>1.508</v>
          </cell>
          <cell r="CC71">
            <v>2.9890041055718477</v>
          </cell>
          <cell r="CD71">
            <v>80</v>
          </cell>
          <cell r="CE71">
            <v>16</v>
          </cell>
          <cell r="CF71">
            <v>1</v>
          </cell>
          <cell r="CG71">
            <v>79</v>
          </cell>
          <cell r="CH71">
            <v>15</v>
          </cell>
          <cell r="CI71">
            <v>3</v>
          </cell>
          <cell r="CJ71">
            <v>1.0000000000000002E-2</v>
          </cell>
          <cell r="CK71">
            <v>1.01</v>
          </cell>
          <cell r="CL71">
            <v>1</v>
          </cell>
          <cell r="CM71">
            <v>2.0492307692307695E-2</v>
          </cell>
          <cell r="CN71">
            <v>2.0492307692307695E-2</v>
          </cell>
          <cell r="CO71">
            <v>0</v>
          </cell>
          <cell r="CP71">
            <v>0</v>
          </cell>
          <cell r="CQ71">
            <v>3.0094964132641553</v>
          </cell>
          <cell r="CR71">
            <v>0</v>
          </cell>
          <cell r="CS71">
            <v>1</v>
          </cell>
          <cell r="CT71">
            <v>0</v>
          </cell>
          <cell r="CU71">
            <v>0</v>
          </cell>
          <cell r="CV71">
            <v>27</v>
          </cell>
          <cell r="CW71">
            <v>27</v>
          </cell>
          <cell r="CX71" t="str">
            <v/>
          </cell>
          <cell r="CY71">
            <v>1.2</v>
          </cell>
          <cell r="CZ71">
            <v>1.5</v>
          </cell>
          <cell r="DA71">
            <v>1.1000000000000001</v>
          </cell>
          <cell r="DB71">
            <v>1100</v>
          </cell>
          <cell r="DC71">
            <v>517</v>
          </cell>
          <cell r="DD71">
            <v>286</v>
          </cell>
          <cell r="DE71">
            <v>83</v>
          </cell>
          <cell r="DF71">
            <v>127</v>
          </cell>
          <cell r="DG71">
            <v>22</v>
          </cell>
          <cell r="DH71">
            <v>11</v>
          </cell>
          <cell r="DI71">
            <v>55</v>
          </cell>
        </row>
        <row r="72">
          <cell r="A72" t="str">
            <v>RS 119</v>
          </cell>
          <cell r="B72">
            <v>119</v>
          </cell>
          <cell r="C72" t="str">
            <v>S</v>
          </cell>
          <cell r="D72" t="str">
            <v>T</v>
          </cell>
          <cell r="E72" t="str">
            <v>Mpilisi - M'manga</v>
          </cell>
          <cell r="F72" t="str">
            <v>M03</v>
          </cell>
          <cell r="G72">
            <v>8</v>
          </cell>
          <cell r="H72">
            <v>12.5</v>
          </cell>
          <cell r="I72" t="str">
            <v>R</v>
          </cell>
          <cell r="J72" t="str">
            <v>MACHINGA</v>
          </cell>
          <cell r="K72">
            <v>8</v>
          </cell>
          <cell r="W72">
            <v>71</v>
          </cell>
          <cell r="X72" t="str">
            <v>SA</v>
          </cell>
          <cell r="Y72">
            <v>125</v>
          </cell>
          <cell r="Z72" t="str">
            <v>SB</v>
          </cell>
          <cell r="AA72">
            <v>150</v>
          </cell>
          <cell r="AB72" t="str">
            <v>GR</v>
          </cell>
          <cell r="AC72">
            <v>14</v>
          </cell>
          <cell r="AD72" t="str">
            <v>VR</v>
          </cell>
          <cell r="AM72">
            <v>2</v>
          </cell>
          <cell r="AN72" t="str">
            <v>never resealed</v>
          </cell>
          <cell r="BO72" t="str">
            <v>RS 119</v>
          </cell>
          <cell r="BP72">
            <v>12.5</v>
          </cell>
          <cell r="BQ72">
            <v>6</v>
          </cell>
          <cell r="BR72" t="str">
            <v>R</v>
          </cell>
          <cell r="BS72" t="str">
            <v>S</v>
          </cell>
          <cell r="BT72">
            <v>0</v>
          </cell>
          <cell r="BU72" t="str">
            <v>SA</v>
          </cell>
          <cell r="BV72" t="str">
            <v/>
          </cell>
          <cell r="BW72">
            <v>2</v>
          </cell>
          <cell r="BX72">
            <v>10</v>
          </cell>
          <cell r="BY72" t="str">
            <v/>
          </cell>
          <cell r="BZ72">
            <v>1</v>
          </cell>
          <cell r="CA72">
            <v>14</v>
          </cell>
          <cell r="CB72">
            <v>1.508</v>
          </cell>
          <cell r="CC72">
            <v>4.49</v>
          </cell>
          <cell r="CD72">
            <v>90</v>
          </cell>
          <cell r="CE72">
            <v>45</v>
          </cell>
          <cell r="CF72">
            <v>30</v>
          </cell>
          <cell r="CG72">
            <v>60</v>
          </cell>
          <cell r="CH72">
            <v>15</v>
          </cell>
          <cell r="CI72">
            <v>48</v>
          </cell>
          <cell r="CJ72">
            <v>0.16000000000000003</v>
          </cell>
          <cell r="CK72">
            <v>10</v>
          </cell>
          <cell r="CL72">
            <v>30</v>
          </cell>
          <cell r="CM72">
            <v>0.35889230769230773</v>
          </cell>
          <cell r="CN72">
            <v>0.35889230769230773</v>
          </cell>
          <cell r="CO72">
            <v>0</v>
          </cell>
          <cell r="CP72">
            <v>0</v>
          </cell>
          <cell r="CQ72">
            <v>4.8488923076923083</v>
          </cell>
          <cell r="CR72">
            <v>30</v>
          </cell>
          <cell r="CS72">
            <v>1</v>
          </cell>
          <cell r="CT72">
            <v>0</v>
          </cell>
          <cell r="CU72">
            <v>0</v>
          </cell>
          <cell r="CV72">
            <v>27</v>
          </cell>
          <cell r="CW72">
            <v>27</v>
          </cell>
          <cell r="CX72" t="str">
            <v/>
          </cell>
          <cell r="CY72">
            <v>1.5</v>
          </cell>
          <cell r="CZ72">
            <v>2</v>
          </cell>
          <cell r="DA72">
            <v>1.5</v>
          </cell>
          <cell r="DB72">
            <v>1000</v>
          </cell>
          <cell r="DC72">
            <v>470</v>
          </cell>
          <cell r="DD72">
            <v>260</v>
          </cell>
          <cell r="DE72">
            <v>75</v>
          </cell>
          <cell r="DF72">
            <v>115</v>
          </cell>
          <cell r="DG72">
            <v>20</v>
          </cell>
          <cell r="DH72">
            <v>10</v>
          </cell>
          <cell r="DI72">
            <v>50</v>
          </cell>
        </row>
        <row r="73">
          <cell r="A73" t="str">
            <v>RS 131</v>
          </cell>
          <cell r="B73">
            <v>131</v>
          </cell>
          <cell r="C73" t="str">
            <v>S</v>
          </cell>
          <cell r="D73" t="str">
            <v>T</v>
          </cell>
          <cell r="E73" t="str">
            <v>M'manga - Chibwana.</v>
          </cell>
          <cell r="F73" t="str">
            <v>M03</v>
          </cell>
          <cell r="G73">
            <v>9</v>
          </cell>
          <cell r="H73">
            <v>9.6999999999999993</v>
          </cell>
          <cell r="I73" t="str">
            <v>F</v>
          </cell>
          <cell r="J73" t="str">
            <v>MACHINGA</v>
          </cell>
          <cell r="K73">
            <v>8</v>
          </cell>
          <cell r="W73">
            <v>74</v>
          </cell>
          <cell r="X73" t="str">
            <v>SA</v>
          </cell>
          <cell r="Y73">
            <v>125</v>
          </cell>
          <cell r="Z73" t="str">
            <v>SB</v>
          </cell>
          <cell r="AA73">
            <v>150</v>
          </cell>
          <cell r="AB73" t="str">
            <v>GR</v>
          </cell>
          <cell r="AC73">
            <v>14</v>
          </cell>
          <cell r="AD73" t="str">
            <v>VR</v>
          </cell>
          <cell r="AE73">
            <v>86</v>
          </cell>
          <cell r="AF73" t="str">
            <v>SR</v>
          </cell>
          <cell r="AG73" t="str">
            <v>ST</v>
          </cell>
          <cell r="AH73">
            <v>10</v>
          </cell>
          <cell r="AM73">
            <v>5</v>
          </cell>
          <cell r="BO73" t="str">
            <v>RS 131</v>
          </cell>
          <cell r="BP73">
            <v>9.6999999999999993</v>
          </cell>
          <cell r="BQ73">
            <v>6</v>
          </cell>
          <cell r="BR73" t="str">
            <v>F</v>
          </cell>
          <cell r="BS73" t="str">
            <v>C</v>
          </cell>
          <cell r="BT73">
            <v>0</v>
          </cell>
          <cell r="BU73" t="str">
            <v>ST</v>
          </cell>
          <cell r="BV73" t="str">
            <v>SA</v>
          </cell>
          <cell r="BW73">
            <v>5</v>
          </cell>
          <cell r="BX73">
            <v>10</v>
          </cell>
          <cell r="BY73">
            <v>10</v>
          </cell>
          <cell r="BZ73">
            <v>1</v>
          </cell>
          <cell r="CA73">
            <v>14</v>
          </cell>
          <cell r="CB73">
            <v>1.6850000000000001</v>
          </cell>
          <cell r="CC73">
            <v>6.21</v>
          </cell>
          <cell r="CD73">
            <v>80</v>
          </cell>
          <cell r="CE73">
            <v>75</v>
          </cell>
          <cell r="CF73">
            <v>60</v>
          </cell>
          <cell r="CG73">
            <v>20</v>
          </cell>
          <cell r="CH73">
            <v>15</v>
          </cell>
          <cell r="CI73">
            <v>950</v>
          </cell>
          <cell r="CJ73">
            <v>3.166666666666667</v>
          </cell>
          <cell r="CK73">
            <v>10</v>
          </cell>
          <cell r="CL73">
            <v>60</v>
          </cell>
          <cell r="CM73">
            <v>1.6929487179487179</v>
          </cell>
          <cell r="CN73">
            <v>1.6929487179487179</v>
          </cell>
          <cell r="CO73">
            <v>0</v>
          </cell>
          <cell r="CP73">
            <v>0</v>
          </cell>
          <cell r="CQ73">
            <v>7.9029487179487177</v>
          </cell>
          <cell r="CR73">
            <v>90</v>
          </cell>
          <cell r="CS73">
            <v>1</v>
          </cell>
          <cell r="CT73">
            <v>0</v>
          </cell>
          <cell r="CU73">
            <v>0</v>
          </cell>
          <cell r="CV73">
            <v>12</v>
          </cell>
          <cell r="CW73">
            <v>24</v>
          </cell>
          <cell r="CX73">
            <v>48</v>
          </cell>
          <cell r="CY73">
            <v>2</v>
          </cell>
          <cell r="CZ73">
            <v>2</v>
          </cell>
          <cell r="DA73">
            <v>1.2</v>
          </cell>
          <cell r="DB73">
            <v>300</v>
          </cell>
          <cell r="DC73">
            <v>141</v>
          </cell>
          <cell r="DD73">
            <v>78</v>
          </cell>
          <cell r="DE73">
            <v>23</v>
          </cell>
          <cell r="DF73">
            <v>35</v>
          </cell>
          <cell r="DG73">
            <v>6</v>
          </cell>
          <cell r="DH73">
            <v>3</v>
          </cell>
          <cell r="DI73">
            <v>15</v>
          </cell>
        </row>
        <row r="74">
          <cell r="A74" t="str">
            <v>RS 125</v>
          </cell>
          <cell r="B74">
            <v>125</v>
          </cell>
          <cell r="C74" t="str">
            <v>S</v>
          </cell>
          <cell r="D74" t="str">
            <v>T</v>
          </cell>
          <cell r="E74" t="str">
            <v xml:space="preserve">Chibwana - Hoba. </v>
          </cell>
          <cell r="F74" t="str">
            <v>M03</v>
          </cell>
          <cell r="G74">
            <v>10</v>
          </cell>
          <cell r="H74">
            <v>10.8</v>
          </cell>
          <cell r="I74" t="str">
            <v>F</v>
          </cell>
          <cell r="J74" t="str">
            <v>MACHINGA</v>
          </cell>
          <cell r="K74">
            <v>8</v>
          </cell>
          <cell r="W74">
            <v>74</v>
          </cell>
          <cell r="X74" t="str">
            <v>DS</v>
          </cell>
          <cell r="Y74">
            <v>150</v>
          </cell>
          <cell r="Z74" t="str">
            <v>SB</v>
          </cell>
          <cell r="AA74">
            <v>100</v>
          </cell>
          <cell r="AB74" t="str">
            <v>GR</v>
          </cell>
          <cell r="AC74">
            <v>6</v>
          </cell>
          <cell r="AD74" t="str">
            <v>VR</v>
          </cell>
          <cell r="AE74">
            <v>86</v>
          </cell>
          <cell r="AF74" t="str">
            <v>SR</v>
          </cell>
          <cell r="AG74" t="str">
            <v>ST</v>
          </cell>
          <cell r="AH74">
            <v>10</v>
          </cell>
          <cell r="AI74">
            <v>96</v>
          </cell>
          <cell r="AJ74" t="str">
            <v>SS</v>
          </cell>
          <cell r="AK74" t="str">
            <v>SS</v>
          </cell>
          <cell r="AL74">
            <v>5</v>
          </cell>
          <cell r="AM74">
            <v>3</v>
          </cell>
          <cell r="BO74" t="str">
            <v>RS 125</v>
          </cell>
          <cell r="BP74">
            <v>10.8</v>
          </cell>
          <cell r="BQ74">
            <v>6</v>
          </cell>
          <cell r="BR74" t="str">
            <v>F</v>
          </cell>
          <cell r="BS74" t="str">
            <v>S</v>
          </cell>
          <cell r="BT74">
            <v>0</v>
          </cell>
          <cell r="BU74" t="str">
            <v>SS</v>
          </cell>
          <cell r="BV74" t="str">
            <v>SR</v>
          </cell>
          <cell r="BW74">
            <v>3</v>
          </cell>
          <cell r="BX74">
            <v>5</v>
          </cell>
          <cell r="BY74">
            <v>10</v>
          </cell>
          <cell r="BZ74">
            <v>1</v>
          </cell>
          <cell r="CA74">
            <v>6</v>
          </cell>
          <cell r="CB74">
            <v>1.3540000000000001</v>
          </cell>
          <cell r="CC74">
            <v>5.78</v>
          </cell>
          <cell r="CD74">
            <v>60</v>
          </cell>
          <cell r="CE74">
            <v>6</v>
          </cell>
          <cell r="CF74">
            <v>0</v>
          </cell>
          <cell r="CG74">
            <v>60</v>
          </cell>
          <cell r="CH74">
            <v>6</v>
          </cell>
          <cell r="CI74">
            <v>76</v>
          </cell>
          <cell r="CJ74">
            <v>0.25333333333333335</v>
          </cell>
          <cell r="CK74">
            <v>0.25333333333333335</v>
          </cell>
          <cell r="CL74">
            <v>0</v>
          </cell>
          <cell r="CM74">
            <v>9.8215384615384621E-2</v>
          </cell>
          <cell r="CN74">
            <v>9.8215384615384621E-2</v>
          </cell>
          <cell r="CO74">
            <v>0</v>
          </cell>
          <cell r="CP74">
            <v>0</v>
          </cell>
          <cell r="CQ74">
            <v>5.8782153846153848</v>
          </cell>
          <cell r="CR74">
            <v>70</v>
          </cell>
          <cell r="CS74">
            <v>1</v>
          </cell>
          <cell r="CT74">
            <v>0</v>
          </cell>
          <cell r="CU74">
            <v>0</v>
          </cell>
          <cell r="CV74">
            <v>2</v>
          </cell>
          <cell r="CW74">
            <v>24</v>
          </cell>
          <cell r="CX74">
            <v>48</v>
          </cell>
          <cell r="CY74">
            <v>1.5</v>
          </cell>
          <cell r="CZ74">
            <v>2</v>
          </cell>
          <cell r="DA74">
            <v>1.2</v>
          </cell>
          <cell r="DB74">
            <v>300</v>
          </cell>
          <cell r="DC74">
            <v>141</v>
          </cell>
          <cell r="DD74">
            <v>78</v>
          </cell>
          <cell r="DE74">
            <v>23</v>
          </cell>
          <cell r="DF74">
            <v>35</v>
          </cell>
          <cell r="DG74">
            <v>6</v>
          </cell>
          <cell r="DH74">
            <v>3</v>
          </cell>
          <cell r="DI74">
            <v>15</v>
          </cell>
        </row>
        <row r="75">
          <cell r="A75" t="str">
            <v>RS 120</v>
          </cell>
          <cell r="B75">
            <v>120</v>
          </cell>
          <cell r="C75" t="str">
            <v>S</v>
          </cell>
          <cell r="D75" t="str">
            <v>T</v>
          </cell>
          <cell r="E75" t="str">
            <v>Hoba - Mpale River</v>
          </cell>
          <cell r="F75" t="str">
            <v>M03</v>
          </cell>
          <cell r="G75">
            <v>11</v>
          </cell>
          <cell r="H75">
            <v>14.6</v>
          </cell>
          <cell r="I75" t="str">
            <v>F</v>
          </cell>
          <cell r="J75" t="str">
            <v>MACHINGA</v>
          </cell>
          <cell r="K75">
            <v>8</v>
          </cell>
          <cell r="W75">
            <v>74</v>
          </cell>
          <cell r="X75" t="str">
            <v>DS</v>
          </cell>
          <cell r="Y75">
            <v>150</v>
          </cell>
          <cell r="Z75" t="str">
            <v>SB</v>
          </cell>
          <cell r="AA75">
            <v>100</v>
          </cell>
          <cell r="AB75" t="str">
            <v>GR</v>
          </cell>
          <cell r="AC75">
            <v>6</v>
          </cell>
          <cell r="AD75" t="str">
            <v>VR</v>
          </cell>
          <cell r="AE75">
            <v>86</v>
          </cell>
          <cell r="AF75" t="str">
            <v>SR</v>
          </cell>
          <cell r="AG75" t="str">
            <v>ST</v>
          </cell>
          <cell r="AH75">
            <v>10</v>
          </cell>
          <cell r="AI75">
            <v>96</v>
          </cell>
          <cell r="AJ75" t="str">
            <v>SS</v>
          </cell>
          <cell r="AK75" t="str">
            <v>SS</v>
          </cell>
          <cell r="AL75">
            <v>5</v>
          </cell>
          <cell r="AM75">
            <v>3</v>
          </cell>
          <cell r="BO75" t="str">
            <v>RS 120</v>
          </cell>
          <cell r="BP75">
            <v>14.6</v>
          </cell>
          <cell r="BQ75">
            <v>6</v>
          </cell>
          <cell r="BR75" t="str">
            <v>F</v>
          </cell>
          <cell r="BS75" t="str">
            <v>S</v>
          </cell>
          <cell r="BT75">
            <v>0</v>
          </cell>
          <cell r="BU75" t="str">
            <v>SS</v>
          </cell>
          <cell r="BV75" t="str">
            <v>SR</v>
          </cell>
          <cell r="BW75">
            <v>3</v>
          </cell>
          <cell r="BX75">
            <v>5</v>
          </cell>
          <cell r="BY75">
            <v>10</v>
          </cell>
          <cell r="BZ75">
            <v>1</v>
          </cell>
          <cell r="CA75">
            <v>6</v>
          </cell>
          <cell r="CB75">
            <v>1.3540000000000001</v>
          </cell>
          <cell r="CC75">
            <v>4.87</v>
          </cell>
          <cell r="CD75">
            <v>20</v>
          </cell>
          <cell r="CE75">
            <v>0</v>
          </cell>
          <cell r="CF75">
            <v>0</v>
          </cell>
          <cell r="CG75">
            <v>20</v>
          </cell>
          <cell r="CH75">
            <v>0</v>
          </cell>
          <cell r="CI75">
            <v>3</v>
          </cell>
          <cell r="CJ75">
            <v>1.0000000000000002E-2</v>
          </cell>
          <cell r="CK75">
            <v>1.0000000000000002E-2</v>
          </cell>
          <cell r="CL75">
            <v>0</v>
          </cell>
          <cell r="CM75">
            <v>3.8769230769230782E-3</v>
          </cell>
          <cell r="CN75">
            <v>3.8769230769230782E-3</v>
          </cell>
          <cell r="CO75">
            <v>0</v>
          </cell>
          <cell r="CP75">
            <v>0</v>
          </cell>
          <cell r="CQ75">
            <v>4.8738769230769234</v>
          </cell>
          <cell r="CR75">
            <v>0</v>
          </cell>
          <cell r="CS75">
            <v>1</v>
          </cell>
          <cell r="CT75">
            <v>0</v>
          </cell>
          <cell r="CU75">
            <v>0</v>
          </cell>
          <cell r="CV75">
            <v>2</v>
          </cell>
          <cell r="CW75">
            <v>24</v>
          </cell>
          <cell r="CX75">
            <v>48</v>
          </cell>
          <cell r="CY75">
            <v>1.2</v>
          </cell>
          <cell r="CZ75">
            <v>1.5</v>
          </cell>
          <cell r="DA75">
            <v>1.1000000000000001</v>
          </cell>
          <cell r="DB75">
            <v>300</v>
          </cell>
          <cell r="DC75">
            <v>141</v>
          </cell>
          <cell r="DD75">
            <v>78</v>
          </cell>
          <cell r="DE75">
            <v>23</v>
          </cell>
          <cell r="DF75">
            <v>35</v>
          </cell>
          <cell r="DG75">
            <v>6</v>
          </cell>
          <cell r="DH75">
            <v>3</v>
          </cell>
          <cell r="DI75">
            <v>15</v>
          </cell>
        </row>
        <row r="76">
          <cell r="A76" t="str">
            <v>RS 129</v>
          </cell>
          <cell r="B76">
            <v>129</v>
          </cell>
          <cell r="C76" t="str">
            <v>S</v>
          </cell>
          <cell r="D76" t="str">
            <v>T</v>
          </cell>
          <cell r="E76" t="str">
            <v>Mpale River - Nkungulu</v>
          </cell>
          <cell r="F76" t="str">
            <v>M03</v>
          </cell>
          <cell r="G76">
            <v>12</v>
          </cell>
          <cell r="H76">
            <v>13</v>
          </cell>
          <cell r="I76" t="str">
            <v>R</v>
          </cell>
          <cell r="J76" t="str">
            <v>MACHINGA &amp; MANGOCHI</v>
          </cell>
          <cell r="K76">
            <v>8</v>
          </cell>
          <cell r="W76">
            <v>74</v>
          </cell>
          <cell r="X76" t="str">
            <v>DS</v>
          </cell>
          <cell r="Y76">
            <v>150</v>
          </cell>
          <cell r="Z76" t="str">
            <v>SB</v>
          </cell>
          <cell r="AA76">
            <v>100</v>
          </cell>
          <cell r="AB76" t="str">
            <v>GR</v>
          </cell>
          <cell r="AC76">
            <v>6</v>
          </cell>
          <cell r="AD76" t="str">
            <v>VR</v>
          </cell>
          <cell r="AE76">
            <v>86</v>
          </cell>
          <cell r="AF76" t="str">
            <v>SR</v>
          </cell>
          <cell r="AG76" t="str">
            <v>ST</v>
          </cell>
          <cell r="AH76">
            <v>10</v>
          </cell>
          <cell r="AI76">
            <v>96</v>
          </cell>
          <cell r="AJ76" t="str">
            <v>SS</v>
          </cell>
          <cell r="AK76" t="str">
            <v>SS</v>
          </cell>
          <cell r="AL76">
            <v>5</v>
          </cell>
          <cell r="AM76">
            <v>3</v>
          </cell>
          <cell r="BO76" t="str">
            <v>RS 129</v>
          </cell>
          <cell r="BP76">
            <v>13</v>
          </cell>
          <cell r="BQ76">
            <v>6</v>
          </cell>
          <cell r="BR76" t="str">
            <v>R</v>
          </cell>
          <cell r="BS76" t="str">
            <v>S</v>
          </cell>
          <cell r="BT76">
            <v>0</v>
          </cell>
          <cell r="BU76" t="str">
            <v>SS</v>
          </cell>
          <cell r="BV76" t="str">
            <v>SR</v>
          </cell>
          <cell r="BW76">
            <v>3</v>
          </cell>
          <cell r="BX76">
            <v>5</v>
          </cell>
          <cell r="BY76">
            <v>10</v>
          </cell>
          <cell r="BZ76">
            <v>1</v>
          </cell>
          <cell r="CA76">
            <v>6</v>
          </cell>
          <cell r="CB76">
            <v>1.3540000000000001</v>
          </cell>
          <cell r="CC76">
            <v>3.2750301575393848</v>
          </cell>
          <cell r="CD76">
            <v>70</v>
          </cell>
          <cell r="CE76">
            <v>15</v>
          </cell>
          <cell r="CF76">
            <v>0</v>
          </cell>
          <cell r="CG76">
            <v>70</v>
          </cell>
          <cell r="CH76">
            <v>15</v>
          </cell>
          <cell r="CI76">
            <v>11</v>
          </cell>
          <cell r="CJ76">
            <v>3.6666666666666667E-2</v>
          </cell>
          <cell r="CK76">
            <v>3.6666666666666667E-2</v>
          </cell>
          <cell r="CL76">
            <v>0</v>
          </cell>
          <cell r="CM76">
            <v>1.4215384615384618E-2</v>
          </cell>
          <cell r="CN76">
            <v>1.4215384615384618E-2</v>
          </cell>
          <cell r="CO76">
            <v>0</v>
          </cell>
          <cell r="CP76">
            <v>0</v>
          </cell>
          <cell r="CQ76">
            <v>3.2892455421547693</v>
          </cell>
          <cell r="CR76">
            <v>10</v>
          </cell>
          <cell r="CS76">
            <v>1</v>
          </cell>
          <cell r="CT76">
            <v>0</v>
          </cell>
          <cell r="CU76">
            <v>0</v>
          </cell>
          <cell r="CV76">
            <v>2</v>
          </cell>
          <cell r="CW76">
            <v>24</v>
          </cell>
          <cell r="CX76">
            <v>48</v>
          </cell>
          <cell r="CY76">
            <v>1.2</v>
          </cell>
          <cell r="CZ76">
            <v>1.5</v>
          </cell>
          <cell r="DA76">
            <v>1.1000000000000001</v>
          </cell>
          <cell r="DB76">
            <v>300</v>
          </cell>
          <cell r="DC76">
            <v>141</v>
          </cell>
          <cell r="DD76">
            <v>78</v>
          </cell>
          <cell r="DE76">
            <v>23</v>
          </cell>
          <cell r="DF76">
            <v>35</v>
          </cell>
          <cell r="DG76">
            <v>6</v>
          </cell>
          <cell r="DH76">
            <v>3</v>
          </cell>
          <cell r="DI76">
            <v>15</v>
          </cell>
        </row>
        <row r="77">
          <cell r="A77" t="str">
            <v>RS 321</v>
          </cell>
          <cell r="B77">
            <v>143</v>
          </cell>
          <cell r="C77" t="str">
            <v>S</v>
          </cell>
          <cell r="D77" t="str">
            <v>T</v>
          </cell>
          <cell r="E77" t="str">
            <v>Nkungulu - Mangochi</v>
          </cell>
          <cell r="F77" t="str">
            <v>M03</v>
          </cell>
          <cell r="G77">
            <v>13</v>
          </cell>
          <cell r="H77">
            <v>21.3</v>
          </cell>
          <cell r="I77" t="str">
            <v>F</v>
          </cell>
          <cell r="J77" t="str">
            <v>MANGOCHI</v>
          </cell>
          <cell r="K77">
            <v>8</v>
          </cell>
          <cell r="W77">
            <v>74</v>
          </cell>
          <cell r="X77" t="str">
            <v>DS</v>
          </cell>
          <cell r="Y77">
            <v>100</v>
          </cell>
          <cell r="Z77" t="str">
            <v>SB</v>
          </cell>
          <cell r="AA77">
            <v>100</v>
          </cell>
          <cell r="AB77" t="str">
            <v>GR</v>
          </cell>
          <cell r="AC77">
            <v>6</v>
          </cell>
          <cell r="AD77" t="str">
            <v>VR</v>
          </cell>
          <cell r="AM77">
            <v>1</v>
          </cell>
          <cell r="AN77" t="str">
            <v>never resealed</v>
          </cell>
          <cell r="BO77" t="str">
            <v>RS 321</v>
          </cell>
          <cell r="BP77">
            <v>21.3</v>
          </cell>
          <cell r="BQ77">
            <v>6</v>
          </cell>
          <cell r="BR77" t="str">
            <v>F</v>
          </cell>
          <cell r="BS77" t="str">
            <v>C</v>
          </cell>
          <cell r="BT77">
            <v>0</v>
          </cell>
          <cell r="BU77" t="str">
            <v>DS</v>
          </cell>
          <cell r="BV77" t="str">
            <v/>
          </cell>
          <cell r="BW77">
            <v>1</v>
          </cell>
          <cell r="BX77">
            <v>15</v>
          </cell>
          <cell r="BY77" t="str">
            <v/>
          </cell>
          <cell r="BZ77">
            <v>1</v>
          </cell>
          <cell r="CA77">
            <v>6</v>
          </cell>
          <cell r="CB77">
            <v>1.177</v>
          </cell>
          <cell r="CC77">
            <v>4.2485348973607042</v>
          </cell>
          <cell r="CD77">
            <v>97</v>
          </cell>
          <cell r="CE77">
            <v>68</v>
          </cell>
          <cell r="CF77">
            <v>53</v>
          </cell>
          <cell r="CG77">
            <v>44</v>
          </cell>
          <cell r="CH77">
            <v>15</v>
          </cell>
          <cell r="CI77">
            <v>4.5</v>
          </cell>
          <cell r="CJ77">
            <v>1.5000000000000001E-2</v>
          </cell>
          <cell r="CK77">
            <v>10</v>
          </cell>
          <cell r="CL77">
            <v>53</v>
          </cell>
          <cell r="CM77">
            <v>0.45628076923076921</v>
          </cell>
          <cell r="CN77">
            <v>0.45628076923076921</v>
          </cell>
          <cell r="CO77">
            <v>0</v>
          </cell>
          <cell r="CP77">
            <v>0</v>
          </cell>
          <cell r="CQ77">
            <v>4.7048156665914735</v>
          </cell>
          <cell r="CR77">
            <v>20</v>
          </cell>
          <cell r="CS77">
            <v>1</v>
          </cell>
          <cell r="CT77">
            <v>0</v>
          </cell>
          <cell r="CU77">
            <v>0</v>
          </cell>
          <cell r="CV77">
            <v>24</v>
          </cell>
          <cell r="CW77">
            <v>24</v>
          </cell>
          <cell r="CX77" t="str">
            <v/>
          </cell>
          <cell r="CY77">
            <v>2</v>
          </cell>
          <cell r="CZ77">
            <v>1.8</v>
          </cell>
          <cell r="DA77">
            <v>1.5</v>
          </cell>
          <cell r="DB77">
            <v>300</v>
          </cell>
          <cell r="DC77">
            <v>141</v>
          </cell>
          <cell r="DD77">
            <v>78</v>
          </cell>
          <cell r="DE77">
            <v>23</v>
          </cell>
          <cell r="DF77">
            <v>35</v>
          </cell>
          <cell r="DG77">
            <v>6</v>
          </cell>
          <cell r="DH77">
            <v>3</v>
          </cell>
          <cell r="DI77">
            <v>15</v>
          </cell>
        </row>
        <row r="78">
          <cell r="A78" t="str">
            <v>RS 322</v>
          </cell>
          <cell r="B78">
            <v>144</v>
          </cell>
          <cell r="C78" t="str">
            <v>S</v>
          </cell>
          <cell r="D78" t="str">
            <v>T</v>
          </cell>
          <cell r="E78" t="str">
            <v>Mangochi - Chingo</v>
          </cell>
          <cell r="F78" t="str">
            <v>M03</v>
          </cell>
          <cell r="G78">
            <v>14</v>
          </cell>
          <cell r="H78">
            <v>6</v>
          </cell>
          <cell r="I78" t="str">
            <v>R</v>
          </cell>
          <cell r="J78" t="str">
            <v>MANGOCHI</v>
          </cell>
          <cell r="K78">
            <v>8</v>
          </cell>
          <cell r="W78">
            <v>81</v>
          </cell>
          <cell r="X78" t="str">
            <v>ST</v>
          </cell>
          <cell r="Y78">
            <v>150</v>
          </cell>
          <cell r="Z78" t="str">
            <v>SB</v>
          </cell>
          <cell r="AA78">
            <v>150</v>
          </cell>
          <cell r="AB78" t="str">
            <v>GR</v>
          </cell>
          <cell r="AC78">
            <v>6</v>
          </cell>
          <cell r="AD78" t="str">
            <v>VR</v>
          </cell>
          <cell r="AM78">
            <v>1</v>
          </cell>
          <cell r="AN78" t="str">
            <v>never resealed</v>
          </cell>
          <cell r="BO78" t="str">
            <v>RS 322</v>
          </cell>
          <cell r="BP78">
            <v>6</v>
          </cell>
          <cell r="BQ78">
            <v>6</v>
          </cell>
          <cell r="BR78" t="str">
            <v>R</v>
          </cell>
          <cell r="BS78" t="str">
            <v>C</v>
          </cell>
          <cell r="BT78">
            <v>30</v>
          </cell>
          <cell r="BU78" t="str">
            <v>ST</v>
          </cell>
          <cell r="BV78" t="str">
            <v/>
          </cell>
          <cell r="BW78">
            <v>1</v>
          </cell>
          <cell r="BX78">
            <v>10</v>
          </cell>
          <cell r="BY78" t="str">
            <v/>
          </cell>
          <cell r="BZ78">
            <v>1</v>
          </cell>
          <cell r="CA78">
            <v>6</v>
          </cell>
          <cell r="CB78">
            <v>1.508</v>
          </cell>
          <cell r="CC78">
            <v>8</v>
          </cell>
          <cell r="CD78">
            <v>95</v>
          </cell>
          <cell r="CE78">
            <v>80</v>
          </cell>
          <cell r="CF78">
            <v>65</v>
          </cell>
          <cell r="CG78">
            <v>30</v>
          </cell>
          <cell r="CH78">
            <v>15</v>
          </cell>
          <cell r="CI78">
            <v>8</v>
          </cell>
          <cell r="CJ78">
            <v>2.6666666666666668E-2</v>
          </cell>
          <cell r="CK78">
            <v>10</v>
          </cell>
          <cell r="CL78">
            <v>65</v>
          </cell>
          <cell r="CM78">
            <v>0.5400717948717948</v>
          </cell>
          <cell r="CN78">
            <v>0.5400717948717948</v>
          </cell>
          <cell r="CO78">
            <v>0</v>
          </cell>
          <cell r="CP78">
            <v>0</v>
          </cell>
          <cell r="CQ78">
            <v>8.5400717948717944</v>
          </cell>
          <cell r="CR78">
            <v>20</v>
          </cell>
          <cell r="CS78">
            <v>1</v>
          </cell>
          <cell r="CT78">
            <v>0</v>
          </cell>
          <cell r="CU78">
            <v>0</v>
          </cell>
          <cell r="CV78">
            <v>17</v>
          </cell>
          <cell r="CW78">
            <v>17</v>
          </cell>
          <cell r="CX78" t="str">
            <v/>
          </cell>
          <cell r="CY78">
            <v>2</v>
          </cell>
          <cell r="CZ78">
            <v>2</v>
          </cell>
          <cell r="DA78">
            <v>1.5</v>
          </cell>
          <cell r="DB78">
            <v>250</v>
          </cell>
          <cell r="DC78">
            <v>118</v>
          </cell>
          <cell r="DD78">
            <v>65</v>
          </cell>
          <cell r="DE78">
            <v>19</v>
          </cell>
          <cell r="DF78">
            <v>29</v>
          </cell>
          <cell r="DG78">
            <v>5</v>
          </cell>
          <cell r="DH78">
            <v>3</v>
          </cell>
          <cell r="DI78">
            <v>13</v>
          </cell>
        </row>
        <row r="79">
          <cell r="A79" t="str">
            <v>RS 324</v>
          </cell>
          <cell r="B79">
            <v>146</v>
          </cell>
          <cell r="C79" t="str">
            <v>S</v>
          </cell>
          <cell r="D79" t="str">
            <v>T</v>
          </cell>
          <cell r="E79" t="str">
            <v>Chingo - Mbalula</v>
          </cell>
          <cell r="F79" t="str">
            <v>M03</v>
          </cell>
          <cell r="G79">
            <v>15</v>
          </cell>
          <cell r="H79">
            <v>6</v>
          </cell>
          <cell r="I79" t="str">
            <v>R</v>
          </cell>
          <cell r="J79" t="str">
            <v>MANGOCHI</v>
          </cell>
          <cell r="K79">
            <v>7</v>
          </cell>
          <cell r="W79">
            <v>81</v>
          </cell>
          <cell r="X79" t="str">
            <v>ST</v>
          </cell>
          <cell r="Y79">
            <v>150</v>
          </cell>
          <cell r="Z79" t="str">
            <v>SB</v>
          </cell>
          <cell r="AA79">
            <v>150</v>
          </cell>
          <cell r="AB79" t="str">
            <v>GR</v>
          </cell>
          <cell r="AC79">
            <v>6</v>
          </cell>
          <cell r="AD79" t="str">
            <v>VR</v>
          </cell>
          <cell r="AM79">
            <v>1</v>
          </cell>
          <cell r="AN79" t="str">
            <v>never resealed</v>
          </cell>
          <cell r="BO79" t="str">
            <v>RS 324</v>
          </cell>
          <cell r="BP79">
            <v>6</v>
          </cell>
          <cell r="BQ79">
            <v>6</v>
          </cell>
          <cell r="BR79" t="str">
            <v>R</v>
          </cell>
          <cell r="BS79" t="str">
            <v>C</v>
          </cell>
          <cell r="BT79">
            <v>0</v>
          </cell>
          <cell r="BU79" t="str">
            <v>ST</v>
          </cell>
          <cell r="BV79" t="str">
            <v/>
          </cell>
          <cell r="BW79">
            <v>1</v>
          </cell>
          <cell r="BX79">
            <v>10</v>
          </cell>
          <cell r="BY79" t="str">
            <v/>
          </cell>
          <cell r="BZ79">
            <v>1</v>
          </cell>
          <cell r="CA79">
            <v>6</v>
          </cell>
          <cell r="CB79">
            <v>1.508</v>
          </cell>
          <cell r="CC79">
            <v>8</v>
          </cell>
          <cell r="CD79">
            <v>85</v>
          </cell>
          <cell r="CE79">
            <v>60</v>
          </cell>
          <cell r="CF79">
            <v>45</v>
          </cell>
          <cell r="CG79">
            <v>40</v>
          </cell>
          <cell r="CH79">
            <v>15</v>
          </cell>
          <cell r="CI79">
            <v>10</v>
          </cell>
          <cell r="CJ79">
            <v>3.3333333333333333E-2</v>
          </cell>
          <cell r="CK79">
            <v>10</v>
          </cell>
          <cell r="CL79">
            <v>45</v>
          </cell>
          <cell r="CM79">
            <v>0.41028205128205131</v>
          </cell>
          <cell r="CN79">
            <v>0.41028205128205131</v>
          </cell>
          <cell r="CO79">
            <v>0</v>
          </cell>
          <cell r="CP79">
            <v>0</v>
          </cell>
          <cell r="CQ79">
            <v>8.4102820512820511</v>
          </cell>
          <cell r="CR79">
            <v>20</v>
          </cell>
          <cell r="CS79">
            <v>1</v>
          </cell>
          <cell r="CT79">
            <v>0</v>
          </cell>
          <cell r="CU79">
            <v>0</v>
          </cell>
          <cell r="CV79">
            <v>17</v>
          </cell>
          <cell r="CW79">
            <v>17</v>
          </cell>
          <cell r="CX79" t="str">
            <v/>
          </cell>
          <cell r="CY79">
            <v>2</v>
          </cell>
          <cell r="CZ79">
            <v>2</v>
          </cell>
          <cell r="DA79">
            <v>1.5</v>
          </cell>
          <cell r="DB79">
            <v>250</v>
          </cell>
          <cell r="DC79">
            <v>118</v>
          </cell>
          <cell r="DD79">
            <v>65</v>
          </cell>
          <cell r="DE79">
            <v>19</v>
          </cell>
          <cell r="DF79">
            <v>29</v>
          </cell>
          <cell r="DG79">
            <v>5</v>
          </cell>
          <cell r="DH79">
            <v>3</v>
          </cell>
          <cell r="DI79">
            <v>13</v>
          </cell>
        </row>
        <row r="80">
          <cell r="A80" t="str">
            <v>RS 326</v>
          </cell>
          <cell r="B80">
            <v>148</v>
          </cell>
          <cell r="C80" t="str">
            <v>S</v>
          </cell>
          <cell r="D80" t="str">
            <v>T</v>
          </cell>
          <cell r="E80" t="str">
            <v>Chowe - Matola</v>
          </cell>
          <cell r="F80" t="str">
            <v>M03</v>
          </cell>
          <cell r="G80">
            <v>17</v>
          </cell>
          <cell r="H80">
            <v>4.7</v>
          </cell>
          <cell r="I80" t="str">
            <v>R</v>
          </cell>
          <cell r="J80" t="str">
            <v>MANGOCHI</v>
          </cell>
          <cell r="K80">
            <v>7</v>
          </cell>
          <cell r="W80">
            <v>81</v>
          </cell>
          <cell r="X80" t="str">
            <v>ST</v>
          </cell>
          <cell r="Y80">
            <v>150</v>
          </cell>
          <cell r="Z80" t="str">
            <v>SB</v>
          </cell>
          <cell r="AA80">
            <v>150</v>
          </cell>
          <cell r="AB80" t="str">
            <v>GR</v>
          </cell>
          <cell r="AC80">
            <v>6</v>
          </cell>
          <cell r="AD80" t="str">
            <v>VR</v>
          </cell>
          <cell r="AM80">
            <v>1</v>
          </cell>
          <cell r="AN80" t="str">
            <v>never resealed</v>
          </cell>
          <cell r="BO80" t="str">
            <v>RS 326</v>
          </cell>
          <cell r="BP80">
            <v>4.7</v>
          </cell>
          <cell r="BQ80">
            <v>6</v>
          </cell>
          <cell r="BR80" t="str">
            <v>R</v>
          </cell>
          <cell r="BS80" t="str">
            <v>C</v>
          </cell>
          <cell r="BT80">
            <v>0</v>
          </cell>
          <cell r="BU80" t="str">
            <v>ST</v>
          </cell>
          <cell r="BV80" t="str">
            <v/>
          </cell>
          <cell r="BW80">
            <v>1</v>
          </cell>
          <cell r="BX80">
            <v>10</v>
          </cell>
          <cell r="BY80" t="str">
            <v/>
          </cell>
          <cell r="BZ80">
            <v>1</v>
          </cell>
          <cell r="CA80">
            <v>6</v>
          </cell>
          <cell r="CB80">
            <v>1.508</v>
          </cell>
          <cell r="CC80">
            <v>8</v>
          </cell>
          <cell r="CD80">
            <v>90</v>
          </cell>
          <cell r="CE80">
            <v>75</v>
          </cell>
          <cell r="CF80">
            <v>60</v>
          </cell>
          <cell r="CG80">
            <v>30</v>
          </cell>
          <cell r="CH80">
            <v>15</v>
          </cell>
          <cell r="CI80">
            <v>5</v>
          </cell>
          <cell r="CJ80">
            <v>1.6666666666666666E-2</v>
          </cell>
          <cell r="CK80">
            <v>10</v>
          </cell>
          <cell r="CL80">
            <v>60</v>
          </cell>
          <cell r="CM80">
            <v>0.50321794871794867</v>
          </cell>
          <cell r="CN80">
            <v>0.50321794871794867</v>
          </cell>
          <cell r="CO80">
            <v>0</v>
          </cell>
          <cell r="CP80">
            <v>0</v>
          </cell>
          <cell r="CQ80">
            <v>8.503217948717948</v>
          </cell>
          <cell r="CR80">
            <v>20</v>
          </cell>
          <cell r="CS80">
            <v>1</v>
          </cell>
          <cell r="CT80">
            <v>0</v>
          </cell>
          <cell r="CU80">
            <v>0</v>
          </cell>
          <cell r="CV80">
            <v>17</v>
          </cell>
          <cell r="CW80">
            <v>17</v>
          </cell>
          <cell r="CX80" t="str">
            <v/>
          </cell>
          <cell r="CY80">
            <v>2</v>
          </cell>
          <cell r="CZ80">
            <v>2</v>
          </cell>
          <cell r="DA80">
            <v>1.5</v>
          </cell>
          <cell r="DB80">
            <v>120</v>
          </cell>
          <cell r="DC80">
            <v>57</v>
          </cell>
          <cell r="DD80">
            <v>32</v>
          </cell>
          <cell r="DE80">
            <v>9</v>
          </cell>
          <cell r="DF80">
            <v>14</v>
          </cell>
          <cell r="DG80">
            <v>3</v>
          </cell>
          <cell r="DH80">
            <v>2</v>
          </cell>
          <cell r="DI80">
            <v>6</v>
          </cell>
        </row>
        <row r="81">
          <cell r="A81" t="str">
            <v>RS 107</v>
          </cell>
          <cell r="B81">
            <v>107</v>
          </cell>
          <cell r="C81" t="str">
            <v>S</v>
          </cell>
          <cell r="D81" t="str">
            <v>T</v>
          </cell>
          <cell r="E81" t="str">
            <v>Limbe - Gogomwa</v>
          </cell>
          <cell r="F81" t="str">
            <v>M04</v>
          </cell>
          <cell r="G81">
            <v>1</v>
          </cell>
          <cell r="H81">
            <v>5.6</v>
          </cell>
          <cell r="I81" t="str">
            <v>R</v>
          </cell>
          <cell r="J81" t="str">
            <v>BLANTYRE</v>
          </cell>
          <cell r="K81">
            <v>9</v>
          </cell>
          <cell r="L81" t="str">
            <v>Changed designation from M2 to M4</v>
          </cell>
          <cell r="W81">
            <v>58</v>
          </cell>
          <cell r="X81" t="str">
            <v>ST</v>
          </cell>
          <cell r="Y81">
            <v>400</v>
          </cell>
          <cell r="Z81" t="str">
            <v>SB</v>
          </cell>
          <cell r="AA81">
            <v>125</v>
          </cell>
          <cell r="AB81" t="str">
            <v>GR</v>
          </cell>
          <cell r="AC81">
            <v>19</v>
          </cell>
          <cell r="AD81" t="str">
            <v>VR</v>
          </cell>
          <cell r="AM81">
            <v>1</v>
          </cell>
          <cell r="AN81" t="str">
            <v>bitumen removed 4km</v>
          </cell>
          <cell r="BO81" t="str">
            <v>RS 107</v>
          </cell>
          <cell r="BP81">
            <v>5.6</v>
          </cell>
          <cell r="BQ81">
            <v>6</v>
          </cell>
          <cell r="BR81" t="str">
            <v>R</v>
          </cell>
          <cell r="BS81" t="str">
            <v>C</v>
          </cell>
          <cell r="BT81">
            <v>70</v>
          </cell>
          <cell r="BU81" t="str">
            <v>ST</v>
          </cell>
          <cell r="BV81" t="str">
            <v/>
          </cell>
          <cell r="BW81">
            <v>1</v>
          </cell>
          <cell r="BX81">
            <v>10</v>
          </cell>
          <cell r="BY81" t="str">
            <v/>
          </cell>
          <cell r="BZ81">
            <v>1</v>
          </cell>
          <cell r="CA81">
            <v>19</v>
          </cell>
          <cell r="CB81">
            <v>1.258</v>
          </cell>
          <cell r="CC81">
            <v>7.976293094129149</v>
          </cell>
          <cell r="CD81">
            <v>95</v>
          </cell>
          <cell r="CE81">
            <v>80</v>
          </cell>
          <cell r="CF81">
            <v>65</v>
          </cell>
          <cell r="CG81">
            <v>30</v>
          </cell>
          <cell r="CH81">
            <v>15</v>
          </cell>
          <cell r="CI81">
            <v>6</v>
          </cell>
          <cell r="CJ81">
            <v>2.0000000000000004E-2</v>
          </cell>
          <cell r="CK81">
            <v>10</v>
          </cell>
          <cell r="CL81">
            <v>65</v>
          </cell>
          <cell r="CM81">
            <v>0.53755384615384616</v>
          </cell>
          <cell r="CN81">
            <v>0.53755384615384616</v>
          </cell>
          <cell r="CO81">
            <v>0</v>
          </cell>
          <cell r="CP81">
            <v>0</v>
          </cell>
          <cell r="CQ81">
            <v>8.5138469402829955</v>
          </cell>
          <cell r="CR81">
            <v>20</v>
          </cell>
          <cell r="CS81">
            <v>1</v>
          </cell>
          <cell r="CT81">
            <v>0</v>
          </cell>
          <cell r="CU81">
            <v>0</v>
          </cell>
          <cell r="CV81">
            <v>40</v>
          </cell>
          <cell r="CW81">
            <v>40</v>
          </cell>
          <cell r="CX81" t="str">
            <v/>
          </cell>
          <cell r="CY81">
            <v>2</v>
          </cell>
          <cell r="CZ81">
            <v>2</v>
          </cell>
          <cell r="DA81">
            <v>1.5</v>
          </cell>
          <cell r="DB81">
            <v>900</v>
          </cell>
          <cell r="DC81">
            <v>423</v>
          </cell>
          <cell r="DD81">
            <v>234</v>
          </cell>
          <cell r="DE81">
            <v>68</v>
          </cell>
          <cell r="DF81">
            <v>104</v>
          </cell>
          <cell r="DG81">
            <v>18</v>
          </cell>
          <cell r="DH81">
            <v>9</v>
          </cell>
          <cell r="DI81">
            <v>45</v>
          </cell>
        </row>
        <row r="82">
          <cell r="A82" t="str">
            <v>RS 331</v>
          </cell>
          <cell r="B82">
            <v>153</v>
          </cell>
          <cell r="C82" t="str">
            <v>S</v>
          </cell>
          <cell r="D82" t="str">
            <v>T</v>
          </cell>
          <cell r="E82" t="str">
            <v>Gogomwa - Mikolongwe</v>
          </cell>
          <cell r="F82" t="str">
            <v>M04</v>
          </cell>
          <cell r="G82">
            <v>2</v>
          </cell>
          <cell r="H82">
            <v>11.9</v>
          </cell>
          <cell r="I82" t="str">
            <v>H</v>
          </cell>
          <cell r="J82" t="str">
            <v>CHIRADZULU</v>
          </cell>
          <cell r="K82">
            <v>9</v>
          </cell>
          <cell r="W82">
            <v>58</v>
          </cell>
          <cell r="X82" t="str">
            <v>ST</v>
          </cell>
          <cell r="Y82">
            <v>400</v>
          </cell>
          <cell r="Z82" t="str">
            <v>SB</v>
          </cell>
          <cell r="AA82">
            <v>125</v>
          </cell>
          <cell r="AB82" t="str">
            <v>GR</v>
          </cell>
          <cell r="AC82">
            <v>19</v>
          </cell>
          <cell r="AD82" t="str">
            <v>VR</v>
          </cell>
          <cell r="AM82">
            <v>1</v>
          </cell>
          <cell r="AN82" t="str">
            <v>never resealed</v>
          </cell>
          <cell r="BO82" t="str">
            <v>RS 331</v>
          </cell>
          <cell r="BP82">
            <v>11.9</v>
          </cell>
          <cell r="BQ82" t="str">
            <v>n.a.</v>
          </cell>
          <cell r="BR82" t="str">
            <v>H</v>
          </cell>
          <cell r="BT82">
            <v>100</v>
          </cell>
          <cell r="BU82" t="str">
            <v>ST</v>
          </cell>
          <cell r="BV82" t="str">
            <v/>
          </cell>
          <cell r="BW82">
            <v>1</v>
          </cell>
          <cell r="BX82">
            <v>10</v>
          </cell>
          <cell r="BY82" t="str">
            <v/>
          </cell>
          <cell r="BZ82">
            <v>1</v>
          </cell>
          <cell r="CC82" t="str">
            <v>bitumen surface removed</v>
          </cell>
          <cell r="CY82" t="str">
            <v>n.a.</v>
          </cell>
          <cell r="CZ82" t="str">
            <v>n.a.</v>
          </cell>
          <cell r="DA82">
            <v>1.5</v>
          </cell>
          <cell r="DB82">
            <v>880</v>
          </cell>
          <cell r="DC82">
            <v>414</v>
          </cell>
          <cell r="DD82">
            <v>229</v>
          </cell>
          <cell r="DE82">
            <v>66</v>
          </cell>
          <cell r="DF82">
            <v>102</v>
          </cell>
          <cell r="DG82">
            <v>18</v>
          </cell>
          <cell r="DH82">
            <v>9</v>
          </cell>
          <cell r="DI82">
            <v>44</v>
          </cell>
        </row>
        <row r="83">
          <cell r="A83" t="str">
            <v>RS 005</v>
          </cell>
          <cell r="B83" t="str">
            <v>5</v>
          </cell>
          <cell r="C83" t="str">
            <v>N</v>
          </cell>
          <cell r="D83" t="str">
            <v>T</v>
          </cell>
          <cell r="E83" t="str">
            <v>Mzuzu - Nkhata Bay t/off (Kalwe)</v>
          </cell>
          <cell r="F83" t="str">
            <v>M05</v>
          </cell>
          <cell r="G83">
            <v>1</v>
          </cell>
          <cell r="H83">
            <v>45</v>
          </cell>
          <cell r="I83" t="str">
            <v>F</v>
          </cell>
          <cell r="J83" t="str">
            <v>MZIMBA &amp; NKHAT BAY</v>
          </cell>
          <cell r="K83">
            <v>3</v>
          </cell>
          <cell r="W83">
            <v>75</v>
          </cell>
          <cell r="X83" t="str">
            <v>ST</v>
          </cell>
          <cell r="Y83">
            <v>150</v>
          </cell>
          <cell r="Z83" t="str">
            <v>SG</v>
          </cell>
          <cell r="AA83">
            <v>100</v>
          </cell>
          <cell r="AB83" t="str">
            <v>GR</v>
          </cell>
          <cell r="AC83">
            <v>7</v>
          </cell>
          <cell r="AD83" t="str">
            <v>VR</v>
          </cell>
          <cell r="AM83">
            <v>1</v>
          </cell>
          <cell r="AN83" t="str">
            <v>never resealed</v>
          </cell>
          <cell r="BO83" t="str">
            <v>RS 005</v>
          </cell>
          <cell r="BP83">
            <v>45</v>
          </cell>
          <cell r="BQ83">
            <v>6</v>
          </cell>
          <cell r="BR83" t="str">
            <v>F</v>
          </cell>
          <cell r="BS83" t="str">
            <v>C</v>
          </cell>
          <cell r="BT83">
            <v>0</v>
          </cell>
          <cell r="BU83" t="str">
            <v>ST</v>
          </cell>
          <cell r="BV83" t="str">
            <v/>
          </cell>
          <cell r="BW83">
            <v>1</v>
          </cell>
          <cell r="BX83">
            <v>10</v>
          </cell>
          <cell r="BY83" t="str">
            <v/>
          </cell>
          <cell r="BZ83">
            <v>2</v>
          </cell>
          <cell r="CA83">
            <v>7</v>
          </cell>
          <cell r="CB83">
            <v>1.36</v>
          </cell>
          <cell r="CC83">
            <v>6.6040586284683052</v>
          </cell>
          <cell r="CD83">
            <v>36</v>
          </cell>
          <cell r="CE83">
            <v>23</v>
          </cell>
          <cell r="CF83">
            <v>8</v>
          </cell>
          <cell r="CG83">
            <v>28</v>
          </cell>
          <cell r="CH83">
            <v>15</v>
          </cell>
          <cell r="CI83">
            <v>8.6999999999999993</v>
          </cell>
          <cell r="CJ83">
            <v>2.9000000000000001E-2</v>
          </cell>
          <cell r="CK83">
            <v>8.0289999999999999</v>
          </cell>
          <cell r="CL83">
            <v>8</v>
          </cell>
          <cell r="CM83">
            <v>0.14416615384615386</v>
          </cell>
          <cell r="CN83">
            <v>0.14416615384615386</v>
          </cell>
          <cell r="CO83">
            <v>0</v>
          </cell>
          <cell r="CP83">
            <v>0</v>
          </cell>
          <cell r="CQ83">
            <v>6.748224782314459</v>
          </cell>
          <cell r="CR83">
            <v>0</v>
          </cell>
          <cell r="CS83">
            <v>1</v>
          </cell>
          <cell r="CT83">
            <v>0</v>
          </cell>
          <cell r="CU83">
            <v>0</v>
          </cell>
          <cell r="CV83">
            <v>23</v>
          </cell>
          <cell r="CW83">
            <v>23</v>
          </cell>
          <cell r="CX83" t="str">
            <v/>
          </cell>
          <cell r="CY83">
            <v>2</v>
          </cell>
          <cell r="CZ83">
            <v>2</v>
          </cell>
          <cell r="DA83">
            <v>2</v>
          </cell>
          <cell r="DB83">
            <v>400</v>
          </cell>
          <cell r="DC83">
            <v>188</v>
          </cell>
          <cell r="DD83">
            <v>104</v>
          </cell>
          <cell r="DE83">
            <v>30</v>
          </cell>
          <cell r="DF83">
            <v>46</v>
          </cell>
          <cell r="DG83">
            <v>8</v>
          </cell>
          <cell r="DH83">
            <v>4</v>
          </cell>
          <cell r="DI83">
            <v>20</v>
          </cell>
        </row>
        <row r="84">
          <cell r="A84" t="str">
            <v>RS 007</v>
          </cell>
          <cell r="B84" t="str">
            <v>7</v>
          </cell>
          <cell r="C84" t="str">
            <v>N</v>
          </cell>
          <cell r="D84" t="str">
            <v>T</v>
          </cell>
          <cell r="E84" t="str">
            <v>Nkhata Bay t/off (Kalwe) - Dwambazi River</v>
          </cell>
          <cell r="F84" t="str">
            <v>M05</v>
          </cell>
          <cell r="G84">
            <v>2</v>
          </cell>
          <cell r="H84">
            <v>82</v>
          </cell>
          <cell r="I84" t="str">
            <v>R</v>
          </cell>
          <cell r="J84" t="str">
            <v>NKHATA BAY</v>
          </cell>
          <cell r="K84" t="str">
            <v>3,4</v>
          </cell>
          <cell r="W84">
            <v>94</v>
          </cell>
          <cell r="X84" t="str">
            <v>DS</v>
          </cell>
          <cell r="Y84">
            <v>150</v>
          </cell>
          <cell r="Z84" t="str">
            <v>SB</v>
          </cell>
          <cell r="AA84">
            <v>225</v>
          </cell>
          <cell r="AB84" t="str">
            <v>GR</v>
          </cell>
          <cell r="AC84">
            <v>22</v>
          </cell>
          <cell r="AD84" t="str">
            <v>VR</v>
          </cell>
          <cell r="AM84">
            <v>1</v>
          </cell>
          <cell r="AN84" t="str">
            <v>never resealed</v>
          </cell>
          <cell r="BO84" t="str">
            <v>RS 007</v>
          </cell>
          <cell r="BP84">
            <v>82</v>
          </cell>
          <cell r="BQ84">
            <v>6</v>
          </cell>
          <cell r="BR84" t="str">
            <v>R</v>
          </cell>
          <cell r="BS84" t="str">
            <v>C</v>
          </cell>
          <cell r="BT84">
            <v>0</v>
          </cell>
          <cell r="BU84" t="str">
            <v>DS</v>
          </cell>
          <cell r="BV84" t="str">
            <v/>
          </cell>
          <cell r="BW84">
            <v>1</v>
          </cell>
          <cell r="BX84">
            <v>15</v>
          </cell>
          <cell r="BY84" t="str">
            <v/>
          </cell>
          <cell r="BZ84">
            <v>1</v>
          </cell>
          <cell r="CA84">
            <v>22</v>
          </cell>
          <cell r="CB84">
            <v>2.427</v>
          </cell>
          <cell r="CC84">
            <v>3.7143049448882604</v>
          </cell>
          <cell r="CD84">
            <v>0</v>
          </cell>
          <cell r="CE84">
            <v>0</v>
          </cell>
          <cell r="CF84">
            <v>0</v>
          </cell>
          <cell r="CG84">
            <v>0</v>
          </cell>
          <cell r="CH84">
            <v>0</v>
          </cell>
          <cell r="CI84">
            <v>1.9</v>
          </cell>
          <cell r="CJ84">
            <v>6.3333333333333332E-3</v>
          </cell>
          <cell r="CK84">
            <v>6.3333333333333332E-3</v>
          </cell>
          <cell r="CL84">
            <v>0</v>
          </cell>
          <cell r="CM84">
            <v>2.4553846153846158E-3</v>
          </cell>
          <cell r="CN84">
            <v>2.4553846153846158E-3</v>
          </cell>
          <cell r="CO84">
            <v>0</v>
          </cell>
          <cell r="CP84">
            <v>0</v>
          </cell>
          <cell r="CQ84">
            <v>3.7167603295036451</v>
          </cell>
          <cell r="CR84">
            <v>0</v>
          </cell>
          <cell r="CS84">
            <v>1</v>
          </cell>
          <cell r="CT84">
            <v>0</v>
          </cell>
          <cell r="CU84">
            <v>0</v>
          </cell>
          <cell r="CV84">
            <v>4</v>
          </cell>
          <cell r="CW84">
            <v>4</v>
          </cell>
          <cell r="CX84" t="str">
            <v/>
          </cell>
          <cell r="CY84">
            <v>1.8</v>
          </cell>
          <cell r="CZ84">
            <v>1.1000000000000001</v>
          </cell>
          <cell r="DA84">
            <v>1.1000000000000001</v>
          </cell>
          <cell r="DB84">
            <v>300</v>
          </cell>
          <cell r="DC84">
            <v>141</v>
          </cell>
          <cell r="DD84">
            <v>78</v>
          </cell>
          <cell r="DE84">
            <v>23</v>
          </cell>
          <cell r="DF84">
            <v>35</v>
          </cell>
          <cell r="DG84">
            <v>6</v>
          </cell>
          <cell r="DH84">
            <v>3</v>
          </cell>
          <cell r="DI84">
            <v>15</v>
          </cell>
        </row>
        <row r="85">
          <cell r="A85" t="str">
            <v>RS 047</v>
          </cell>
          <cell r="B85">
            <v>47</v>
          </cell>
          <cell r="C85" t="str">
            <v>C</v>
          </cell>
          <cell r="D85" t="str">
            <v>T</v>
          </cell>
          <cell r="E85" t="str">
            <v>Dwambazi River - Lawrence Kachulu</v>
          </cell>
          <cell r="F85" t="str">
            <v>M05</v>
          </cell>
          <cell r="G85">
            <v>3</v>
          </cell>
          <cell r="H85">
            <v>16.5</v>
          </cell>
          <cell r="I85" t="str">
            <v>F</v>
          </cell>
          <cell r="J85" t="str">
            <v>NKHATA BAY</v>
          </cell>
          <cell r="K85">
            <v>4</v>
          </cell>
          <cell r="W85">
            <v>94</v>
          </cell>
          <cell r="X85" t="str">
            <v>DS</v>
          </cell>
          <cell r="Y85">
            <v>150</v>
          </cell>
          <cell r="Z85" t="str">
            <v>SB</v>
          </cell>
          <cell r="AA85">
            <v>225</v>
          </cell>
          <cell r="AB85" t="str">
            <v>GR</v>
          </cell>
          <cell r="AC85">
            <v>22</v>
          </cell>
          <cell r="AD85" t="str">
            <v>VR</v>
          </cell>
          <cell r="AM85">
            <v>1</v>
          </cell>
          <cell r="AN85" t="str">
            <v>never resealed</v>
          </cell>
          <cell r="BO85" t="str">
            <v>RS 047</v>
          </cell>
          <cell r="BP85">
            <v>16.5</v>
          </cell>
          <cell r="BQ85">
            <v>6</v>
          </cell>
          <cell r="BR85" t="str">
            <v>F</v>
          </cell>
          <cell r="BS85" t="str">
            <v>C</v>
          </cell>
          <cell r="BT85">
            <v>0</v>
          </cell>
          <cell r="BU85" t="str">
            <v>DS</v>
          </cell>
          <cell r="BV85" t="str">
            <v/>
          </cell>
          <cell r="BW85">
            <v>1</v>
          </cell>
          <cell r="BX85">
            <v>15</v>
          </cell>
          <cell r="BY85" t="str">
            <v/>
          </cell>
          <cell r="BZ85">
            <v>1</v>
          </cell>
          <cell r="CA85">
            <v>22</v>
          </cell>
          <cell r="CB85">
            <v>2.427</v>
          </cell>
          <cell r="CC85">
            <v>3.5804019550342137</v>
          </cell>
          <cell r="CD85">
            <v>0</v>
          </cell>
          <cell r="CE85">
            <v>0</v>
          </cell>
          <cell r="CF85">
            <v>0</v>
          </cell>
          <cell r="CG85">
            <v>0</v>
          </cell>
          <cell r="CH85">
            <v>0</v>
          </cell>
          <cell r="CI85">
            <v>0</v>
          </cell>
          <cell r="CJ85">
            <v>0</v>
          </cell>
          <cell r="CK85">
            <v>0</v>
          </cell>
          <cell r="CL85">
            <v>0</v>
          </cell>
          <cell r="CM85">
            <v>0</v>
          </cell>
          <cell r="CN85">
            <v>0</v>
          </cell>
          <cell r="CO85">
            <v>0</v>
          </cell>
          <cell r="CP85">
            <v>0</v>
          </cell>
          <cell r="CQ85">
            <v>3.5804019550342137</v>
          </cell>
          <cell r="CR85">
            <v>0</v>
          </cell>
          <cell r="CS85">
            <v>1</v>
          </cell>
          <cell r="CT85">
            <v>0</v>
          </cell>
          <cell r="CU85">
            <v>0</v>
          </cell>
          <cell r="CV85">
            <v>4</v>
          </cell>
          <cell r="CW85">
            <v>4</v>
          </cell>
          <cell r="CX85" t="str">
            <v/>
          </cell>
          <cell r="CY85">
            <v>1</v>
          </cell>
          <cell r="CZ85">
            <v>1</v>
          </cell>
          <cell r="DA85">
            <v>1</v>
          </cell>
          <cell r="DB85">
            <v>300</v>
          </cell>
          <cell r="DC85">
            <v>141</v>
          </cell>
          <cell r="DD85">
            <v>78</v>
          </cell>
          <cell r="DE85">
            <v>23</v>
          </cell>
          <cell r="DF85">
            <v>35</v>
          </cell>
          <cell r="DG85">
            <v>6</v>
          </cell>
          <cell r="DH85">
            <v>3</v>
          </cell>
          <cell r="DI85">
            <v>15</v>
          </cell>
        </row>
        <row r="86">
          <cell r="A86" t="str">
            <v>RS 052</v>
          </cell>
          <cell r="B86">
            <v>52</v>
          </cell>
          <cell r="C86" t="str">
            <v>C</v>
          </cell>
          <cell r="D86" t="str">
            <v>T</v>
          </cell>
          <cell r="E86" t="str">
            <v>Lawrence Kachulu - Chamulala</v>
          </cell>
          <cell r="F86" t="str">
            <v>M05</v>
          </cell>
          <cell r="G86">
            <v>4</v>
          </cell>
          <cell r="H86">
            <v>12.7</v>
          </cell>
          <cell r="I86" t="str">
            <v>F</v>
          </cell>
          <cell r="J86" t="str">
            <v>NKHOTA KOTA</v>
          </cell>
          <cell r="K86">
            <v>4</v>
          </cell>
          <cell r="W86">
            <v>94</v>
          </cell>
          <cell r="X86" t="str">
            <v>DS</v>
          </cell>
          <cell r="Y86">
            <v>150</v>
          </cell>
          <cell r="Z86" t="str">
            <v>SB</v>
          </cell>
          <cell r="AA86">
            <v>225</v>
          </cell>
          <cell r="AB86" t="str">
            <v>GR</v>
          </cell>
          <cell r="AC86">
            <v>22</v>
          </cell>
          <cell r="AD86" t="str">
            <v>VR</v>
          </cell>
          <cell r="AM86">
            <v>1</v>
          </cell>
          <cell r="AN86" t="str">
            <v>never resealed</v>
          </cell>
          <cell r="BO86" t="str">
            <v>RS 052</v>
          </cell>
          <cell r="BP86">
            <v>12.7</v>
          </cell>
          <cell r="BQ86">
            <v>6</v>
          </cell>
          <cell r="BR86" t="str">
            <v>F</v>
          </cell>
          <cell r="BS86" t="str">
            <v>C</v>
          </cell>
          <cell r="BT86">
            <v>0</v>
          </cell>
          <cell r="BU86" t="str">
            <v>DS</v>
          </cell>
          <cell r="BV86" t="str">
            <v/>
          </cell>
          <cell r="BW86">
            <v>1</v>
          </cell>
          <cell r="BX86">
            <v>15</v>
          </cell>
          <cell r="BY86" t="str">
            <v/>
          </cell>
          <cell r="BZ86">
            <v>1</v>
          </cell>
          <cell r="CA86">
            <v>22</v>
          </cell>
          <cell r="CB86">
            <v>2.427</v>
          </cell>
          <cell r="CC86">
            <v>5.75</v>
          </cell>
          <cell r="CD86">
            <v>0</v>
          </cell>
          <cell r="CE86">
            <v>0</v>
          </cell>
          <cell r="CF86">
            <v>0</v>
          </cell>
          <cell r="CG86">
            <v>0</v>
          </cell>
          <cell r="CH86">
            <v>0</v>
          </cell>
          <cell r="CI86">
            <v>0.12</v>
          </cell>
          <cell r="CJ86">
            <v>3.9999999999999996E-4</v>
          </cell>
          <cell r="CK86">
            <v>3.9999999999999996E-4</v>
          </cell>
          <cell r="CL86">
            <v>0</v>
          </cell>
          <cell r="CM86">
            <v>1.5507692307692309E-4</v>
          </cell>
          <cell r="CN86">
            <v>1.5507692307692309E-4</v>
          </cell>
          <cell r="CO86">
            <v>0</v>
          </cell>
          <cell r="CP86">
            <v>0</v>
          </cell>
          <cell r="CQ86">
            <v>5.7501550769230771</v>
          </cell>
          <cell r="CR86">
            <v>0</v>
          </cell>
          <cell r="CS86">
            <v>1</v>
          </cell>
          <cell r="CT86">
            <v>0</v>
          </cell>
          <cell r="CU86">
            <v>0</v>
          </cell>
          <cell r="CV86">
            <v>4</v>
          </cell>
          <cell r="CW86">
            <v>4</v>
          </cell>
          <cell r="CX86" t="str">
            <v/>
          </cell>
          <cell r="CY86">
            <v>1</v>
          </cell>
          <cell r="CZ86">
            <v>1</v>
          </cell>
          <cell r="DA86">
            <v>1</v>
          </cell>
          <cell r="DB86">
            <v>300</v>
          </cell>
          <cell r="DC86">
            <v>141</v>
          </cell>
          <cell r="DD86">
            <v>78</v>
          </cell>
          <cell r="DE86">
            <v>23</v>
          </cell>
          <cell r="DF86">
            <v>35</v>
          </cell>
          <cell r="DG86">
            <v>6</v>
          </cell>
          <cell r="DH86">
            <v>3</v>
          </cell>
          <cell r="DI86">
            <v>15</v>
          </cell>
        </row>
        <row r="87">
          <cell r="A87" t="str">
            <v>RS 048</v>
          </cell>
          <cell r="B87">
            <v>48</v>
          </cell>
          <cell r="C87" t="str">
            <v>C</v>
          </cell>
          <cell r="D87" t="str">
            <v>T</v>
          </cell>
          <cell r="E87" t="str">
            <v>Chamulala - Dwangwa River</v>
          </cell>
          <cell r="F87" t="str">
            <v>M05</v>
          </cell>
          <cell r="G87">
            <v>5</v>
          </cell>
          <cell r="H87">
            <v>10.199999999999999</v>
          </cell>
          <cell r="I87" t="str">
            <v>F</v>
          </cell>
          <cell r="J87" t="str">
            <v>NKHOTA KOTA</v>
          </cell>
          <cell r="K87">
            <v>4</v>
          </cell>
          <cell r="W87">
            <v>94</v>
          </cell>
          <cell r="X87" t="str">
            <v>DS</v>
          </cell>
          <cell r="Y87">
            <v>150</v>
          </cell>
          <cell r="Z87" t="str">
            <v>SB</v>
          </cell>
          <cell r="AA87">
            <v>225</v>
          </cell>
          <cell r="AB87" t="str">
            <v>GR</v>
          </cell>
          <cell r="AC87">
            <v>22</v>
          </cell>
          <cell r="AD87" t="str">
            <v>VR</v>
          </cell>
          <cell r="AM87">
            <v>1</v>
          </cell>
          <cell r="AN87" t="str">
            <v>never resealed</v>
          </cell>
          <cell r="BO87" t="str">
            <v>RS 048</v>
          </cell>
          <cell r="BP87">
            <v>10.199999999999999</v>
          </cell>
          <cell r="BQ87">
            <v>6.7</v>
          </cell>
          <cell r="BR87" t="str">
            <v>F</v>
          </cell>
          <cell r="BS87" t="str">
            <v>S</v>
          </cell>
          <cell r="BT87">
            <v>0</v>
          </cell>
          <cell r="BU87" t="str">
            <v>DS</v>
          </cell>
          <cell r="BV87" t="str">
            <v/>
          </cell>
          <cell r="BW87">
            <v>1</v>
          </cell>
          <cell r="BX87">
            <v>15</v>
          </cell>
          <cell r="BY87" t="str">
            <v/>
          </cell>
          <cell r="BZ87">
            <v>1</v>
          </cell>
          <cell r="CA87">
            <v>22</v>
          </cell>
          <cell r="CB87">
            <v>2.427</v>
          </cell>
          <cell r="CC87">
            <v>5</v>
          </cell>
          <cell r="CD87">
            <v>0</v>
          </cell>
          <cell r="CE87">
            <v>0</v>
          </cell>
          <cell r="CF87">
            <v>0</v>
          </cell>
          <cell r="CG87">
            <v>0</v>
          </cell>
          <cell r="CH87">
            <v>0</v>
          </cell>
          <cell r="CI87">
            <v>0.1</v>
          </cell>
          <cell r="CJ87">
            <v>2.9850746268656722E-4</v>
          </cell>
          <cell r="CK87">
            <v>2.9850746268656722E-4</v>
          </cell>
          <cell r="CL87">
            <v>0</v>
          </cell>
          <cell r="CM87">
            <v>1.1572904707233067E-4</v>
          </cell>
          <cell r="CN87">
            <v>1.1572904707233067E-4</v>
          </cell>
          <cell r="CO87">
            <v>0</v>
          </cell>
          <cell r="CP87">
            <v>0</v>
          </cell>
          <cell r="CQ87">
            <v>5.0001157290470726</v>
          </cell>
          <cell r="CR87">
            <v>0</v>
          </cell>
          <cell r="CS87">
            <v>1</v>
          </cell>
          <cell r="CT87">
            <v>0</v>
          </cell>
          <cell r="CU87">
            <v>0</v>
          </cell>
          <cell r="CV87">
            <v>4</v>
          </cell>
          <cell r="CW87">
            <v>4</v>
          </cell>
          <cell r="CX87" t="str">
            <v/>
          </cell>
          <cell r="CY87">
            <v>1.5</v>
          </cell>
          <cell r="CZ87">
            <v>1</v>
          </cell>
          <cell r="DA87">
            <v>1</v>
          </cell>
          <cell r="DB87">
            <v>300</v>
          </cell>
          <cell r="DC87">
            <v>141</v>
          </cell>
          <cell r="DD87">
            <v>78</v>
          </cell>
          <cell r="DE87">
            <v>23</v>
          </cell>
          <cell r="DF87">
            <v>35</v>
          </cell>
          <cell r="DG87">
            <v>6</v>
          </cell>
          <cell r="DH87">
            <v>3</v>
          </cell>
          <cell r="DI87">
            <v>15</v>
          </cell>
        </row>
        <row r="88">
          <cell r="A88" t="str">
            <v>RS 062</v>
          </cell>
          <cell r="B88">
            <v>62</v>
          </cell>
          <cell r="C88" t="str">
            <v>C</v>
          </cell>
          <cell r="D88" t="str">
            <v>T</v>
          </cell>
          <cell r="E88" t="str">
            <v>Dwangwa River- Musejere River</v>
          </cell>
          <cell r="F88" t="str">
            <v>M05</v>
          </cell>
          <cell r="G88">
            <v>6</v>
          </cell>
          <cell r="H88">
            <v>28.1</v>
          </cell>
          <cell r="I88" t="str">
            <v>F</v>
          </cell>
          <cell r="J88" t="str">
            <v>NKHOTA KOTA</v>
          </cell>
          <cell r="K88">
            <v>4</v>
          </cell>
          <cell r="W88">
            <v>81</v>
          </cell>
          <cell r="X88" t="str">
            <v>ST</v>
          </cell>
          <cell r="Y88">
            <v>150</v>
          </cell>
          <cell r="Z88" t="str">
            <v>SB</v>
          </cell>
          <cell r="AA88">
            <v>225</v>
          </cell>
          <cell r="AB88" t="str">
            <v>GR</v>
          </cell>
          <cell r="AC88">
            <v>22</v>
          </cell>
          <cell r="AD88" t="str">
            <v>VR</v>
          </cell>
          <cell r="AE88">
            <v>93</v>
          </cell>
          <cell r="AF88" t="str">
            <v>SR</v>
          </cell>
          <cell r="AG88" t="str">
            <v>ST</v>
          </cell>
          <cell r="AH88">
            <v>10</v>
          </cell>
          <cell r="AM88">
            <v>4</v>
          </cell>
          <cell r="BO88" t="str">
            <v>RS 062</v>
          </cell>
          <cell r="BP88">
            <v>28.1</v>
          </cell>
          <cell r="BQ88">
            <v>5.5</v>
          </cell>
          <cell r="BR88" t="str">
            <v>F</v>
          </cell>
          <cell r="BS88" t="str">
            <v>C</v>
          </cell>
          <cell r="BT88">
            <v>0</v>
          </cell>
          <cell r="BU88" t="str">
            <v>ST</v>
          </cell>
          <cell r="BV88" t="str">
            <v>ST</v>
          </cell>
          <cell r="BW88">
            <v>4</v>
          </cell>
          <cell r="BX88">
            <v>10</v>
          </cell>
          <cell r="BY88">
            <v>10</v>
          </cell>
          <cell r="BZ88">
            <v>1</v>
          </cell>
          <cell r="CA88">
            <v>22</v>
          </cell>
          <cell r="CB88">
            <v>2.4350000000000001</v>
          </cell>
          <cell r="CC88">
            <v>4.9400000000000004</v>
          </cell>
          <cell r="CD88">
            <v>0</v>
          </cell>
          <cell r="CE88">
            <v>0</v>
          </cell>
          <cell r="CF88">
            <v>0</v>
          </cell>
          <cell r="CG88">
            <v>0</v>
          </cell>
          <cell r="CH88">
            <v>0</v>
          </cell>
          <cell r="CI88">
            <v>1.4</v>
          </cell>
          <cell r="CJ88">
            <v>5.0909090909090904E-3</v>
          </cell>
          <cell r="CK88">
            <v>5.0909090909090904E-3</v>
          </cell>
          <cell r="CL88">
            <v>0</v>
          </cell>
          <cell r="CM88">
            <v>1.9737062937062936E-3</v>
          </cell>
          <cell r="CN88">
            <v>1.9737062937062936E-3</v>
          </cell>
          <cell r="CO88">
            <v>0</v>
          </cell>
          <cell r="CP88">
            <v>0</v>
          </cell>
          <cell r="CQ88">
            <v>4.941973706293707</v>
          </cell>
          <cell r="CR88">
            <v>0</v>
          </cell>
          <cell r="CS88">
            <v>1</v>
          </cell>
          <cell r="CT88">
            <v>0</v>
          </cell>
          <cell r="CU88">
            <v>0</v>
          </cell>
          <cell r="CV88">
            <v>5</v>
          </cell>
          <cell r="CW88">
            <v>17</v>
          </cell>
          <cell r="CX88">
            <v>34</v>
          </cell>
          <cell r="CY88">
            <v>2</v>
          </cell>
          <cell r="CZ88">
            <v>1.5</v>
          </cell>
          <cell r="DA88">
            <v>1.5</v>
          </cell>
          <cell r="DB88">
            <v>300</v>
          </cell>
          <cell r="DC88">
            <v>141</v>
          </cell>
          <cell r="DD88">
            <v>78</v>
          </cell>
          <cell r="DE88">
            <v>23</v>
          </cell>
          <cell r="DF88">
            <v>35</v>
          </cell>
          <cell r="DG88">
            <v>6</v>
          </cell>
          <cell r="DH88">
            <v>3</v>
          </cell>
          <cell r="DI88">
            <v>15</v>
          </cell>
        </row>
        <row r="89">
          <cell r="A89" t="str">
            <v>RS 043</v>
          </cell>
          <cell r="B89">
            <v>43</v>
          </cell>
          <cell r="C89" t="str">
            <v>C</v>
          </cell>
          <cell r="D89" t="str">
            <v>T</v>
          </cell>
          <cell r="E89" t="str">
            <v>Musenjere River- Bua River</v>
          </cell>
          <cell r="F89" t="str">
            <v>M05</v>
          </cell>
          <cell r="G89">
            <v>7</v>
          </cell>
          <cell r="H89">
            <v>14.7</v>
          </cell>
          <cell r="I89" t="str">
            <v>R</v>
          </cell>
          <cell r="J89" t="str">
            <v>NKHOTA KOTA</v>
          </cell>
          <cell r="K89">
            <v>5</v>
          </cell>
          <cell r="W89">
            <v>81</v>
          </cell>
          <cell r="X89" t="str">
            <v>ST</v>
          </cell>
          <cell r="Y89">
            <v>150</v>
          </cell>
          <cell r="Z89" t="str">
            <v>SB</v>
          </cell>
          <cell r="AA89">
            <v>225</v>
          </cell>
          <cell r="AB89" t="str">
            <v>GR</v>
          </cell>
          <cell r="AC89">
            <v>22</v>
          </cell>
          <cell r="AD89" t="str">
            <v>VR</v>
          </cell>
          <cell r="AE89">
            <v>93</v>
          </cell>
          <cell r="AF89" t="str">
            <v>SR</v>
          </cell>
          <cell r="AG89" t="str">
            <v>ST</v>
          </cell>
          <cell r="AH89">
            <v>10</v>
          </cell>
          <cell r="AM89">
            <v>4</v>
          </cell>
          <cell r="BO89" t="str">
            <v>RS 043</v>
          </cell>
          <cell r="BP89">
            <v>14.7</v>
          </cell>
          <cell r="BQ89">
            <v>5.5</v>
          </cell>
          <cell r="BR89" t="str">
            <v>R</v>
          </cell>
          <cell r="BS89" t="str">
            <v>C</v>
          </cell>
          <cell r="BT89">
            <v>0</v>
          </cell>
          <cell r="BU89" t="str">
            <v>ST</v>
          </cell>
          <cell r="BV89" t="str">
            <v>ST</v>
          </cell>
          <cell r="BW89">
            <v>4</v>
          </cell>
          <cell r="BX89">
            <v>10</v>
          </cell>
          <cell r="BY89">
            <v>10</v>
          </cell>
          <cell r="BZ89">
            <v>1</v>
          </cell>
          <cell r="CA89">
            <v>22</v>
          </cell>
          <cell r="CB89">
            <v>2.4350000000000001</v>
          </cell>
          <cell r="CC89">
            <v>4.7440662477307649</v>
          </cell>
          <cell r="CD89">
            <v>37</v>
          </cell>
          <cell r="CE89">
            <v>10</v>
          </cell>
          <cell r="CF89">
            <v>0</v>
          </cell>
          <cell r="CG89">
            <v>37</v>
          </cell>
          <cell r="CH89">
            <v>10</v>
          </cell>
          <cell r="CI89">
            <v>1.8</v>
          </cell>
          <cell r="CJ89">
            <v>6.5454545454545461E-3</v>
          </cell>
          <cell r="CK89">
            <v>6.5454545454545461E-3</v>
          </cell>
          <cell r="CL89">
            <v>0</v>
          </cell>
          <cell r="CM89">
            <v>2.537622377622378E-3</v>
          </cell>
          <cell r="CN89">
            <v>2.537622377622378E-3</v>
          </cell>
          <cell r="CO89">
            <v>0</v>
          </cell>
          <cell r="CP89">
            <v>0</v>
          </cell>
          <cell r="CQ89">
            <v>4.7466038701083875</v>
          </cell>
          <cell r="CR89">
            <v>0</v>
          </cell>
          <cell r="CS89">
            <v>1</v>
          </cell>
          <cell r="CT89">
            <v>0</v>
          </cell>
          <cell r="CU89">
            <v>0</v>
          </cell>
          <cell r="CV89">
            <v>5</v>
          </cell>
          <cell r="CW89">
            <v>17</v>
          </cell>
          <cell r="CX89">
            <v>34</v>
          </cell>
          <cell r="CY89">
            <v>2</v>
          </cell>
          <cell r="CZ89">
            <v>1</v>
          </cell>
          <cell r="DA89">
            <v>1.3</v>
          </cell>
          <cell r="DB89">
            <v>300</v>
          </cell>
          <cell r="DC89">
            <v>141</v>
          </cell>
          <cell r="DD89">
            <v>78</v>
          </cell>
          <cell r="DE89">
            <v>23</v>
          </cell>
          <cell r="DF89">
            <v>35</v>
          </cell>
          <cell r="DG89">
            <v>6</v>
          </cell>
          <cell r="DH89">
            <v>3</v>
          </cell>
          <cell r="DI89">
            <v>15</v>
          </cell>
        </row>
        <row r="90">
          <cell r="A90" t="str">
            <v>RS 066</v>
          </cell>
          <cell r="B90">
            <v>66</v>
          </cell>
          <cell r="C90" t="str">
            <v>C</v>
          </cell>
          <cell r="D90" t="str">
            <v>T</v>
          </cell>
          <cell r="E90" t="str">
            <v>Bua River - Nkhota-kota</v>
          </cell>
          <cell r="F90" t="str">
            <v>M05</v>
          </cell>
          <cell r="G90">
            <v>8</v>
          </cell>
          <cell r="H90">
            <v>14.8</v>
          </cell>
          <cell r="I90" t="str">
            <v>F</v>
          </cell>
          <cell r="J90" t="str">
            <v>NKHOTA KOTA</v>
          </cell>
          <cell r="K90">
            <v>5</v>
          </cell>
          <cell r="W90">
            <v>81</v>
          </cell>
          <cell r="X90" t="str">
            <v>ST</v>
          </cell>
          <cell r="Y90">
            <v>150</v>
          </cell>
          <cell r="Z90" t="str">
            <v>SB</v>
          </cell>
          <cell r="AA90">
            <v>225</v>
          </cell>
          <cell r="AB90" t="str">
            <v>GR</v>
          </cell>
          <cell r="AC90">
            <v>22</v>
          </cell>
          <cell r="AD90" t="str">
            <v>VR</v>
          </cell>
          <cell r="AE90">
            <v>93</v>
          </cell>
          <cell r="AF90" t="str">
            <v>SR</v>
          </cell>
          <cell r="AG90" t="str">
            <v>ST</v>
          </cell>
          <cell r="AH90">
            <v>10</v>
          </cell>
          <cell r="AM90">
            <v>4</v>
          </cell>
          <cell r="BO90" t="str">
            <v>RS 066</v>
          </cell>
          <cell r="BP90">
            <v>14.8</v>
          </cell>
          <cell r="BQ90">
            <v>5.5</v>
          </cell>
          <cell r="BR90" t="str">
            <v>F</v>
          </cell>
          <cell r="BS90" t="str">
            <v>C</v>
          </cell>
          <cell r="BT90">
            <v>0</v>
          </cell>
          <cell r="BU90" t="str">
            <v>ST</v>
          </cell>
          <cell r="BV90" t="str">
            <v>ST</v>
          </cell>
          <cell r="BW90">
            <v>4</v>
          </cell>
          <cell r="BX90">
            <v>10</v>
          </cell>
          <cell r="BY90">
            <v>10</v>
          </cell>
          <cell r="BZ90">
            <v>1</v>
          </cell>
          <cell r="CA90">
            <v>22</v>
          </cell>
          <cell r="CB90">
            <v>2.4350000000000001</v>
          </cell>
          <cell r="CC90">
            <v>5.3031239438852342</v>
          </cell>
          <cell r="CD90">
            <v>27</v>
          </cell>
          <cell r="CE90">
            <v>19</v>
          </cell>
          <cell r="CF90">
            <v>4</v>
          </cell>
          <cell r="CG90">
            <v>23</v>
          </cell>
          <cell r="CH90">
            <v>15</v>
          </cell>
          <cell r="CI90">
            <v>2.6</v>
          </cell>
          <cell r="CJ90">
            <v>9.4545454545454551E-3</v>
          </cell>
          <cell r="CK90">
            <v>4.0094545454545454</v>
          </cell>
          <cell r="CL90">
            <v>4</v>
          </cell>
          <cell r="CM90">
            <v>7.0126993006993002E-2</v>
          </cell>
          <cell r="CN90">
            <v>7.0126993006993002E-2</v>
          </cell>
          <cell r="CO90">
            <v>0</v>
          </cell>
          <cell r="CP90">
            <v>0</v>
          </cell>
          <cell r="CQ90">
            <v>5.3732509368922274</v>
          </cell>
          <cell r="CR90">
            <v>0</v>
          </cell>
          <cell r="CS90">
            <v>1</v>
          </cell>
          <cell r="CT90">
            <v>0</v>
          </cell>
          <cell r="CU90">
            <v>0</v>
          </cell>
          <cell r="CV90">
            <v>5</v>
          </cell>
          <cell r="CW90">
            <v>17</v>
          </cell>
          <cell r="CX90">
            <v>34</v>
          </cell>
          <cell r="CY90">
            <v>2</v>
          </cell>
          <cell r="CZ90">
            <v>1.2</v>
          </cell>
          <cell r="DA90">
            <v>1.1000000000000001</v>
          </cell>
          <cell r="DB90">
            <v>300</v>
          </cell>
          <cell r="DC90">
            <v>141</v>
          </cell>
          <cell r="DD90">
            <v>78</v>
          </cell>
          <cell r="DE90">
            <v>23</v>
          </cell>
          <cell r="DF90">
            <v>35</v>
          </cell>
          <cell r="DG90">
            <v>6</v>
          </cell>
          <cell r="DH90">
            <v>3</v>
          </cell>
          <cell r="DI90">
            <v>15</v>
          </cell>
        </row>
        <row r="91">
          <cell r="A91" t="str">
            <v>RS 050</v>
          </cell>
          <cell r="B91">
            <v>50</v>
          </cell>
          <cell r="C91" t="str">
            <v>C</v>
          </cell>
          <cell r="D91" t="str">
            <v>T</v>
          </cell>
          <cell r="E91" t="str">
            <v>Km 11.6-Km 18.3 (Nkhota-kota - Chia)</v>
          </cell>
          <cell r="F91" t="str">
            <v>M05</v>
          </cell>
          <cell r="G91">
            <v>10</v>
          </cell>
          <cell r="H91">
            <v>6.7</v>
          </cell>
          <cell r="I91" t="str">
            <v>F</v>
          </cell>
          <cell r="J91" t="str">
            <v>NKHOTA KOTA</v>
          </cell>
          <cell r="K91">
            <v>5</v>
          </cell>
          <cell r="W91">
            <v>81</v>
          </cell>
          <cell r="X91" t="str">
            <v>DS</v>
          </cell>
          <cell r="Y91">
            <v>200</v>
          </cell>
          <cell r="Z91" t="str">
            <v>SB</v>
          </cell>
          <cell r="AA91">
            <v>100</v>
          </cell>
          <cell r="AB91" t="str">
            <v>GR</v>
          </cell>
          <cell r="AC91">
            <v>4</v>
          </cell>
          <cell r="AD91" t="str">
            <v>VR</v>
          </cell>
          <cell r="AE91">
            <v>93</v>
          </cell>
          <cell r="AF91" t="str">
            <v>SR</v>
          </cell>
          <cell r="AG91" t="str">
            <v>ST</v>
          </cell>
          <cell r="AH91">
            <v>10</v>
          </cell>
          <cell r="AM91">
            <v>4</v>
          </cell>
          <cell r="BO91" t="str">
            <v>RS 050</v>
          </cell>
          <cell r="BP91">
            <v>6.7</v>
          </cell>
          <cell r="BQ91">
            <v>5.5</v>
          </cell>
          <cell r="BR91" t="str">
            <v>F</v>
          </cell>
          <cell r="BS91" t="str">
            <v>C</v>
          </cell>
          <cell r="BT91">
            <v>0</v>
          </cell>
          <cell r="BU91" t="str">
            <v>ST</v>
          </cell>
          <cell r="BV91" t="str">
            <v>DS</v>
          </cell>
          <cell r="BW91">
            <v>4</v>
          </cell>
          <cell r="BX91">
            <v>10</v>
          </cell>
          <cell r="BY91">
            <v>15</v>
          </cell>
          <cell r="BZ91">
            <v>1</v>
          </cell>
          <cell r="CA91">
            <v>4</v>
          </cell>
          <cell r="CB91">
            <v>1.3540000000000001</v>
          </cell>
          <cell r="CC91">
            <v>4.8691634262704078</v>
          </cell>
          <cell r="CD91">
            <v>34</v>
          </cell>
          <cell r="CE91">
            <v>22</v>
          </cell>
          <cell r="CF91">
            <v>7</v>
          </cell>
          <cell r="CG91">
            <v>27</v>
          </cell>
          <cell r="CH91">
            <v>15</v>
          </cell>
          <cell r="CI91">
            <v>3.1</v>
          </cell>
          <cell r="CJ91">
            <v>1.1272727272727275E-2</v>
          </cell>
          <cell r="CK91">
            <v>7.0112727272727273</v>
          </cell>
          <cell r="CL91">
            <v>7</v>
          </cell>
          <cell r="CM91">
            <v>0.12067804195804198</v>
          </cell>
          <cell r="CN91">
            <v>0.12067804195804198</v>
          </cell>
          <cell r="CO91">
            <v>0</v>
          </cell>
          <cell r="CP91">
            <v>0</v>
          </cell>
          <cell r="CQ91">
            <v>4.98984146822845</v>
          </cell>
          <cell r="CR91">
            <v>0</v>
          </cell>
          <cell r="CS91">
            <v>1.4</v>
          </cell>
          <cell r="CT91">
            <v>1.9999999999999996</v>
          </cell>
          <cell r="CU91">
            <v>0.79999999999999982</v>
          </cell>
          <cell r="CV91">
            <v>5</v>
          </cell>
          <cell r="CW91">
            <v>17</v>
          </cell>
          <cell r="CX91">
            <v>34</v>
          </cell>
          <cell r="CY91">
            <v>2</v>
          </cell>
          <cell r="CZ91">
            <v>1.2</v>
          </cell>
          <cell r="DA91">
            <v>1.1000000000000001</v>
          </cell>
          <cell r="DB91">
            <v>250</v>
          </cell>
          <cell r="DC91">
            <v>118</v>
          </cell>
          <cell r="DD91">
            <v>65</v>
          </cell>
          <cell r="DE91">
            <v>19</v>
          </cell>
          <cell r="DF91">
            <v>29</v>
          </cell>
          <cell r="DG91">
            <v>5</v>
          </cell>
          <cell r="DH91">
            <v>3</v>
          </cell>
          <cell r="DI91">
            <v>13</v>
          </cell>
        </row>
        <row r="92">
          <cell r="A92" t="str">
            <v>RS 054</v>
          </cell>
          <cell r="B92">
            <v>54</v>
          </cell>
          <cell r="C92" t="str">
            <v>C</v>
          </cell>
          <cell r="D92" t="str">
            <v>T</v>
          </cell>
          <cell r="E92" t="str">
            <v>Km 18.3 - Chia River</v>
          </cell>
          <cell r="F92" t="str">
            <v>M05</v>
          </cell>
          <cell r="G92">
            <v>11</v>
          </cell>
          <cell r="H92">
            <v>5.4</v>
          </cell>
          <cell r="I92" t="str">
            <v>F</v>
          </cell>
          <cell r="J92" t="str">
            <v>NKHOTA KOTA</v>
          </cell>
          <cell r="K92">
            <v>5</v>
          </cell>
          <cell r="W92">
            <v>78</v>
          </cell>
          <cell r="X92" t="str">
            <v>ST</v>
          </cell>
          <cell r="Y92">
            <v>150</v>
          </cell>
          <cell r="Z92" t="str">
            <v>SB</v>
          </cell>
          <cell r="AA92">
            <v>225</v>
          </cell>
          <cell r="AB92" t="str">
            <v>GR</v>
          </cell>
          <cell r="AC92">
            <v>22</v>
          </cell>
          <cell r="AD92" t="str">
            <v>VR</v>
          </cell>
          <cell r="AE92">
            <v>93</v>
          </cell>
          <cell r="AF92" t="str">
            <v>SR</v>
          </cell>
          <cell r="AG92" t="str">
            <v>ST</v>
          </cell>
          <cell r="AH92">
            <v>10</v>
          </cell>
          <cell r="AM92">
            <v>4</v>
          </cell>
          <cell r="BO92" t="str">
            <v>RS 054</v>
          </cell>
          <cell r="BP92">
            <v>5.4</v>
          </cell>
          <cell r="BQ92">
            <v>5.5</v>
          </cell>
          <cell r="BR92" t="str">
            <v>F</v>
          </cell>
          <cell r="BS92" t="str">
            <v>C</v>
          </cell>
          <cell r="BT92">
            <v>0</v>
          </cell>
          <cell r="BU92" t="str">
            <v>ST</v>
          </cell>
          <cell r="BV92" t="str">
            <v>ST</v>
          </cell>
          <cell r="BW92">
            <v>4</v>
          </cell>
          <cell r="BX92">
            <v>10</v>
          </cell>
          <cell r="BY92">
            <v>10</v>
          </cell>
          <cell r="BZ92">
            <v>1</v>
          </cell>
          <cell r="CA92">
            <v>22</v>
          </cell>
          <cell r="CB92">
            <v>2.4350000000000001</v>
          </cell>
          <cell r="CC92">
            <v>6.2855176278918226</v>
          </cell>
          <cell r="CD92">
            <v>90</v>
          </cell>
          <cell r="CE92">
            <v>65</v>
          </cell>
          <cell r="CF92">
            <v>50</v>
          </cell>
          <cell r="CG92">
            <v>40</v>
          </cell>
          <cell r="CH92">
            <v>15</v>
          </cell>
          <cell r="CI92">
            <v>1.2</v>
          </cell>
          <cell r="CJ92">
            <v>4.3636363636363638E-3</v>
          </cell>
          <cell r="CK92">
            <v>10</v>
          </cell>
          <cell r="CL92">
            <v>50</v>
          </cell>
          <cell r="CM92">
            <v>0.43241734265734261</v>
          </cell>
          <cell r="CN92">
            <v>0.43241734265734261</v>
          </cell>
          <cell r="CO92">
            <v>0</v>
          </cell>
          <cell r="CP92">
            <v>0</v>
          </cell>
          <cell r="CQ92">
            <v>6.7179349705491651</v>
          </cell>
          <cell r="CR92">
            <v>0</v>
          </cell>
          <cell r="CS92">
            <v>3</v>
          </cell>
          <cell r="CT92">
            <v>15</v>
          </cell>
          <cell r="CU92">
            <v>6</v>
          </cell>
          <cell r="CV92">
            <v>5</v>
          </cell>
          <cell r="CW92">
            <v>20</v>
          </cell>
          <cell r="CX92">
            <v>40</v>
          </cell>
          <cell r="CY92">
            <v>2</v>
          </cell>
          <cell r="CZ92">
            <v>1</v>
          </cell>
          <cell r="DA92">
            <v>1</v>
          </cell>
          <cell r="DB92">
            <v>250</v>
          </cell>
          <cell r="DC92">
            <v>118</v>
          </cell>
          <cell r="DD92">
            <v>65</v>
          </cell>
          <cell r="DE92">
            <v>19</v>
          </cell>
          <cell r="DF92">
            <v>29</v>
          </cell>
          <cell r="DG92">
            <v>5</v>
          </cell>
          <cell r="DH92">
            <v>3</v>
          </cell>
          <cell r="DI92">
            <v>13</v>
          </cell>
        </row>
        <row r="93">
          <cell r="A93" t="str">
            <v>RS 053</v>
          </cell>
          <cell r="B93">
            <v>53</v>
          </cell>
          <cell r="C93" t="str">
            <v>C</v>
          </cell>
          <cell r="D93" t="str">
            <v>T</v>
          </cell>
          <cell r="E93" t="str">
            <v>Chia River-Benga</v>
          </cell>
          <cell r="F93" t="str">
            <v>M05</v>
          </cell>
          <cell r="G93">
            <v>12</v>
          </cell>
          <cell r="H93">
            <v>29.4</v>
          </cell>
          <cell r="I93" t="str">
            <v>F</v>
          </cell>
          <cell r="J93" t="str">
            <v>NKHOTA KOTA</v>
          </cell>
          <cell r="K93">
            <v>5</v>
          </cell>
          <cell r="W93">
            <v>78</v>
          </cell>
          <cell r="X93" t="str">
            <v>ST</v>
          </cell>
          <cell r="Y93">
            <v>150</v>
          </cell>
          <cell r="Z93" t="str">
            <v>SB</v>
          </cell>
          <cell r="AA93">
            <v>225</v>
          </cell>
          <cell r="AB93" t="str">
            <v>GR</v>
          </cell>
          <cell r="AC93">
            <v>22</v>
          </cell>
          <cell r="AD93" t="str">
            <v>VR</v>
          </cell>
          <cell r="AE93">
            <v>93</v>
          </cell>
          <cell r="AF93" t="str">
            <v>SR</v>
          </cell>
          <cell r="AG93" t="str">
            <v>ST</v>
          </cell>
          <cell r="AH93">
            <v>10</v>
          </cell>
          <cell r="AM93">
            <v>4</v>
          </cell>
          <cell r="AN93" t="str">
            <v>10km reconstructed 1993</v>
          </cell>
          <cell r="BO93" t="str">
            <v>RS 053</v>
          </cell>
          <cell r="BP93">
            <v>29.4</v>
          </cell>
          <cell r="BQ93">
            <v>6</v>
          </cell>
          <cell r="BR93" t="str">
            <v>F</v>
          </cell>
          <cell r="BS93" t="str">
            <v>C</v>
          </cell>
          <cell r="BT93">
            <v>0</v>
          </cell>
          <cell r="BU93" t="str">
            <v>ST</v>
          </cell>
          <cell r="BV93" t="str">
            <v>ST</v>
          </cell>
          <cell r="BW93">
            <v>4</v>
          </cell>
          <cell r="BX93">
            <v>10</v>
          </cell>
          <cell r="BY93">
            <v>10</v>
          </cell>
          <cell r="BZ93">
            <v>1</v>
          </cell>
          <cell r="CA93">
            <v>22</v>
          </cell>
          <cell r="CB93">
            <v>2.4350000000000001</v>
          </cell>
          <cell r="CC93">
            <v>4.63</v>
          </cell>
          <cell r="CD93">
            <v>16</v>
          </cell>
          <cell r="CE93">
            <v>13</v>
          </cell>
          <cell r="CF93">
            <v>0</v>
          </cell>
          <cell r="CG93">
            <v>16</v>
          </cell>
          <cell r="CH93">
            <v>13</v>
          </cell>
          <cell r="CI93">
            <v>4.0999999999999996</v>
          </cell>
          <cell r="CJ93">
            <v>1.3666666666666667E-2</v>
          </cell>
          <cell r="CK93">
            <v>1.3666666666666667E-2</v>
          </cell>
          <cell r="CL93">
            <v>0</v>
          </cell>
          <cell r="CM93">
            <v>5.2984615384615383E-3</v>
          </cell>
          <cell r="CN93">
            <v>5.2984615384615383E-3</v>
          </cell>
          <cell r="CO93">
            <v>0</v>
          </cell>
          <cell r="CP93">
            <v>0</v>
          </cell>
          <cell r="CQ93">
            <v>4.6352984615384614</v>
          </cell>
          <cell r="CR93">
            <v>0</v>
          </cell>
          <cell r="CS93">
            <v>1.3</v>
          </cell>
          <cell r="CT93">
            <v>1.5000000000000002</v>
          </cell>
          <cell r="CU93">
            <v>0.60000000000000009</v>
          </cell>
          <cell r="CV93">
            <v>5</v>
          </cell>
          <cell r="CW93">
            <v>20</v>
          </cell>
          <cell r="CX93">
            <v>40</v>
          </cell>
          <cell r="CY93">
            <v>2</v>
          </cell>
          <cell r="CZ93">
            <v>1.2</v>
          </cell>
          <cell r="DA93">
            <v>1</v>
          </cell>
          <cell r="DB93">
            <v>250</v>
          </cell>
          <cell r="DC93">
            <v>118</v>
          </cell>
          <cell r="DD93">
            <v>65</v>
          </cell>
          <cell r="DE93">
            <v>19</v>
          </cell>
          <cell r="DF93">
            <v>29</v>
          </cell>
          <cell r="DG93">
            <v>5</v>
          </cell>
          <cell r="DH93">
            <v>3</v>
          </cell>
          <cell r="DI93">
            <v>13</v>
          </cell>
        </row>
        <row r="94">
          <cell r="A94" t="str">
            <v>RS 061</v>
          </cell>
          <cell r="B94">
            <v>61</v>
          </cell>
          <cell r="C94" t="str">
            <v>C</v>
          </cell>
          <cell r="D94" t="str">
            <v>T</v>
          </cell>
          <cell r="E94" t="str">
            <v>Benga-Kachisoka</v>
          </cell>
          <cell r="F94" t="str">
            <v>M05</v>
          </cell>
          <cell r="G94">
            <v>13</v>
          </cell>
          <cell r="H94">
            <v>2.7</v>
          </cell>
          <cell r="I94" t="str">
            <v>F</v>
          </cell>
          <cell r="J94" t="str">
            <v>NKHOTAKOTA</v>
          </cell>
          <cell r="K94">
            <v>5</v>
          </cell>
          <cell r="W94">
            <v>83</v>
          </cell>
          <cell r="X94" t="str">
            <v>DS</v>
          </cell>
          <cell r="Y94">
            <v>200</v>
          </cell>
          <cell r="Z94" t="str">
            <v>SB</v>
          </cell>
          <cell r="AA94">
            <v>100</v>
          </cell>
          <cell r="AB94" t="str">
            <v>GR</v>
          </cell>
          <cell r="AC94">
            <v>4</v>
          </cell>
          <cell r="AD94" t="str">
            <v>VR</v>
          </cell>
          <cell r="AM94">
            <v>1</v>
          </cell>
          <cell r="AN94" t="str">
            <v>never resealed</v>
          </cell>
          <cell r="BO94" t="str">
            <v>RS 061</v>
          </cell>
          <cell r="BP94">
            <v>2.7</v>
          </cell>
          <cell r="BQ94">
            <v>6</v>
          </cell>
          <cell r="BR94" t="str">
            <v>F</v>
          </cell>
          <cell r="BS94" t="str">
            <v>C</v>
          </cell>
          <cell r="BT94">
            <v>0</v>
          </cell>
          <cell r="BU94" t="str">
            <v>DS</v>
          </cell>
          <cell r="BV94" t="str">
            <v/>
          </cell>
          <cell r="BW94">
            <v>1</v>
          </cell>
          <cell r="BX94">
            <v>15</v>
          </cell>
          <cell r="BY94" t="str">
            <v/>
          </cell>
          <cell r="BZ94">
            <v>1</v>
          </cell>
          <cell r="CA94">
            <v>4</v>
          </cell>
          <cell r="CB94">
            <v>1.177</v>
          </cell>
          <cell r="CC94">
            <v>4.9512067774519402</v>
          </cell>
          <cell r="CD94">
            <v>34</v>
          </cell>
          <cell r="CE94">
            <v>19</v>
          </cell>
          <cell r="CF94">
            <v>4</v>
          </cell>
          <cell r="CG94">
            <v>30</v>
          </cell>
          <cell r="CH94">
            <v>15</v>
          </cell>
          <cell r="CI94">
            <v>1.9</v>
          </cell>
          <cell r="CJ94">
            <v>6.3333333333333332E-3</v>
          </cell>
          <cell r="CK94">
            <v>4.0063333333333331</v>
          </cell>
          <cell r="CL94">
            <v>4</v>
          </cell>
          <cell r="CM94">
            <v>6.891692307692307E-2</v>
          </cell>
          <cell r="CN94">
            <v>6.891692307692307E-2</v>
          </cell>
          <cell r="CO94">
            <v>0</v>
          </cell>
          <cell r="CP94">
            <v>0</v>
          </cell>
          <cell r="CQ94">
            <v>5.0201237005288633</v>
          </cell>
          <cell r="CR94">
            <v>0</v>
          </cell>
          <cell r="CS94">
            <v>1.5</v>
          </cell>
          <cell r="CT94">
            <v>2.5</v>
          </cell>
          <cell r="CU94">
            <v>1</v>
          </cell>
          <cell r="CV94">
            <v>15</v>
          </cell>
          <cell r="CW94">
            <v>15</v>
          </cell>
          <cell r="CX94" t="str">
            <v/>
          </cell>
          <cell r="CY94">
            <v>2</v>
          </cell>
          <cell r="CZ94">
            <v>1</v>
          </cell>
          <cell r="DA94">
            <v>1</v>
          </cell>
          <cell r="DB94">
            <v>250</v>
          </cell>
          <cell r="DC94">
            <v>118</v>
          </cell>
          <cell r="DD94">
            <v>65</v>
          </cell>
          <cell r="DE94">
            <v>19</v>
          </cell>
          <cell r="DF94">
            <v>29</v>
          </cell>
          <cell r="DG94">
            <v>5</v>
          </cell>
          <cell r="DH94">
            <v>3</v>
          </cell>
          <cell r="DI94">
            <v>13</v>
          </cell>
        </row>
        <row r="95">
          <cell r="A95" t="str">
            <v>RS 042</v>
          </cell>
          <cell r="B95">
            <v>42</v>
          </cell>
          <cell r="C95" t="str">
            <v>C</v>
          </cell>
          <cell r="D95" t="str">
            <v>T</v>
          </cell>
          <cell r="E95" t="str">
            <v>Chirua River Bridge - Thavite River Bridge</v>
          </cell>
          <cell r="F95" t="str">
            <v>M05</v>
          </cell>
          <cell r="G95">
            <v>14</v>
          </cell>
          <cell r="H95">
            <v>6</v>
          </cell>
          <cell r="I95" t="str">
            <v>F</v>
          </cell>
          <cell r="J95" t="str">
            <v>SALIMA</v>
          </cell>
          <cell r="K95">
            <v>5</v>
          </cell>
          <cell r="W95">
            <v>83</v>
          </cell>
          <cell r="X95" t="str">
            <v>ST</v>
          </cell>
          <cell r="Y95">
            <v>150</v>
          </cell>
          <cell r="Z95" t="str">
            <v>GR</v>
          </cell>
          <cell r="AA95">
            <v>100</v>
          </cell>
          <cell r="AB95" t="str">
            <v>GR</v>
          </cell>
          <cell r="AC95">
            <v>8</v>
          </cell>
          <cell r="AD95" t="str">
            <v>VR</v>
          </cell>
          <cell r="AM95">
            <v>1</v>
          </cell>
          <cell r="AN95" t="str">
            <v>never resealed</v>
          </cell>
          <cell r="BO95" t="str">
            <v>RS 042</v>
          </cell>
          <cell r="BP95">
            <v>6</v>
          </cell>
          <cell r="BQ95">
            <v>6</v>
          </cell>
          <cell r="BR95" t="str">
            <v>F</v>
          </cell>
          <cell r="BS95" t="str">
            <v>C</v>
          </cell>
          <cell r="BT95">
            <v>0</v>
          </cell>
          <cell r="BU95" t="str">
            <v>ST</v>
          </cell>
          <cell r="BV95" t="str">
            <v/>
          </cell>
          <cell r="BW95">
            <v>1</v>
          </cell>
          <cell r="BX95">
            <v>10</v>
          </cell>
          <cell r="BY95" t="str">
            <v/>
          </cell>
          <cell r="BZ95">
            <v>1</v>
          </cell>
          <cell r="CA95">
            <v>8</v>
          </cell>
          <cell r="CB95">
            <v>0.90800000000000003</v>
          </cell>
          <cell r="CC95">
            <v>4.5999999999999996</v>
          </cell>
          <cell r="CD95">
            <v>95</v>
          </cell>
          <cell r="CE95">
            <v>76</v>
          </cell>
          <cell r="CF95">
            <v>61</v>
          </cell>
          <cell r="CG95">
            <v>34</v>
          </cell>
          <cell r="CH95">
            <v>15</v>
          </cell>
          <cell r="CI95">
            <v>1.6</v>
          </cell>
          <cell r="CJ95">
            <v>5.3333333333333349E-3</v>
          </cell>
          <cell r="CK95">
            <v>10</v>
          </cell>
          <cell r="CL95">
            <v>61</v>
          </cell>
          <cell r="CM95">
            <v>0.50555282051282047</v>
          </cell>
          <cell r="CN95">
            <v>0.50555282051282047</v>
          </cell>
          <cell r="CO95">
            <v>0</v>
          </cell>
          <cell r="CP95">
            <v>0</v>
          </cell>
          <cell r="CQ95">
            <v>5.1055528205128198</v>
          </cell>
          <cell r="CR95">
            <v>0</v>
          </cell>
          <cell r="CS95">
            <v>1</v>
          </cell>
          <cell r="CT95">
            <v>0</v>
          </cell>
          <cell r="CU95">
            <v>0</v>
          </cell>
          <cell r="CV95">
            <v>15</v>
          </cell>
          <cell r="CW95">
            <v>15</v>
          </cell>
          <cell r="CX95" t="str">
            <v/>
          </cell>
          <cell r="CY95">
            <v>2</v>
          </cell>
          <cell r="CZ95">
            <v>1</v>
          </cell>
          <cell r="DA95">
            <v>1</v>
          </cell>
          <cell r="DB95">
            <v>150</v>
          </cell>
          <cell r="DC95">
            <v>71</v>
          </cell>
          <cell r="DD95">
            <v>39</v>
          </cell>
          <cell r="DE95">
            <v>12</v>
          </cell>
          <cell r="DF95">
            <v>18</v>
          </cell>
          <cell r="DG95">
            <v>3</v>
          </cell>
          <cell r="DH95">
            <v>2</v>
          </cell>
          <cell r="DI95">
            <v>8</v>
          </cell>
        </row>
        <row r="96">
          <cell r="A96" t="str">
            <v>RS 058</v>
          </cell>
          <cell r="B96">
            <v>58</v>
          </cell>
          <cell r="C96" t="str">
            <v>C</v>
          </cell>
          <cell r="D96" t="str">
            <v>T</v>
          </cell>
          <cell r="E96" t="str">
            <v>Thavite River Bridge - Kamphatenga</v>
          </cell>
          <cell r="F96" t="str">
            <v>M05</v>
          </cell>
          <cell r="G96">
            <v>15</v>
          </cell>
          <cell r="H96">
            <v>32.5</v>
          </cell>
          <cell r="I96" t="str">
            <v>F</v>
          </cell>
          <cell r="J96" t="str">
            <v>SALIMA</v>
          </cell>
          <cell r="K96">
            <v>7</v>
          </cell>
          <cell r="W96">
            <v>83</v>
          </cell>
          <cell r="X96" t="str">
            <v>DS</v>
          </cell>
          <cell r="Y96">
            <v>200</v>
          </cell>
          <cell r="Z96" t="str">
            <v>SB</v>
          </cell>
          <cell r="AA96">
            <v>100</v>
          </cell>
          <cell r="AB96" t="str">
            <v>GR</v>
          </cell>
          <cell r="AC96">
            <v>4</v>
          </cell>
          <cell r="AD96" t="str">
            <v>VR</v>
          </cell>
          <cell r="AM96">
            <v>1</v>
          </cell>
          <cell r="AN96" t="str">
            <v>never resealed</v>
          </cell>
          <cell r="BO96" t="str">
            <v>RS 058</v>
          </cell>
          <cell r="BP96">
            <v>32.5</v>
          </cell>
          <cell r="BQ96">
            <v>6</v>
          </cell>
          <cell r="BR96" t="str">
            <v>F</v>
          </cell>
          <cell r="BS96" t="str">
            <v>C</v>
          </cell>
          <cell r="BT96">
            <v>0</v>
          </cell>
          <cell r="BU96" t="str">
            <v>DS</v>
          </cell>
          <cell r="BV96" t="str">
            <v/>
          </cell>
          <cell r="BW96">
            <v>1</v>
          </cell>
          <cell r="BX96">
            <v>15</v>
          </cell>
          <cell r="BY96" t="str">
            <v/>
          </cell>
          <cell r="BZ96">
            <v>1</v>
          </cell>
          <cell r="CA96">
            <v>4</v>
          </cell>
          <cell r="CB96">
            <v>1.177</v>
          </cell>
          <cell r="CC96">
            <v>4.6480611775321456</v>
          </cell>
          <cell r="CD96">
            <v>45</v>
          </cell>
          <cell r="CE96">
            <v>35</v>
          </cell>
          <cell r="CF96">
            <v>20</v>
          </cell>
          <cell r="CG96">
            <v>25</v>
          </cell>
          <cell r="CH96">
            <v>15</v>
          </cell>
          <cell r="CI96">
            <v>2.8</v>
          </cell>
          <cell r="CJ96">
            <v>9.3333333333333324E-3</v>
          </cell>
          <cell r="CK96">
            <v>10</v>
          </cell>
          <cell r="CL96">
            <v>20</v>
          </cell>
          <cell r="CM96">
            <v>0.23583282051282048</v>
          </cell>
          <cell r="CN96">
            <v>0.23583282051282048</v>
          </cell>
          <cell r="CO96">
            <v>0</v>
          </cell>
          <cell r="CP96">
            <v>0</v>
          </cell>
          <cell r="CQ96">
            <v>4.8838939980449663</v>
          </cell>
          <cell r="CR96">
            <v>0</v>
          </cell>
          <cell r="CS96">
            <v>1</v>
          </cell>
          <cell r="CT96">
            <v>0</v>
          </cell>
          <cell r="CU96">
            <v>0</v>
          </cell>
          <cell r="CV96">
            <v>15</v>
          </cell>
          <cell r="CW96">
            <v>15</v>
          </cell>
          <cell r="CX96" t="str">
            <v/>
          </cell>
          <cell r="CY96">
            <v>2</v>
          </cell>
          <cell r="CZ96">
            <v>1</v>
          </cell>
          <cell r="DA96">
            <v>1</v>
          </cell>
          <cell r="DB96">
            <v>150</v>
          </cell>
          <cell r="DC96">
            <v>71</v>
          </cell>
          <cell r="DD96">
            <v>39</v>
          </cell>
          <cell r="DE96">
            <v>12</v>
          </cell>
          <cell r="DF96">
            <v>18</v>
          </cell>
          <cell r="DG96">
            <v>3</v>
          </cell>
          <cell r="DH96">
            <v>2</v>
          </cell>
          <cell r="DI96">
            <v>8</v>
          </cell>
        </row>
        <row r="97">
          <cell r="A97" t="str">
            <v>RS 044</v>
          </cell>
          <cell r="B97">
            <v>44</v>
          </cell>
          <cell r="C97" t="str">
            <v>C</v>
          </cell>
          <cell r="D97" t="str">
            <v>T</v>
          </cell>
          <cell r="E97" t="str">
            <v>Kaphatenga - junction S122</v>
          </cell>
          <cell r="F97" t="str">
            <v>M05</v>
          </cell>
          <cell r="G97">
            <v>16</v>
          </cell>
          <cell r="H97">
            <v>4.8</v>
          </cell>
          <cell r="I97" t="str">
            <v>F</v>
          </cell>
          <cell r="J97" t="str">
            <v>SALIMA</v>
          </cell>
          <cell r="K97">
            <v>7</v>
          </cell>
          <cell r="L97" t="str">
            <v>Changed junction road designation from M5</v>
          </cell>
          <cell r="W97">
            <v>83</v>
          </cell>
          <cell r="X97" t="str">
            <v>ST</v>
          </cell>
          <cell r="Y97">
            <v>200</v>
          </cell>
          <cell r="Z97" t="str">
            <v>SB</v>
          </cell>
          <cell r="AA97">
            <v>100</v>
          </cell>
          <cell r="AB97" t="str">
            <v>GR</v>
          </cell>
          <cell r="AC97">
            <v>4</v>
          </cell>
          <cell r="AD97" t="str">
            <v>VR</v>
          </cell>
          <cell r="AM97">
            <v>1</v>
          </cell>
          <cell r="AN97" t="str">
            <v>never resealed</v>
          </cell>
          <cell r="BO97" t="str">
            <v>RS 044</v>
          </cell>
          <cell r="BP97">
            <v>4.8</v>
          </cell>
          <cell r="BQ97">
            <v>6</v>
          </cell>
          <cell r="BR97" t="str">
            <v>F</v>
          </cell>
          <cell r="BS97" t="str">
            <v>C</v>
          </cell>
          <cell r="BT97">
            <v>0</v>
          </cell>
          <cell r="BU97" t="str">
            <v>ST</v>
          </cell>
          <cell r="BV97" t="str">
            <v/>
          </cell>
          <cell r="BW97">
            <v>1</v>
          </cell>
          <cell r="BX97">
            <v>10</v>
          </cell>
          <cell r="BY97" t="str">
            <v/>
          </cell>
          <cell r="BZ97">
            <v>1</v>
          </cell>
          <cell r="CA97">
            <v>4</v>
          </cell>
          <cell r="CB97">
            <v>1.008</v>
          </cell>
          <cell r="CC97">
            <v>4.5464554518794991</v>
          </cell>
          <cell r="CD97">
            <v>0</v>
          </cell>
          <cell r="CE97">
            <v>0</v>
          </cell>
          <cell r="CF97">
            <v>0</v>
          </cell>
          <cell r="CG97">
            <v>0</v>
          </cell>
          <cell r="CH97">
            <v>0</v>
          </cell>
          <cell r="CI97">
            <v>0.5</v>
          </cell>
          <cell r="CJ97">
            <v>1.6666666666666668E-3</v>
          </cell>
          <cell r="CK97">
            <v>1.6666666666666668E-3</v>
          </cell>
          <cell r="CL97">
            <v>0</v>
          </cell>
          <cell r="CM97">
            <v>6.4615384615384621E-4</v>
          </cell>
          <cell r="CN97">
            <v>6.4615384615384621E-4</v>
          </cell>
          <cell r="CO97">
            <v>0</v>
          </cell>
          <cell r="CP97">
            <v>0</v>
          </cell>
          <cell r="CQ97">
            <v>4.5471016057256533</v>
          </cell>
          <cell r="CR97">
            <v>0</v>
          </cell>
          <cell r="CS97">
            <v>1</v>
          </cell>
          <cell r="CT97">
            <v>0</v>
          </cell>
          <cell r="CU97">
            <v>0</v>
          </cell>
          <cell r="CV97">
            <v>15</v>
          </cell>
          <cell r="CW97">
            <v>15</v>
          </cell>
          <cell r="CX97" t="str">
            <v/>
          </cell>
          <cell r="CY97">
            <v>2</v>
          </cell>
          <cell r="CZ97">
            <v>1</v>
          </cell>
          <cell r="DA97">
            <v>1</v>
          </cell>
          <cell r="DB97">
            <v>320</v>
          </cell>
          <cell r="DC97">
            <v>151</v>
          </cell>
          <cell r="DD97">
            <v>84</v>
          </cell>
          <cell r="DE97">
            <v>24</v>
          </cell>
          <cell r="DF97">
            <v>37</v>
          </cell>
          <cell r="DG97">
            <v>7</v>
          </cell>
          <cell r="DH97">
            <v>4</v>
          </cell>
          <cell r="DI97">
            <v>16</v>
          </cell>
        </row>
        <row r="98">
          <cell r="A98" t="str">
            <v>RS 051</v>
          </cell>
          <cell r="B98">
            <v>51</v>
          </cell>
          <cell r="C98" t="str">
            <v>C</v>
          </cell>
          <cell r="D98" t="str">
            <v>T</v>
          </cell>
          <cell r="E98" t="str">
            <v>Junction S122 - Linthipe River</v>
          </cell>
          <cell r="F98" t="str">
            <v>M05</v>
          </cell>
          <cell r="G98">
            <v>17</v>
          </cell>
          <cell r="H98">
            <v>1.9</v>
          </cell>
          <cell r="I98" t="str">
            <v>F</v>
          </cell>
          <cell r="J98" t="str">
            <v>SALIMA</v>
          </cell>
          <cell r="K98">
            <v>7</v>
          </cell>
          <cell r="W98">
            <v>81</v>
          </cell>
          <cell r="X98" t="str">
            <v>DS</v>
          </cell>
          <cell r="Y98">
            <v>150</v>
          </cell>
          <cell r="Z98" t="str">
            <v>SB</v>
          </cell>
          <cell r="AA98">
            <v>100</v>
          </cell>
          <cell r="AB98" t="str">
            <v>GR</v>
          </cell>
          <cell r="AC98">
            <v>8</v>
          </cell>
          <cell r="AD98" t="str">
            <v>VR</v>
          </cell>
          <cell r="AE98">
            <v>94</v>
          </cell>
          <cell r="AF98" t="str">
            <v>RC</v>
          </cell>
          <cell r="AG98" t="str">
            <v>ST</v>
          </cell>
          <cell r="AH98">
            <v>15</v>
          </cell>
          <cell r="AM98">
            <v>1</v>
          </cell>
          <cell r="BO98" t="str">
            <v>RS 051</v>
          </cell>
          <cell r="BP98">
            <v>1.9</v>
          </cell>
          <cell r="BQ98">
            <v>6</v>
          </cell>
          <cell r="BR98" t="str">
            <v>F</v>
          </cell>
          <cell r="BS98" t="str">
            <v>C</v>
          </cell>
          <cell r="BT98">
            <v>0</v>
          </cell>
          <cell r="BU98" t="str">
            <v>ST</v>
          </cell>
          <cell r="BV98" t="str">
            <v/>
          </cell>
          <cell r="BW98">
            <v>1</v>
          </cell>
          <cell r="BX98">
            <v>10</v>
          </cell>
          <cell r="BY98" t="str">
            <v/>
          </cell>
          <cell r="BZ98">
            <v>1</v>
          </cell>
          <cell r="CA98">
            <v>8</v>
          </cell>
          <cell r="CB98">
            <v>1.3540000000000001</v>
          </cell>
          <cell r="CC98">
            <v>5.7</v>
          </cell>
          <cell r="CD98">
            <v>0</v>
          </cell>
          <cell r="CE98">
            <v>0</v>
          </cell>
          <cell r="CF98">
            <v>0</v>
          </cell>
          <cell r="CG98">
            <v>0</v>
          </cell>
          <cell r="CH98">
            <v>0</v>
          </cell>
          <cell r="CI98">
            <v>0</v>
          </cell>
          <cell r="CJ98">
            <v>0</v>
          </cell>
          <cell r="CK98">
            <v>0</v>
          </cell>
          <cell r="CL98">
            <v>0</v>
          </cell>
          <cell r="CM98">
            <v>0</v>
          </cell>
          <cell r="CN98">
            <v>0</v>
          </cell>
          <cell r="CO98">
            <v>0</v>
          </cell>
          <cell r="CP98">
            <v>0</v>
          </cell>
          <cell r="CQ98">
            <v>5.7</v>
          </cell>
          <cell r="CR98">
            <v>0</v>
          </cell>
          <cell r="CS98">
            <v>1</v>
          </cell>
          <cell r="CT98">
            <v>0</v>
          </cell>
          <cell r="CU98">
            <v>0</v>
          </cell>
          <cell r="CV98">
            <v>4</v>
          </cell>
          <cell r="CW98">
            <v>4</v>
          </cell>
          <cell r="CX98" t="str">
            <v/>
          </cell>
          <cell r="CY98">
            <v>2</v>
          </cell>
          <cell r="CZ98">
            <v>1</v>
          </cell>
          <cell r="DA98">
            <v>1</v>
          </cell>
          <cell r="DB98">
            <v>300</v>
          </cell>
          <cell r="DC98">
            <v>141</v>
          </cell>
          <cell r="DD98">
            <v>78</v>
          </cell>
          <cell r="DE98">
            <v>23</v>
          </cell>
          <cell r="DF98">
            <v>35</v>
          </cell>
          <cell r="DG98">
            <v>6</v>
          </cell>
          <cell r="DH98">
            <v>3</v>
          </cell>
          <cell r="DI98">
            <v>15</v>
          </cell>
        </row>
        <row r="99">
          <cell r="A99" t="str">
            <v>RS 067</v>
          </cell>
          <cell r="B99">
            <v>67</v>
          </cell>
          <cell r="C99" t="str">
            <v>C</v>
          </cell>
          <cell r="D99" t="str">
            <v>T</v>
          </cell>
          <cell r="E99" t="str">
            <v>Linthipe River - Luwadzi River Bridge</v>
          </cell>
          <cell r="F99" t="str">
            <v>M05</v>
          </cell>
          <cell r="G99">
            <v>18</v>
          </cell>
          <cell r="H99">
            <v>20.8</v>
          </cell>
          <cell r="I99" t="str">
            <v>F</v>
          </cell>
          <cell r="J99" t="str">
            <v>SALIMA</v>
          </cell>
          <cell r="K99">
            <v>7</v>
          </cell>
          <cell r="W99">
            <v>81</v>
          </cell>
          <cell r="X99" t="str">
            <v>DS</v>
          </cell>
          <cell r="Y99">
            <v>150</v>
          </cell>
          <cell r="Z99" t="str">
            <v>SB</v>
          </cell>
          <cell r="AA99">
            <v>100</v>
          </cell>
          <cell r="AB99" t="str">
            <v>GR</v>
          </cell>
          <cell r="AC99">
            <v>8</v>
          </cell>
          <cell r="AD99" t="str">
            <v>VR</v>
          </cell>
          <cell r="AE99">
            <v>94</v>
          </cell>
          <cell r="AF99" t="str">
            <v>RC</v>
          </cell>
          <cell r="AG99" t="str">
            <v>ST</v>
          </cell>
          <cell r="AH99">
            <v>15</v>
          </cell>
          <cell r="AM99">
            <v>1</v>
          </cell>
          <cell r="BO99" t="str">
            <v>RS 067</v>
          </cell>
          <cell r="BP99">
            <v>20.8</v>
          </cell>
          <cell r="BQ99">
            <v>6.7</v>
          </cell>
          <cell r="BR99" t="str">
            <v>F</v>
          </cell>
          <cell r="BS99" t="str">
            <v>S</v>
          </cell>
          <cell r="BT99">
            <v>0</v>
          </cell>
          <cell r="BU99" t="str">
            <v>ST</v>
          </cell>
          <cell r="BV99" t="str">
            <v/>
          </cell>
          <cell r="BW99">
            <v>1</v>
          </cell>
          <cell r="BX99">
            <v>10</v>
          </cell>
          <cell r="BY99" t="str">
            <v/>
          </cell>
          <cell r="BZ99">
            <v>1</v>
          </cell>
          <cell r="CA99">
            <v>8</v>
          </cell>
          <cell r="CB99">
            <v>1.3540000000000001</v>
          </cell>
          <cell r="CC99">
            <v>2.96</v>
          </cell>
          <cell r="CD99">
            <v>10</v>
          </cell>
          <cell r="CE99">
            <v>0.5</v>
          </cell>
          <cell r="CF99">
            <v>0</v>
          </cell>
          <cell r="CG99">
            <v>10</v>
          </cell>
          <cell r="CH99">
            <v>0.5</v>
          </cell>
          <cell r="CI99">
            <v>0.1</v>
          </cell>
          <cell r="CJ99">
            <v>2.9850746268656722E-4</v>
          </cell>
          <cell r="CK99">
            <v>2.9850746268656722E-4</v>
          </cell>
          <cell r="CL99">
            <v>0</v>
          </cell>
          <cell r="CM99">
            <v>1.1572904707233067E-4</v>
          </cell>
          <cell r="CN99">
            <v>1.1572904707233067E-4</v>
          </cell>
          <cell r="CO99">
            <v>0</v>
          </cell>
          <cell r="CP99">
            <v>0</v>
          </cell>
          <cell r="CQ99">
            <v>2.9601157290470721</v>
          </cell>
          <cell r="CR99">
            <v>0</v>
          </cell>
          <cell r="CS99">
            <v>1</v>
          </cell>
          <cell r="CT99">
            <v>0</v>
          </cell>
          <cell r="CU99">
            <v>0</v>
          </cell>
          <cell r="CV99">
            <v>4</v>
          </cell>
          <cell r="CW99">
            <v>4</v>
          </cell>
          <cell r="CX99" t="str">
            <v/>
          </cell>
          <cell r="CY99">
            <v>2</v>
          </cell>
          <cell r="CZ99">
            <v>1</v>
          </cell>
          <cell r="DA99">
            <v>1</v>
          </cell>
          <cell r="DB99">
            <v>300</v>
          </cell>
          <cell r="DC99">
            <v>141</v>
          </cell>
          <cell r="DD99">
            <v>78</v>
          </cell>
          <cell r="DE99">
            <v>23</v>
          </cell>
          <cell r="DF99">
            <v>35</v>
          </cell>
          <cell r="DG99">
            <v>6</v>
          </cell>
          <cell r="DH99">
            <v>3</v>
          </cell>
          <cell r="DI99">
            <v>15</v>
          </cell>
        </row>
        <row r="100">
          <cell r="A100" t="str">
            <v>RS 064</v>
          </cell>
          <cell r="B100">
            <v>64</v>
          </cell>
          <cell r="C100" t="str">
            <v>C</v>
          </cell>
          <cell r="D100" t="str">
            <v>T</v>
          </cell>
          <cell r="E100" t="str">
            <v>Luwadzi River Bridge - Ngodzi River Bridge</v>
          </cell>
          <cell r="F100" t="str">
            <v>M05</v>
          </cell>
          <cell r="G100">
            <v>19</v>
          </cell>
          <cell r="H100">
            <v>15.8</v>
          </cell>
          <cell r="I100" t="str">
            <v>F</v>
          </cell>
          <cell r="J100" t="str">
            <v>SALIMA</v>
          </cell>
          <cell r="K100">
            <v>7</v>
          </cell>
          <cell r="W100">
            <v>81</v>
          </cell>
          <cell r="X100" t="str">
            <v>DS</v>
          </cell>
          <cell r="Y100">
            <v>150</v>
          </cell>
          <cell r="Z100" t="str">
            <v>SB</v>
          </cell>
          <cell r="AA100">
            <v>100</v>
          </cell>
          <cell r="AB100" t="str">
            <v>GR</v>
          </cell>
          <cell r="AC100">
            <v>8</v>
          </cell>
          <cell r="AD100" t="str">
            <v>VR</v>
          </cell>
          <cell r="AE100">
            <v>94</v>
          </cell>
          <cell r="AF100" t="str">
            <v>RC</v>
          </cell>
          <cell r="AG100" t="str">
            <v>ST</v>
          </cell>
          <cell r="AH100">
            <v>15</v>
          </cell>
          <cell r="AM100">
            <v>1</v>
          </cell>
          <cell r="BO100" t="str">
            <v>RS 064</v>
          </cell>
          <cell r="BP100">
            <v>15.8</v>
          </cell>
          <cell r="BQ100">
            <v>6.7</v>
          </cell>
          <cell r="BR100" t="str">
            <v>F</v>
          </cell>
          <cell r="BS100" t="str">
            <v>S</v>
          </cell>
          <cell r="BT100">
            <v>0</v>
          </cell>
          <cell r="BU100" t="str">
            <v>ST</v>
          </cell>
          <cell r="BV100" t="str">
            <v/>
          </cell>
          <cell r="BW100">
            <v>1</v>
          </cell>
          <cell r="BX100">
            <v>10</v>
          </cell>
          <cell r="BY100" t="str">
            <v/>
          </cell>
          <cell r="BZ100">
            <v>1</v>
          </cell>
          <cell r="CA100">
            <v>8</v>
          </cell>
          <cell r="CB100">
            <v>1.3540000000000001</v>
          </cell>
          <cell r="CC100">
            <v>3.7884175953079184</v>
          </cell>
          <cell r="CD100">
            <v>10</v>
          </cell>
          <cell r="CE100">
            <v>0</v>
          </cell>
          <cell r="CF100">
            <v>0</v>
          </cell>
          <cell r="CG100">
            <v>10</v>
          </cell>
          <cell r="CH100">
            <v>0</v>
          </cell>
          <cell r="CI100">
            <v>0</v>
          </cell>
          <cell r="CJ100">
            <v>0</v>
          </cell>
          <cell r="CK100">
            <v>0</v>
          </cell>
          <cell r="CL100">
            <v>0</v>
          </cell>
          <cell r="CM100">
            <v>0</v>
          </cell>
          <cell r="CN100">
            <v>0</v>
          </cell>
          <cell r="CO100">
            <v>0</v>
          </cell>
          <cell r="CP100">
            <v>0</v>
          </cell>
          <cell r="CQ100">
            <v>3.7884175953079184</v>
          </cell>
          <cell r="CR100">
            <v>0</v>
          </cell>
          <cell r="CS100">
            <v>1</v>
          </cell>
          <cell r="CT100">
            <v>0</v>
          </cell>
          <cell r="CU100">
            <v>0</v>
          </cell>
          <cell r="CV100">
            <v>4</v>
          </cell>
          <cell r="CW100">
            <v>4</v>
          </cell>
          <cell r="CX100" t="str">
            <v/>
          </cell>
          <cell r="CY100">
            <v>1.2</v>
          </cell>
          <cell r="CZ100">
            <v>1.2</v>
          </cell>
          <cell r="DA100">
            <v>1.1000000000000001</v>
          </cell>
          <cell r="DB100">
            <v>300</v>
          </cell>
          <cell r="DC100">
            <v>141</v>
          </cell>
          <cell r="DD100">
            <v>78</v>
          </cell>
          <cell r="DE100">
            <v>23</v>
          </cell>
          <cell r="DF100">
            <v>35</v>
          </cell>
          <cell r="DG100">
            <v>6</v>
          </cell>
          <cell r="DH100">
            <v>3</v>
          </cell>
          <cell r="DI100">
            <v>15</v>
          </cell>
        </row>
        <row r="101">
          <cell r="A101" t="str">
            <v>RS 059</v>
          </cell>
          <cell r="B101">
            <v>59</v>
          </cell>
          <cell r="C101" t="str">
            <v>C</v>
          </cell>
          <cell r="D101" t="str">
            <v>T</v>
          </cell>
          <cell r="E101" t="str">
            <v>Ngodzi River Bridge - Mtakataka</v>
          </cell>
          <cell r="F101" t="str">
            <v>M05</v>
          </cell>
          <cell r="G101">
            <v>20</v>
          </cell>
          <cell r="H101">
            <v>14.3</v>
          </cell>
          <cell r="I101" t="str">
            <v>F</v>
          </cell>
          <cell r="J101" t="str">
            <v>SALIMA</v>
          </cell>
          <cell r="K101">
            <v>7</v>
          </cell>
          <cell r="W101">
            <v>81</v>
          </cell>
          <cell r="X101" t="str">
            <v>DS</v>
          </cell>
          <cell r="Y101">
            <v>150</v>
          </cell>
          <cell r="Z101" t="str">
            <v>SB</v>
          </cell>
          <cell r="AA101">
            <v>100</v>
          </cell>
          <cell r="AB101" t="str">
            <v>GR</v>
          </cell>
          <cell r="AC101">
            <v>8</v>
          </cell>
          <cell r="AD101" t="str">
            <v>VR</v>
          </cell>
          <cell r="AE101">
            <v>94</v>
          </cell>
          <cell r="AF101" t="str">
            <v>RC</v>
          </cell>
          <cell r="AG101" t="str">
            <v>ST</v>
          </cell>
          <cell r="AH101">
            <v>15</v>
          </cell>
          <cell r="AM101">
            <v>1</v>
          </cell>
          <cell r="BO101" t="str">
            <v>RS 059</v>
          </cell>
          <cell r="BP101">
            <v>14.3</v>
          </cell>
          <cell r="BQ101">
            <v>6.7</v>
          </cell>
          <cell r="BR101" t="str">
            <v>F</v>
          </cell>
          <cell r="BS101" t="str">
            <v>S</v>
          </cell>
          <cell r="BT101">
            <v>0</v>
          </cell>
          <cell r="BU101" t="str">
            <v>ST</v>
          </cell>
          <cell r="BV101" t="str">
            <v/>
          </cell>
          <cell r="BW101">
            <v>1</v>
          </cell>
          <cell r="BX101">
            <v>10</v>
          </cell>
          <cell r="BY101" t="str">
            <v/>
          </cell>
          <cell r="BZ101">
            <v>1</v>
          </cell>
          <cell r="CA101">
            <v>8</v>
          </cell>
          <cell r="CB101">
            <v>1.3540000000000001</v>
          </cell>
          <cell r="CC101">
            <v>5.0676190390254909</v>
          </cell>
          <cell r="CD101">
            <v>10</v>
          </cell>
          <cell r="CE101">
            <v>1</v>
          </cell>
          <cell r="CF101">
            <v>0</v>
          </cell>
          <cell r="CG101">
            <v>10</v>
          </cell>
          <cell r="CH101">
            <v>1</v>
          </cell>
          <cell r="CI101">
            <v>0</v>
          </cell>
          <cell r="CJ101">
            <v>0</v>
          </cell>
          <cell r="CK101">
            <v>0</v>
          </cell>
          <cell r="CL101">
            <v>0</v>
          </cell>
          <cell r="CM101">
            <v>0</v>
          </cell>
          <cell r="CN101">
            <v>0</v>
          </cell>
          <cell r="CO101">
            <v>0</v>
          </cell>
          <cell r="CP101">
            <v>0</v>
          </cell>
          <cell r="CQ101">
            <v>5.0676190390254909</v>
          </cell>
          <cell r="CR101">
            <v>0</v>
          </cell>
          <cell r="CS101">
            <v>1</v>
          </cell>
          <cell r="CT101">
            <v>0</v>
          </cell>
          <cell r="CU101">
            <v>0</v>
          </cell>
          <cell r="CV101">
            <v>4</v>
          </cell>
          <cell r="CW101">
            <v>4</v>
          </cell>
          <cell r="CX101" t="str">
            <v/>
          </cell>
          <cell r="CY101">
            <v>1.5</v>
          </cell>
          <cell r="CZ101">
            <v>1.2</v>
          </cell>
          <cell r="DA101">
            <v>1.1000000000000001</v>
          </cell>
          <cell r="DB101">
            <v>160</v>
          </cell>
          <cell r="DC101">
            <v>76</v>
          </cell>
          <cell r="DD101">
            <v>42</v>
          </cell>
          <cell r="DE101">
            <v>12</v>
          </cell>
          <cell r="DF101">
            <v>19</v>
          </cell>
          <cell r="DG101">
            <v>4</v>
          </cell>
          <cell r="DH101">
            <v>2</v>
          </cell>
          <cell r="DI101">
            <v>8</v>
          </cell>
        </row>
        <row r="102">
          <cell r="A102" t="str">
            <v>RS 063</v>
          </cell>
          <cell r="B102">
            <v>63</v>
          </cell>
          <cell r="C102" t="str">
            <v>C</v>
          </cell>
          <cell r="D102" t="str">
            <v>T</v>
          </cell>
          <cell r="E102" t="str">
            <v>Mtakataka - Golomoti</v>
          </cell>
          <cell r="F102" t="str">
            <v>M05</v>
          </cell>
          <cell r="G102">
            <v>21</v>
          </cell>
          <cell r="H102">
            <v>25.5</v>
          </cell>
          <cell r="I102" t="str">
            <v>F</v>
          </cell>
          <cell r="J102" t="str">
            <v>DEDZA</v>
          </cell>
          <cell r="K102">
            <v>7</v>
          </cell>
          <cell r="W102">
            <v>81</v>
          </cell>
          <cell r="X102" t="str">
            <v>DS</v>
          </cell>
          <cell r="Y102">
            <v>150</v>
          </cell>
          <cell r="Z102" t="str">
            <v>SB</v>
          </cell>
          <cell r="AA102">
            <v>100</v>
          </cell>
          <cell r="AB102" t="str">
            <v>GR</v>
          </cell>
          <cell r="AC102">
            <v>8</v>
          </cell>
          <cell r="AD102" t="str">
            <v>VR</v>
          </cell>
          <cell r="AE102">
            <v>94</v>
          </cell>
          <cell r="AF102" t="str">
            <v>RC</v>
          </cell>
          <cell r="AG102" t="str">
            <v>ST</v>
          </cell>
          <cell r="AH102">
            <v>15</v>
          </cell>
          <cell r="AM102">
            <v>1</v>
          </cell>
          <cell r="BO102" t="str">
            <v>RS 063</v>
          </cell>
          <cell r="BP102">
            <v>25.5</v>
          </cell>
          <cell r="BQ102">
            <v>6.7</v>
          </cell>
          <cell r="BR102" t="str">
            <v>F</v>
          </cell>
          <cell r="BS102" t="str">
            <v>S</v>
          </cell>
          <cell r="BT102">
            <v>0</v>
          </cell>
          <cell r="BU102" t="str">
            <v>ST</v>
          </cell>
          <cell r="BV102" t="str">
            <v/>
          </cell>
          <cell r="BW102">
            <v>1</v>
          </cell>
          <cell r="BX102">
            <v>10</v>
          </cell>
          <cell r="BY102" t="str">
            <v/>
          </cell>
          <cell r="BZ102">
            <v>1</v>
          </cell>
          <cell r="CA102">
            <v>8</v>
          </cell>
          <cell r="CB102">
            <v>1.3540000000000001</v>
          </cell>
          <cell r="CC102">
            <v>4.04</v>
          </cell>
          <cell r="CD102">
            <v>1</v>
          </cell>
          <cell r="CE102">
            <v>0</v>
          </cell>
          <cell r="CF102">
            <v>0</v>
          </cell>
          <cell r="CG102">
            <v>1</v>
          </cell>
          <cell r="CH102">
            <v>0</v>
          </cell>
          <cell r="CI102">
            <v>0</v>
          </cell>
          <cell r="CJ102">
            <v>0</v>
          </cell>
          <cell r="CK102">
            <v>0</v>
          </cell>
          <cell r="CL102">
            <v>0</v>
          </cell>
          <cell r="CM102">
            <v>0</v>
          </cell>
          <cell r="CN102">
            <v>0</v>
          </cell>
          <cell r="CO102">
            <v>0</v>
          </cell>
          <cell r="CP102">
            <v>0</v>
          </cell>
          <cell r="CQ102">
            <v>4.04</v>
          </cell>
          <cell r="CR102">
            <v>0</v>
          </cell>
          <cell r="CS102">
            <v>1</v>
          </cell>
          <cell r="CT102">
            <v>0</v>
          </cell>
          <cell r="CU102">
            <v>0</v>
          </cell>
          <cell r="CV102">
            <v>4</v>
          </cell>
          <cell r="CW102">
            <v>4</v>
          </cell>
          <cell r="CX102" t="str">
            <v/>
          </cell>
          <cell r="CY102">
            <v>1.2</v>
          </cell>
          <cell r="CZ102">
            <v>1.2</v>
          </cell>
          <cell r="DA102">
            <v>1.1000000000000001</v>
          </cell>
          <cell r="DB102">
            <v>120</v>
          </cell>
          <cell r="DC102">
            <v>57</v>
          </cell>
          <cell r="DD102">
            <v>32</v>
          </cell>
          <cell r="DE102">
            <v>9</v>
          </cell>
          <cell r="DF102">
            <v>14</v>
          </cell>
          <cell r="DG102">
            <v>3</v>
          </cell>
          <cell r="DH102">
            <v>2</v>
          </cell>
          <cell r="DI102">
            <v>6</v>
          </cell>
        </row>
        <row r="103">
          <cell r="A103" t="str">
            <v>RS 055</v>
          </cell>
          <cell r="B103">
            <v>55</v>
          </cell>
          <cell r="C103" t="str">
            <v>C</v>
          </cell>
          <cell r="D103" t="str">
            <v>T</v>
          </cell>
          <cell r="E103" t="str">
            <v>Golomoti - Kasinje</v>
          </cell>
          <cell r="F103" t="str">
            <v>M05</v>
          </cell>
          <cell r="G103">
            <v>22</v>
          </cell>
          <cell r="H103">
            <v>14.4</v>
          </cell>
          <cell r="I103" t="str">
            <v>F</v>
          </cell>
          <cell r="J103" t="str">
            <v>NTCHEU</v>
          </cell>
          <cell r="K103">
            <v>8</v>
          </cell>
          <cell r="W103">
            <v>81</v>
          </cell>
          <cell r="X103" t="str">
            <v>DS</v>
          </cell>
          <cell r="Y103">
            <v>150</v>
          </cell>
          <cell r="Z103" t="str">
            <v>SB</v>
          </cell>
          <cell r="AA103">
            <v>100</v>
          </cell>
          <cell r="AB103" t="str">
            <v>GR</v>
          </cell>
          <cell r="AC103">
            <v>8</v>
          </cell>
          <cell r="AD103" t="str">
            <v>VR</v>
          </cell>
          <cell r="AE103">
            <v>94</v>
          </cell>
          <cell r="AF103" t="str">
            <v>RC</v>
          </cell>
          <cell r="AG103" t="str">
            <v>ST</v>
          </cell>
          <cell r="AH103">
            <v>15</v>
          </cell>
          <cell r="AM103">
            <v>1</v>
          </cell>
          <cell r="BO103" t="str">
            <v>RS 055</v>
          </cell>
          <cell r="BP103">
            <v>14.4</v>
          </cell>
          <cell r="BQ103">
            <v>6.7</v>
          </cell>
          <cell r="BR103" t="str">
            <v>F</v>
          </cell>
          <cell r="BS103" t="str">
            <v>S</v>
          </cell>
          <cell r="BT103">
            <v>0</v>
          </cell>
          <cell r="BU103" t="str">
            <v>ST</v>
          </cell>
          <cell r="BV103" t="str">
            <v/>
          </cell>
          <cell r="BW103">
            <v>1</v>
          </cell>
          <cell r="BX103">
            <v>10</v>
          </cell>
          <cell r="BY103" t="str">
            <v/>
          </cell>
          <cell r="BZ103">
            <v>1</v>
          </cell>
          <cell r="CA103">
            <v>8</v>
          </cell>
          <cell r="CB103">
            <v>1.3540000000000001</v>
          </cell>
          <cell r="CC103">
            <v>3.9922750281976094</v>
          </cell>
          <cell r="CD103">
            <v>5</v>
          </cell>
          <cell r="CE103">
            <v>0</v>
          </cell>
          <cell r="CF103">
            <v>0</v>
          </cell>
          <cell r="CG103">
            <v>5</v>
          </cell>
          <cell r="CH103">
            <v>0</v>
          </cell>
          <cell r="CI103">
            <v>0</v>
          </cell>
          <cell r="CJ103">
            <v>0</v>
          </cell>
          <cell r="CK103">
            <v>0</v>
          </cell>
          <cell r="CL103">
            <v>0</v>
          </cell>
          <cell r="CM103">
            <v>0</v>
          </cell>
          <cell r="CN103">
            <v>0</v>
          </cell>
          <cell r="CO103">
            <v>0</v>
          </cell>
          <cell r="CP103">
            <v>0</v>
          </cell>
          <cell r="CQ103">
            <v>3.9922750281976094</v>
          </cell>
          <cell r="CR103">
            <v>0</v>
          </cell>
          <cell r="CS103">
            <v>1</v>
          </cell>
          <cell r="CT103">
            <v>0</v>
          </cell>
          <cell r="CU103">
            <v>0</v>
          </cell>
          <cell r="CV103">
            <v>4</v>
          </cell>
          <cell r="CW103">
            <v>4</v>
          </cell>
          <cell r="CX103" t="str">
            <v/>
          </cell>
          <cell r="CY103">
            <v>1.2</v>
          </cell>
          <cell r="CZ103">
            <v>2</v>
          </cell>
          <cell r="DA103">
            <v>1.1000000000000001</v>
          </cell>
          <cell r="DB103">
            <v>100</v>
          </cell>
          <cell r="DC103">
            <v>47</v>
          </cell>
          <cell r="DD103">
            <v>26</v>
          </cell>
          <cell r="DE103">
            <v>8</v>
          </cell>
          <cell r="DF103">
            <v>12</v>
          </cell>
          <cell r="DG103">
            <v>2</v>
          </cell>
          <cell r="DH103">
            <v>1</v>
          </cell>
          <cell r="DI103">
            <v>5</v>
          </cell>
        </row>
        <row r="104">
          <cell r="A104" t="str">
            <v>RS 041</v>
          </cell>
          <cell r="B104">
            <v>41</v>
          </cell>
          <cell r="C104" t="str">
            <v>C</v>
          </cell>
          <cell r="D104" t="str">
            <v>T</v>
          </cell>
          <cell r="E104" t="str">
            <v>Kasinje - Sharpevale</v>
          </cell>
          <cell r="F104" t="str">
            <v>M05</v>
          </cell>
          <cell r="G104">
            <v>23</v>
          </cell>
          <cell r="H104">
            <v>10.5</v>
          </cell>
          <cell r="I104" t="str">
            <v>F</v>
          </cell>
          <cell r="J104" t="str">
            <v>NTCHEU</v>
          </cell>
          <cell r="K104">
            <v>8</v>
          </cell>
          <cell r="W104">
            <v>81</v>
          </cell>
          <cell r="X104" t="str">
            <v>DS</v>
          </cell>
          <cell r="Y104">
            <v>150</v>
          </cell>
          <cell r="Z104" t="str">
            <v>SB</v>
          </cell>
          <cell r="AA104">
            <v>100</v>
          </cell>
          <cell r="AB104" t="str">
            <v>GR</v>
          </cell>
          <cell r="AC104">
            <v>8</v>
          </cell>
          <cell r="AD104" t="str">
            <v>VR</v>
          </cell>
          <cell r="AE104">
            <v>94</v>
          </cell>
          <cell r="AF104" t="str">
            <v>RC</v>
          </cell>
          <cell r="AG104" t="str">
            <v>ST</v>
          </cell>
          <cell r="AH104">
            <v>15</v>
          </cell>
          <cell r="AM104">
            <v>1</v>
          </cell>
          <cell r="BO104" t="str">
            <v>RS 041</v>
          </cell>
          <cell r="BP104">
            <v>10.5</v>
          </cell>
          <cell r="BQ104">
            <v>6.7</v>
          </cell>
          <cell r="BR104" t="str">
            <v>F</v>
          </cell>
          <cell r="BS104" t="str">
            <v>S</v>
          </cell>
          <cell r="BT104">
            <v>0</v>
          </cell>
          <cell r="BU104" t="str">
            <v>ST</v>
          </cell>
          <cell r="BV104" t="str">
            <v/>
          </cell>
          <cell r="BW104">
            <v>1</v>
          </cell>
          <cell r="BX104">
            <v>10</v>
          </cell>
          <cell r="BY104" t="str">
            <v/>
          </cell>
          <cell r="BZ104">
            <v>1</v>
          </cell>
          <cell r="CA104">
            <v>8</v>
          </cell>
          <cell r="CB104">
            <v>1.3540000000000001</v>
          </cell>
          <cell r="CC104">
            <v>3.6602325187357452</v>
          </cell>
          <cell r="CD104">
            <v>1</v>
          </cell>
          <cell r="CE104">
            <v>0</v>
          </cell>
          <cell r="CF104">
            <v>0</v>
          </cell>
          <cell r="CG104">
            <v>1</v>
          </cell>
          <cell r="CH104">
            <v>0</v>
          </cell>
          <cell r="CI104">
            <v>0.1</v>
          </cell>
          <cell r="CJ104">
            <v>2.9850746268656722E-4</v>
          </cell>
          <cell r="CK104">
            <v>2.9850746268656722E-4</v>
          </cell>
          <cell r="CL104">
            <v>0</v>
          </cell>
          <cell r="CM104">
            <v>1.1572904707233067E-4</v>
          </cell>
          <cell r="CN104">
            <v>1.1572904707233067E-4</v>
          </cell>
          <cell r="CO104">
            <v>0</v>
          </cell>
          <cell r="CP104">
            <v>0</v>
          </cell>
          <cell r="CQ104">
            <v>3.6603482477828173</v>
          </cell>
          <cell r="CR104">
            <v>0</v>
          </cell>
          <cell r="CS104">
            <v>1</v>
          </cell>
          <cell r="CT104">
            <v>0</v>
          </cell>
          <cell r="CU104">
            <v>0</v>
          </cell>
          <cell r="CV104">
            <v>4</v>
          </cell>
          <cell r="CW104">
            <v>4</v>
          </cell>
          <cell r="CX104" t="str">
            <v/>
          </cell>
          <cell r="CY104">
            <v>1.2</v>
          </cell>
          <cell r="CZ104">
            <v>1.1000000000000001</v>
          </cell>
          <cell r="DA104">
            <v>1.2</v>
          </cell>
          <cell r="DB104">
            <v>110</v>
          </cell>
          <cell r="DC104">
            <v>52</v>
          </cell>
          <cell r="DD104">
            <v>29</v>
          </cell>
          <cell r="DE104">
            <v>9</v>
          </cell>
          <cell r="DF104">
            <v>13</v>
          </cell>
          <cell r="DG104">
            <v>3</v>
          </cell>
          <cell r="DH104">
            <v>2</v>
          </cell>
          <cell r="DI104">
            <v>6</v>
          </cell>
        </row>
        <row r="105">
          <cell r="A105" t="str">
            <v>RS 046</v>
          </cell>
          <cell r="B105">
            <v>46</v>
          </cell>
          <cell r="C105" t="str">
            <v>C</v>
          </cell>
          <cell r="D105" t="str">
            <v>T</v>
          </cell>
          <cell r="E105" t="str">
            <v>Sharpevale - Bilila</v>
          </cell>
          <cell r="F105" t="str">
            <v>M05</v>
          </cell>
          <cell r="G105">
            <v>24</v>
          </cell>
          <cell r="H105">
            <v>28.3</v>
          </cell>
          <cell r="I105" t="str">
            <v>R</v>
          </cell>
          <cell r="J105" t="str">
            <v>NTCHEU</v>
          </cell>
          <cell r="K105">
            <v>8</v>
          </cell>
          <cell r="W105">
            <v>81</v>
          </cell>
          <cell r="X105" t="str">
            <v>DS</v>
          </cell>
          <cell r="Y105">
            <v>150</v>
          </cell>
          <cell r="Z105" t="str">
            <v>SB</v>
          </cell>
          <cell r="AA105">
            <v>100</v>
          </cell>
          <cell r="AB105" t="str">
            <v>GR</v>
          </cell>
          <cell r="AC105">
            <v>8</v>
          </cell>
          <cell r="AD105" t="str">
            <v>VR</v>
          </cell>
          <cell r="AE105">
            <v>94</v>
          </cell>
          <cell r="AF105" t="str">
            <v>RC</v>
          </cell>
          <cell r="AG105" t="str">
            <v>ST</v>
          </cell>
          <cell r="AH105">
            <v>15</v>
          </cell>
          <cell r="AM105">
            <v>1</v>
          </cell>
          <cell r="BO105" t="str">
            <v>RS 046</v>
          </cell>
          <cell r="BP105">
            <v>28.3</v>
          </cell>
          <cell r="BQ105">
            <v>6.7</v>
          </cell>
          <cell r="BR105" t="str">
            <v>R</v>
          </cell>
          <cell r="BS105" t="str">
            <v>S</v>
          </cell>
          <cell r="BT105">
            <v>0</v>
          </cell>
          <cell r="BU105" t="str">
            <v>ST</v>
          </cell>
          <cell r="BV105" t="str">
            <v/>
          </cell>
          <cell r="BW105">
            <v>1</v>
          </cell>
          <cell r="BX105">
            <v>10</v>
          </cell>
          <cell r="BY105" t="str">
            <v/>
          </cell>
          <cell r="BZ105">
            <v>1</v>
          </cell>
          <cell r="CA105">
            <v>8</v>
          </cell>
          <cell r="CB105">
            <v>1.3540000000000001</v>
          </cell>
          <cell r="CC105">
            <v>3.6</v>
          </cell>
          <cell r="CD105">
            <v>1</v>
          </cell>
          <cell r="CE105">
            <v>0</v>
          </cell>
          <cell r="CF105">
            <v>0</v>
          </cell>
          <cell r="CG105">
            <v>1</v>
          </cell>
          <cell r="CH105">
            <v>0</v>
          </cell>
          <cell r="CI105">
            <v>0</v>
          </cell>
          <cell r="CJ105">
            <v>0</v>
          </cell>
          <cell r="CK105">
            <v>0</v>
          </cell>
          <cell r="CL105">
            <v>0</v>
          </cell>
          <cell r="CM105">
            <v>0</v>
          </cell>
          <cell r="CN105">
            <v>0</v>
          </cell>
          <cell r="CO105">
            <v>0</v>
          </cell>
          <cell r="CP105">
            <v>0</v>
          </cell>
          <cell r="CQ105">
            <v>3.6</v>
          </cell>
          <cell r="CR105">
            <v>0</v>
          </cell>
          <cell r="CS105">
            <v>1</v>
          </cell>
          <cell r="CT105">
            <v>0</v>
          </cell>
          <cell r="CU105">
            <v>0</v>
          </cell>
          <cell r="CV105">
            <v>4</v>
          </cell>
          <cell r="CW105">
            <v>4</v>
          </cell>
          <cell r="CX105" t="str">
            <v/>
          </cell>
          <cell r="CY105">
            <v>1.2</v>
          </cell>
          <cell r="CZ105">
            <v>1.2</v>
          </cell>
          <cell r="DA105">
            <v>1.2</v>
          </cell>
          <cell r="DB105">
            <v>110</v>
          </cell>
          <cell r="DC105">
            <v>52</v>
          </cell>
          <cell r="DD105">
            <v>29</v>
          </cell>
          <cell r="DE105">
            <v>9</v>
          </cell>
          <cell r="DF105">
            <v>13</v>
          </cell>
          <cell r="DG105">
            <v>3</v>
          </cell>
          <cell r="DH105">
            <v>2</v>
          </cell>
          <cell r="DI105">
            <v>6</v>
          </cell>
        </row>
        <row r="106">
          <cell r="A106" t="str">
            <v>RS 065</v>
          </cell>
          <cell r="B106">
            <v>65</v>
          </cell>
          <cell r="C106" t="str">
            <v>C</v>
          </cell>
          <cell r="D106" t="str">
            <v>T</v>
          </cell>
          <cell r="E106" t="str">
            <v>Bilila - Linengwe River</v>
          </cell>
          <cell r="F106" t="str">
            <v>M05</v>
          </cell>
          <cell r="G106">
            <v>25</v>
          </cell>
          <cell r="H106">
            <v>5.2</v>
          </cell>
          <cell r="I106" t="str">
            <v>F</v>
          </cell>
          <cell r="J106" t="str">
            <v>NTCHEU</v>
          </cell>
          <cell r="K106">
            <v>8</v>
          </cell>
          <cell r="W106">
            <v>81</v>
          </cell>
          <cell r="X106" t="str">
            <v>DS</v>
          </cell>
          <cell r="Y106">
            <v>150</v>
          </cell>
          <cell r="Z106" t="str">
            <v>SB</v>
          </cell>
          <cell r="AA106">
            <v>100</v>
          </cell>
          <cell r="AB106" t="str">
            <v>GR</v>
          </cell>
          <cell r="AC106">
            <v>8</v>
          </cell>
          <cell r="AD106" t="str">
            <v>VR</v>
          </cell>
          <cell r="AE106">
            <v>94</v>
          </cell>
          <cell r="AF106" t="str">
            <v>RC</v>
          </cell>
          <cell r="AG106" t="str">
            <v>ST</v>
          </cell>
          <cell r="AH106">
            <v>15</v>
          </cell>
          <cell r="AM106">
            <v>1</v>
          </cell>
          <cell r="BO106" t="str">
            <v>RS 065</v>
          </cell>
          <cell r="BP106">
            <v>5.2</v>
          </cell>
          <cell r="BQ106">
            <v>6.7</v>
          </cell>
          <cell r="BR106" t="str">
            <v>F</v>
          </cell>
          <cell r="BS106" t="str">
            <v>S</v>
          </cell>
          <cell r="BT106">
            <v>0</v>
          </cell>
          <cell r="BU106" t="str">
            <v>ST</v>
          </cell>
          <cell r="BV106" t="str">
            <v/>
          </cell>
          <cell r="BW106">
            <v>1</v>
          </cell>
          <cell r="BX106">
            <v>10</v>
          </cell>
          <cell r="BY106" t="str">
            <v/>
          </cell>
          <cell r="BZ106">
            <v>1</v>
          </cell>
          <cell r="CA106">
            <v>8</v>
          </cell>
          <cell r="CB106">
            <v>1.3540000000000001</v>
          </cell>
          <cell r="CC106">
            <v>3.6077724340175958</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3.6077724340175958</v>
          </cell>
          <cell r="CR106">
            <v>0</v>
          </cell>
          <cell r="CS106">
            <v>1</v>
          </cell>
          <cell r="CT106">
            <v>0</v>
          </cell>
          <cell r="CU106">
            <v>0</v>
          </cell>
          <cell r="CV106">
            <v>4</v>
          </cell>
          <cell r="CW106">
            <v>4</v>
          </cell>
          <cell r="CX106" t="str">
            <v/>
          </cell>
          <cell r="CY106">
            <v>1.2</v>
          </cell>
          <cell r="CZ106">
            <v>1.2</v>
          </cell>
          <cell r="DA106">
            <v>1.2</v>
          </cell>
          <cell r="DB106">
            <v>120</v>
          </cell>
          <cell r="DC106">
            <v>57</v>
          </cell>
          <cell r="DD106">
            <v>32</v>
          </cell>
          <cell r="DE106">
            <v>9</v>
          </cell>
          <cell r="DF106">
            <v>14</v>
          </cell>
          <cell r="DG106">
            <v>3</v>
          </cell>
          <cell r="DH106">
            <v>2</v>
          </cell>
          <cell r="DI106">
            <v>6</v>
          </cell>
        </row>
        <row r="107">
          <cell r="A107" t="str">
            <v>RS 056</v>
          </cell>
          <cell r="B107">
            <v>56</v>
          </cell>
          <cell r="C107" t="str">
            <v>C</v>
          </cell>
          <cell r="D107" t="str">
            <v>T</v>
          </cell>
          <cell r="E107" t="str">
            <v>Linengwe River - Balaka Market (junction M1)</v>
          </cell>
          <cell r="F107" t="str">
            <v>M05</v>
          </cell>
          <cell r="G107">
            <v>26</v>
          </cell>
          <cell r="H107">
            <v>7.4</v>
          </cell>
          <cell r="I107" t="str">
            <v>F</v>
          </cell>
          <cell r="J107" t="str">
            <v>NTCHEU</v>
          </cell>
          <cell r="K107">
            <v>8</v>
          </cell>
          <cell r="W107">
            <v>81</v>
          </cell>
          <cell r="X107" t="str">
            <v>DS</v>
          </cell>
          <cell r="Y107">
            <v>150</v>
          </cell>
          <cell r="Z107" t="str">
            <v>SB</v>
          </cell>
          <cell r="AA107">
            <v>100</v>
          </cell>
          <cell r="AB107" t="str">
            <v>GR</v>
          </cell>
          <cell r="AC107">
            <v>8</v>
          </cell>
          <cell r="AD107" t="str">
            <v>VR</v>
          </cell>
          <cell r="AE107">
            <v>94</v>
          </cell>
          <cell r="AF107" t="str">
            <v>RC</v>
          </cell>
          <cell r="AG107" t="str">
            <v>ST</v>
          </cell>
          <cell r="AH107">
            <v>15</v>
          </cell>
          <cell r="AM107">
            <v>1</v>
          </cell>
          <cell r="BO107" t="str">
            <v>RS 056</v>
          </cell>
          <cell r="BP107">
            <v>7.4</v>
          </cell>
          <cell r="BQ107">
            <v>6.7</v>
          </cell>
          <cell r="BR107" t="str">
            <v>F</v>
          </cell>
          <cell r="BS107" t="str">
            <v>S</v>
          </cell>
          <cell r="BT107">
            <v>0</v>
          </cell>
          <cell r="BU107" t="str">
            <v>ST</v>
          </cell>
          <cell r="BV107" t="str">
            <v/>
          </cell>
          <cell r="BW107">
            <v>1</v>
          </cell>
          <cell r="BX107">
            <v>10</v>
          </cell>
          <cell r="BY107" t="str">
            <v/>
          </cell>
          <cell r="BZ107">
            <v>1</v>
          </cell>
          <cell r="CA107">
            <v>8</v>
          </cell>
          <cell r="CB107">
            <v>1.3540000000000001</v>
          </cell>
          <cell r="CC107">
            <v>4.129522189638319</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4.129522189638319</v>
          </cell>
          <cell r="CR107">
            <v>0</v>
          </cell>
          <cell r="CS107">
            <v>1</v>
          </cell>
          <cell r="CT107">
            <v>0</v>
          </cell>
          <cell r="CU107">
            <v>0</v>
          </cell>
          <cell r="CV107">
            <v>4</v>
          </cell>
          <cell r="CW107">
            <v>4</v>
          </cell>
          <cell r="CX107" t="str">
            <v/>
          </cell>
          <cell r="CY107">
            <v>1.2</v>
          </cell>
          <cell r="CZ107">
            <v>1.2</v>
          </cell>
          <cell r="DA107">
            <v>1.2</v>
          </cell>
          <cell r="DB107">
            <v>120</v>
          </cell>
          <cell r="DC107">
            <v>57</v>
          </cell>
          <cell r="DD107">
            <v>32</v>
          </cell>
          <cell r="DE107">
            <v>9</v>
          </cell>
          <cell r="DF107">
            <v>14</v>
          </cell>
          <cell r="DG107">
            <v>3</v>
          </cell>
          <cell r="DH107">
            <v>2</v>
          </cell>
          <cell r="DI107">
            <v>6</v>
          </cell>
        </row>
        <row r="108">
          <cell r="A108" t="str">
            <v>RS 135</v>
          </cell>
          <cell r="B108">
            <v>135</v>
          </cell>
          <cell r="C108" t="str">
            <v>S</v>
          </cell>
          <cell r="D108" t="str">
            <v>T</v>
          </cell>
          <cell r="E108" t="str">
            <v>Zobwe - Mwanza</v>
          </cell>
          <cell r="F108" t="str">
            <v>M06</v>
          </cell>
          <cell r="G108">
            <v>1</v>
          </cell>
          <cell r="H108">
            <v>11.1</v>
          </cell>
          <cell r="I108" t="str">
            <v>H</v>
          </cell>
          <cell r="J108" t="str">
            <v>MWANZA</v>
          </cell>
          <cell r="K108">
            <v>9</v>
          </cell>
          <cell r="W108">
            <v>87</v>
          </cell>
          <cell r="X108" t="str">
            <v>DS</v>
          </cell>
          <cell r="Y108">
            <v>200</v>
          </cell>
          <cell r="Z108" t="str">
            <v>SB</v>
          </cell>
          <cell r="AA108">
            <v>150</v>
          </cell>
          <cell r="AB108" t="str">
            <v>SB</v>
          </cell>
          <cell r="AC108">
            <v>17</v>
          </cell>
          <cell r="AD108" t="str">
            <v>VR</v>
          </cell>
          <cell r="AM108">
            <v>1</v>
          </cell>
          <cell r="AN108" t="str">
            <v>never resealed</v>
          </cell>
          <cell r="BO108" t="str">
            <v>RS 135</v>
          </cell>
          <cell r="BP108">
            <v>11.1</v>
          </cell>
          <cell r="BQ108">
            <v>6</v>
          </cell>
          <cell r="BR108" t="str">
            <v>H</v>
          </cell>
          <cell r="BS108" t="str">
            <v>C</v>
          </cell>
          <cell r="BT108">
            <v>0</v>
          </cell>
          <cell r="BU108" t="str">
            <v>DS</v>
          </cell>
          <cell r="BV108" t="str">
            <v/>
          </cell>
          <cell r="BW108">
            <v>1</v>
          </cell>
          <cell r="BX108">
            <v>15</v>
          </cell>
          <cell r="BY108" t="str">
            <v/>
          </cell>
          <cell r="BZ108">
            <v>1</v>
          </cell>
          <cell r="CA108">
            <v>17</v>
          </cell>
          <cell r="CB108">
            <v>1.677</v>
          </cell>
          <cell r="CC108">
            <v>3.3421592375366567</v>
          </cell>
          <cell r="CD108">
            <v>70</v>
          </cell>
          <cell r="CE108">
            <v>35</v>
          </cell>
          <cell r="CF108">
            <v>20</v>
          </cell>
          <cell r="CG108">
            <v>50</v>
          </cell>
          <cell r="CH108">
            <v>15</v>
          </cell>
          <cell r="CI108">
            <v>4.2</v>
          </cell>
          <cell r="CJ108">
            <v>1.4000000000000002E-2</v>
          </cell>
          <cell r="CK108">
            <v>10</v>
          </cell>
          <cell r="CL108">
            <v>20</v>
          </cell>
          <cell r="CM108">
            <v>0.2375953846153846</v>
          </cell>
          <cell r="CN108">
            <v>0.2375953846153846</v>
          </cell>
          <cell r="CO108">
            <v>0</v>
          </cell>
          <cell r="CP108">
            <v>0</v>
          </cell>
          <cell r="CQ108">
            <v>3.5797546221520413</v>
          </cell>
          <cell r="CR108">
            <v>10</v>
          </cell>
          <cell r="CS108">
            <v>1</v>
          </cell>
          <cell r="CT108">
            <v>0</v>
          </cell>
          <cell r="CU108">
            <v>0</v>
          </cell>
          <cell r="CV108">
            <v>11</v>
          </cell>
          <cell r="CW108">
            <v>11</v>
          </cell>
          <cell r="CX108" t="str">
            <v/>
          </cell>
          <cell r="CY108">
            <v>2</v>
          </cell>
          <cell r="CZ108">
            <v>2.5</v>
          </cell>
          <cell r="DA108">
            <v>1.1000000000000001</v>
          </cell>
          <cell r="DB108">
            <v>200</v>
          </cell>
          <cell r="DC108">
            <v>94</v>
          </cell>
          <cell r="DD108">
            <v>52</v>
          </cell>
          <cell r="DE108">
            <v>15</v>
          </cell>
          <cell r="DF108">
            <v>23</v>
          </cell>
          <cell r="DG108">
            <v>4</v>
          </cell>
          <cell r="DH108">
            <v>2</v>
          </cell>
          <cell r="DI108">
            <v>10</v>
          </cell>
        </row>
        <row r="109">
          <cell r="A109" t="str">
            <v>RS 134</v>
          </cell>
          <cell r="B109">
            <v>134</v>
          </cell>
          <cell r="C109" t="str">
            <v>S</v>
          </cell>
          <cell r="D109" t="str">
            <v>T</v>
          </cell>
          <cell r="E109" t="str">
            <v>Mwanza - Moffati</v>
          </cell>
          <cell r="F109" t="str">
            <v>M06</v>
          </cell>
          <cell r="G109">
            <v>2</v>
          </cell>
          <cell r="H109">
            <v>6</v>
          </cell>
          <cell r="I109" t="str">
            <v>H</v>
          </cell>
          <cell r="J109" t="str">
            <v>MWANZA</v>
          </cell>
          <cell r="K109">
            <v>9</v>
          </cell>
          <cell r="W109">
            <v>87</v>
          </cell>
          <cell r="X109" t="str">
            <v>DS</v>
          </cell>
          <cell r="Y109">
            <v>200</v>
          </cell>
          <cell r="Z109" t="str">
            <v>SB</v>
          </cell>
          <cell r="AA109">
            <v>150</v>
          </cell>
          <cell r="AB109" t="str">
            <v>SB</v>
          </cell>
          <cell r="AC109">
            <v>17</v>
          </cell>
          <cell r="AD109" t="str">
            <v>VR</v>
          </cell>
          <cell r="AM109">
            <v>1</v>
          </cell>
          <cell r="AN109" t="str">
            <v>never resealed</v>
          </cell>
          <cell r="BO109" t="str">
            <v>RS 134</v>
          </cell>
          <cell r="BP109">
            <v>6</v>
          </cell>
          <cell r="BQ109">
            <v>6</v>
          </cell>
          <cell r="BR109" t="str">
            <v>H</v>
          </cell>
          <cell r="BS109" t="str">
            <v>C</v>
          </cell>
          <cell r="BT109">
            <v>0</v>
          </cell>
          <cell r="BU109" t="str">
            <v>DS</v>
          </cell>
          <cell r="BV109" t="str">
            <v/>
          </cell>
          <cell r="BW109">
            <v>1</v>
          </cell>
          <cell r="BX109">
            <v>15</v>
          </cell>
          <cell r="BY109" t="str">
            <v/>
          </cell>
          <cell r="BZ109">
            <v>1</v>
          </cell>
          <cell r="CA109">
            <v>17</v>
          </cell>
          <cell r="CB109">
            <v>1.677</v>
          </cell>
          <cell r="CC109">
            <v>3.1339210166177911</v>
          </cell>
          <cell r="CD109">
            <v>0</v>
          </cell>
          <cell r="CE109">
            <v>0</v>
          </cell>
          <cell r="CF109">
            <v>0</v>
          </cell>
          <cell r="CG109">
            <v>0</v>
          </cell>
          <cell r="CH109">
            <v>0</v>
          </cell>
          <cell r="CI109">
            <v>0.5</v>
          </cell>
          <cell r="CJ109">
            <v>1.6666666666666668E-3</v>
          </cell>
          <cell r="CK109">
            <v>1.6666666666666668E-3</v>
          </cell>
          <cell r="CL109">
            <v>0</v>
          </cell>
          <cell r="CM109">
            <v>6.4615384615384621E-4</v>
          </cell>
          <cell r="CN109">
            <v>6.4615384615384621E-4</v>
          </cell>
          <cell r="CO109">
            <v>0</v>
          </cell>
          <cell r="CP109">
            <v>0</v>
          </cell>
          <cell r="CQ109">
            <v>3.1345671704639448</v>
          </cell>
          <cell r="CR109">
            <v>0</v>
          </cell>
          <cell r="CS109">
            <v>1</v>
          </cell>
          <cell r="CT109">
            <v>0</v>
          </cell>
          <cell r="CU109">
            <v>0</v>
          </cell>
          <cell r="CV109">
            <v>11</v>
          </cell>
          <cell r="CW109">
            <v>11</v>
          </cell>
          <cell r="CX109" t="str">
            <v/>
          </cell>
          <cell r="CY109">
            <v>1.2</v>
          </cell>
          <cell r="CZ109">
            <v>1.5</v>
          </cell>
          <cell r="DA109">
            <v>1.1000000000000001</v>
          </cell>
          <cell r="DB109">
            <v>200</v>
          </cell>
          <cell r="DC109">
            <v>94</v>
          </cell>
          <cell r="DD109">
            <v>52</v>
          </cell>
          <cell r="DE109">
            <v>15</v>
          </cell>
          <cell r="DF109">
            <v>23</v>
          </cell>
          <cell r="DG109">
            <v>4</v>
          </cell>
          <cell r="DH109">
            <v>2</v>
          </cell>
          <cell r="DI109">
            <v>10</v>
          </cell>
        </row>
        <row r="110">
          <cell r="A110" t="str">
            <v>RS 133</v>
          </cell>
          <cell r="B110">
            <v>133</v>
          </cell>
          <cell r="C110" t="str">
            <v>S</v>
          </cell>
          <cell r="D110" t="str">
            <v>T</v>
          </cell>
          <cell r="E110" t="str">
            <v>Moffati - Zaka</v>
          </cell>
          <cell r="F110" t="str">
            <v>M06</v>
          </cell>
          <cell r="G110">
            <v>3</v>
          </cell>
          <cell r="H110">
            <v>9.3000000000000007</v>
          </cell>
          <cell r="I110" t="str">
            <v>R</v>
          </cell>
          <cell r="J110" t="str">
            <v>MWANZA</v>
          </cell>
          <cell r="K110">
            <v>9</v>
          </cell>
          <cell r="W110">
            <v>87</v>
          </cell>
          <cell r="X110" t="str">
            <v>DS</v>
          </cell>
          <cell r="Y110">
            <v>200</v>
          </cell>
          <cell r="Z110" t="str">
            <v>SB</v>
          </cell>
          <cell r="AA110">
            <v>150</v>
          </cell>
          <cell r="AB110" t="str">
            <v>SB</v>
          </cell>
          <cell r="AC110">
            <v>17</v>
          </cell>
          <cell r="AD110" t="str">
            <v>VR</v>
          </cell>
          <cell r="AM110">
            <v>1</v>
          </cell>
          <cell r="AN110" t="str">
            <v>never resealed</v>
          </cell>
          <cell r="BO110" t="str">
            <v>RS 133</v>
          </cell>
          <cell r="BP110">
            <v>9.3000000000000007</v>
          </cell>
          <cell r="BQ110">
            <v>6</v>
          </cell>
          <cell r="BR110" t="str">
            <v>R</v>
          </cell>
          <cell r="BS110" t="str">
            <v>C</v>
          </cell>
          <cell r="BT110">
            <v>0</v>
          </cell>
          <cell r="BU110" t="str">
            <v>DS</v>
          </cell>
          <cell r="BV110" t="str">
            <v/>
          </cell>
          <cell r="BW110">
            <v>1</v>
          </cell>
          <cell r="BX110">
            <v>15</v>
          </cell>
          <cell r="BY110" t="str">
            <v/>
          </cell>
          <cell r="BZ110">
            <v>1</v>
          </cell>
          <cell r="CA110">
            <v>17</v>
          </cell>
          <cell r="CB110">
            <v>1.677</v>
          </cell>
          <cell r="CC110">
            <v>3.3008809384164226</v>
          </cell>
          <cell r="CD110">
            <v>1</v>
          </cell>
          <cell r="CE110">
            <v>0</v>
          </cell>
          <cell r="CF110">
            <v>0</v>
          </cell>
          <cell r="CG110">
            <v>1</v>
          </cell>
          <cell r="CH110">
            <v>0</v>
          </cell>
          <cell r="CI110">
            <v>0.2</v>
          </cell>
          <cell r="CJ110">
            <v>6.6666666666666686E-4</v>
          </cell>
          <cell r="CK110">
            <v>6.6666666666666686E-4</v>
          </cell>
          <cell r="CL110">
            <v>0</v>
          </cell>
          <cell r="CM110">
            <v>2.5846153846153852E-4</v>
          </cell>
          <cell r="CN110">
            <v>2.5846153846153852E-4</v>
          </cell>
          <cell r="CO110">
            <v>0</v>
          </cell>
          <cell r="CP110">
            <v>0</v>
          </cell>
          <cell r="CQ110">
            <v>3.3011393999548839</v>
          </cell>
          <cell r="CR110">
            <v>1</v>
          </cell>
          <cell r="CS110">
            <v>1</v>
          </cell>
          <cell r="CT110">
            <v>0</v>
          </cell>
          <cell r="CU110">
            <v>0</v>
          </cell>
          <cell r="CV110">
            <v>11</v>
          </cell>
          <cell r="CW110">
            <v>11</v>
          </cell>
          <cell r="CX110" t="str">
            <v/>
          </cell>
          <cell r="CY110">
            <v>1.2</v>
          </cell>
          <cell r="CZ110">
            <v>1.2</v>
          </cell>
          <cell r="DA110">
            <v>1.3</v>
          </cell>
          <cell r="DB110">
            <v>400</v>
          </cell>
          <cell r="DC110">
            <v>188</v>
          </cell>
          <cell r="DD110">
            <v>104</v>
          </cell>
          <cell r="DE110">
            <v>30</v>
          </cell>
          <cell r="DF110">
            <v>46</v>
          </cell>
          <cell r="DG110">
            <v>8</v>
          </cell>
          <cell r="DH110">
            <v>4</v>
          </cell>
          <cell r="DI110">
            <v>20</v>
          </cell>
        </row>
        <row r="111">
          <cell r="A111" t="str">
            <v>RS 136</v>
          </cell>
          <cell r="B111">
            <v>136</v>
          </cell>
          <cell r="C111" t="str">
            <v>S</v>
          </cell>
          <cell r="D111" t="str">
            <v>T</v>
          </cell>
          <cell r="E111" t="str">
            <v>Zaka - Lisungwi River</v>
          </cell>
          <cell r="F111" t="str">
            <v>M06</v>
          </cell>
          <cell r="G111">
            <v>4</v>
          </cell>
          <cell r="H111">
            <v>13.2</v>
          </cell>
          <cell r="I111" t="str">
            <v>R</v>
          </cell>
          <cell r="J111" t="str">
            <v>MWANZA</v>
          </cell>
          <cell r="K111">
            <v>9</v>
          </cell>
          <cell r="W111">
            <v>87</v>
          </cell>
          <cell r="X111" t="str">
            <v>DS</v>
          </cell>
          <cell r="Y111">
            <v>200</v>
          </cell>
          <cell r="Z111" t="str">
            <v>SB</v>
          </cell>
          <cell r="AA111">
            <v>150</v>
          </cell>
          <cell r="AB111" t="str">
            <v>SB</v>
          </cell>
          <cell r="AC111">
            <v>17</v>
          </cell>
          <cell r="AD111" t="str">
            <v>VR</v>
          </cell>
          <cell r="AM111">
            <v>1</v>
          </cell>
          <cell r="AN111" t="str">
            <v>never resealed</v>
          </cell>
          <cell r="BO111" t="str">
            <v>RS 136</v>
          </cell>
          <cell r="BP111">
            <v>13.2</v>
          </cell>
          <cell r="BQ111">
            <v>6</v>
          </cell>
          <cell r="BR111" t="str">
            <v>R</v>
          </cell>
          <cell r="BS111" t="str">
            <v>C</v>
          </cell>
          <cell r="BT111">
            <v>0</v>
          </cell>
          <cell r="BU111" t="str">
            <v>DS</v>
          </cell>
          <cell r="BV111" t="str">
            <v/>
          </cell>
          <cell r="BW111">
            <v>1</v>
          </cell>
          <cell r="BX111">
            <v>15</v>
          </cell>
          <cell r="BY111" t="str">
            <v/>
          </cell>
          <cell r="BZ111">
            <v>1</v>
          </cell>
          <cell r="CA111">
            <v>17</v>
          </cell>
          <cell r="CB111">
            <v>1.677</v>
          </cell>
          <cell r="CC111">
            <v>3.1440294321514268</v>
          </cell>
          <cell r="CD111">
            <v>0</v>
          </cell>
          <cell r="CE111">
            <v>0</v>
          </cell>
          <cell r="CF111">
            <v>0</v>
          </cell>
          <cell r="CG111">
            <v>0</v>
          </cell>
          <cell r="CH111">
            <v>0</v>
          </cell>
          <cell r="CI111">
            <v>0.3</v>
          </cell>
          <cell r="CJ111">
            <v>1E-3</v>
          </cell>
          <cell r="CK111">
            <v>1E-3</v>
          </cell>
          <cell r="CL111">
            <v>0</v>
          </cell>
          <cell r="CM111">
            <v>3.876923076923077E-4</v>
          </cell>
          <cell r="CN111">
            <v>3.876923076923077E-4</v>
          </cell>
          <cell r="CO111">
            <v>0</v>
          </cell>
          <cell r="CP111">
            <v>0</v>
          </cell>
          <cell r="CQ111">
            <v>3.1444171244591193</v>
          </cell>
          <cell r="CR111">
            <v>0</v>
          </cell>
          <cell r="CS111">
            <v>1</v>
          </cell>
          <cell r="CT111">
            <v>0</v>
          </cell>
          <cell r="CU111">
            <v>0</v>
          </cell>
          <cell r="CV111">
            <v>11</v>
          </cell>
          <cell r="CW111">
            <v>11</v>
          </cell>
          <cell r="CX111" t="str">
            <v/>
          </cell>
          <cell r="CY111">
            <v>1.2</v>
          </cell>
          <cell r="CZ111">
            <v>1.2</v>
          </cell>
          <cell r="DA111">
            <v>1.2</v>
          </cell>
          <cell r="DB111">
            <v>400</v>
          </cell>
          <cell r="DC111">
            <v>188</v>
          </cell>
          <cell r="DD111">
            <v>104</v>
          </cell>
          <cell r="DE111">
            <v>30</v>
          </cell>
          <cell r="DF111">
            <v>46</v>
          </cell>
          <cell r="DG111">
            <v>8</v>
          </cell>
          <cell r="DH111">
            <v>4</v>
          </cell>
          <cell r="DI111">
            <v>20</v>
          </cell>
        </row>
        <row r="112">
          <cell r="A112" t="str">
            <v>RS 132</v>
          </cell>
          <cell r="B112">
            <v>132</v>
          </cell>
          <cell r="C112" t="str">
            <v>S</v>
          </cell>
          <cell r="D112" t="str">
            <v>T</v>
          </cell>
          <cell r="E112" t="str">
            <v>Ndeka - Nachimbeya Rapids</v>
          </cell>
          <cell r="F112" t="str">
            <v>M06</v>
          </cell>
          <cell r="G112">
            <v>5</v>
          </cell>
          <cell r="H112">
            <v>9.1999999999999993</v>
          </cell>
          <cell r="I112" t="str">
            <v>F</v>
          </cell>
          <cell r="J112" t="str">
            <v>BLANTYRE</v>
          </cell>
          <cell r="K112">
            <v>9</v>
          </cell>
          <cell r="W112">
            <v>89</v>
          </cell>
          <cell r="X112" t="str">
            <v>DS</v>
          </cell>
          <cell r="Y112">
            <v>150</v>
          </cell>
          <cell r="Z112" t="str">
            <v>SB</v>
          </cell>
          <cell r="AA112">
            <v>100</v>
          </cell>
          <cell r="AB112" t="str">
            <v>GR</v>
          </cell>
          <cell r="AC112">
            <v>12</v>
          </cell>
          <cell r="AD112" t="str">
            <v>VR</v>
          </cell>
          <cell r="AM112">
            <v>1</v>
          </cell>
          <cell r="AN112" t="str">
            <v>never resealed</v>
          </cell>
          <cell r="BO112" t="str">
            <v>RS 132</v>
          </cell>
          <cell r="BP112">
            <v>9.1999999999999993</v>
          </cell>
          <cell r="BQ112">
            <v>6</v>
          </cell>
          <cell r="BR112" t="str">
            <v>F</v>
          </cell>
          <cell r="BS112" t="str">
            <v>C</v>
          </cell>
          <cell r="BT112">
            <v>0</v>
          </cell>
          <cell r="BU112" t="str">
            <v>DS</v>
          </cell>
          <cell r="BV112" t="str">
            <v/>
          </cell>
          <cell r="BW112">
            <v>1</v>
          </cell>
          <cell r="BX112">
            <v>15</v>
          </cell>
          <cell r="BY112" t="str">
            <v/>
          </cell>
          <cell r="BZ112">
            <v>1</v>
          </cell>
          <cell r="CA112">
            <v>12</v>
          </cell>
          <cell r="CB112">
            <v>1.177</v>
          </cell>
          <cell r="CC112">
            <v>3.385588545799552</v>
          </cell>
          <cell r="CD112">
            <v>0</v>
          </cell>
          <cell r="CE112">
            <v>0</v>
          </cell>
          <cell r="CF112">
            <v>0</v>
          </cell>
          <cell r="CG112">
            <v>0</v>
          </cell>
          <cell r="CH112">
            <v>0</v>
          </cell>
          <cell r="CI112">
            <v>0.2</v>
          </cell>
          <cell r="CJ112">
            <v>6.6666666666666686E-4</v>
          </cell>
          <cell r="CK112">
            <v>6.6666666666666686E-4</v>
          </cell>
          <cell r="CL112">
            <v>0</v>
          </cell>
          <cell r="CM112">
            <v>2.5846153846153852E-4</v>
          </cell>
          <cell r="CN112">
            <v>2.5846153846153852E-4</v>
          </cell>
          <cell r="CO112">
            <v>0</v>
          </cell>
          <cell r="CP112">
            <v>0</v>
          </cell>
          <cell r="CQ112">
            <v>3.3858470073380134</v>
          </cell>
          <cell r="CR112">
            <v>0</v>
          </cell>
          <cell r="CS112">
            <v>1</v>
          </cell>
          <cell r="CT112">
            <v>0</v>
          </cell>
          <cell r="CU112">
            <v>0</v>
          </cell>
          <cell r="CV112">
            <v>9</v>
          </cell>
          <cell r="CW112">
            <v>9</v>
          </cell>
          <cell r="CX112" t="str">
            <v/>
          </cell>
          <cell r="CY112">
            <v>1.2</v>
          </cell>
          <cell r="CZ112">
            <v>1.2</v>
          </cell>
          <cell r="DA112">
            <v>1.2</v>
          </cell>
          <cell r="DB112">
            <v>430</v>
          </cell>
          <cell r="DC112">
            <v>203</v>
          </cell>
          <cell r="DD112">
            <v>112</v>
          </cell>
          <cell r="DE112">
            <v>33</v>
          </cell>
          <cell r="DF112">
            <v>50</v>
          </cell>
          <cell r="DG112">
            <v>9</v>
          </cell>
          <cell r="DH112">
            <v>5</v>
          </cell>
          <cell r="DI112">
            <v>22</v>
          </cell>
        </row>
        <row r="113">
          <cell r="A113" t="str">
            <v>RS 140</v>
          </cell>
          <cell r="B113">
            <v>140</v>
          </cell>
          <cell r="C113" t="str">
            <v>S</v>
          </cell>
          <cell r="D113" t="str">
            <v>T</v>
          </cell>
          <cell r="E113" t="str">
            <v>Chingeni - Liwawadzi River</v>
          </cell>
          <cell r="F113" t="str">
            <v>M08</v>
          </cell>
          <cell r="G113">
            <v>1</v>
          </cell>
          <cell r="H113">
            <v>16.100000000000001</v>
          </cell>
          <cell r="I113" t="str">
            <v>F</v>
          </cell>
          <cell r="J113" t="str">
            <v>MACHINGA</v>
          </cell>
          <cell r="K113">
            <v>8</v>
          </cell>
          <cell r="W113">
            <v>71</v>
          </cell>
          <cell r="X113" t="str">
            <v>SA</v>
          </cell>
          <cell r="Y113">
            <v>125</v>
          </cell>
          <cell r="Z113" t="str">
            <v>SB</v>
          </cell>
          <cell r="AA113">
            <v>150</v>
          </cell>
          <cell r="AB113" t="str">
            <v>GR</v>
          </cell>
          <cell r="AC113">
            <v>14</v>
          </cell>
          <cell r="AD113" t="str">
            <v>VR</v>
          </cell>
          <cell r="AM113">
            <v>2</v>
          </cell>
          <cell r="AN113" t="str">
            <v>some bitumen removed</v>
          </cell>
          <cell r="BO113" t="str">
            <v>RS 140</v>
          </cell>
          <cell r="BP113">
            <v>16.100000000000001</v>
          </cell>
          <cell r="BQ113">
            <v>6</v>
          </cell>
          <cell r="BR113" t="str">
            <v>F</v>
          </cell>
          <cell r="BS113" t="str">
            <v>C</v>
          </cell>
          <cell r="BT113">
            <v>35</v>
          </cell>
          <cell r="BU113" t="str">
            <v>SA</v>
          </cell>
          <cell r="BV113" t="str">
            <v/>
          </cell>
          <cell r="BW113">
            <v>2</v>
          </cell>
          <cell r="BX113">
            <v>10</v>
          </cell>
          <cell r="BY113" t="str">
            <v/>
          </cell>
          <cell r="BZ113">
            <v>1</v>
          </cell>
          <cell r="CA113">
            <v>14</v>
          </cell>
          <cell r="CB113">
            <v>1.508</v>
          </cell>
          <cell r="CC113">
            <v>4.3889715216682958</v>
          </cell>
          <cell r="CD113">
            <v>70</v>
          </cell>
          <cell r="CE113">
            <v>21</v>
          </cell>
          <cell r="CF113">
            <v>6</v>
          </cell>
          <cell r="CG113">
            <v>64</v>
          </cell>
          <cell r="CH113">
            <v>15</v>
          </cell>
          <cell r="CI113">
            <v>1.5</v>
          </cell>
          <cell r="CJ113">
            <v>5.000000000000001E-3</v>
          </cell>
          <cell r="CK113">
            <v>6.0049999999999999</v>
          </cell>
          <cell r="CL113">
            <v>6</v>
          </cell>
          <cell r="CM113">
            <v>0.10163076923076925</v>
          </cell>
          <cell r="CN113">
            <v>0.10163076923076925</v>
          </cell>
          <cell r="CO113">
            <v>0</v>
          </cell>
          <cell r="CP113">
            <v>0</v>
          </cell>
          <cell r="CQ113">
            <v>4.4906022908990648</v>
          </cell>
          <cell r="CR113">
            <v>0</v>
          </cell>
          <cell r="CS113">
            <v>1</v>
          </cell>
          <cell r="CT113">
            <v>0</v>
          </cell>
          <cell r="CU113">
            <v>0</v>
          </cell>
          <cell r="CV113">
            <v>27</v>
          </cell>
          <cell r="CW113">
            <v>27</v>
          </cell>
          <cell r="CX113" t="str">
            <v/>
          </cell>
          <cell r="CY113">
            <v>1.5</v>
          </cell>
          <cell r="CZ113">
            <v>2</v>
          </cell>
          <cell r="DA113">
            <v>1.5</v>
          </cell>
          <cell r="DB113">
            <v>230</v>
          </cell>
          <cell r="DC113">
            <v>109</v>
          </cell>
          <cell r="DD113">
            <v>60</v>
          </cell>
          <cell r="DE113">
            <v>18</v>
          </cell>
          <cell r="DF113">
            <v>27</v>
          </cell>
          <cell r="DG113">
            <v>5</v>
          </cell>
          <cell r="DH113">
            <v>3</v>
          </cell>
          <cell r="DI113">
            <v>12</v>
          </cell>
        </row>
        <row r="114">
          <cell r="A114" t="str">
            <v>RS 137</v>
          </cell>
          <cell r="B114">
            <v>137</v>
          </cell>
          <cell r="C114" t="str">
            <v>S</v>
          </cell>
          <cell r="D114" t="str">
            <v>T</v>
          </cell>
          <cell r="E114" t="str">
            <v>Liwawadzi River - Chimwaliro River</v>
          </cell>
          <cell r="F114" t="str">
            <v>M08</v>
          </cell>
          <cell r="G114">
            <v>2</v>
          </cell>
          <cell r="H114">
            <v>8.8000000000000007</v>
          </cell>
          <cell r="I114" t="str">
            <v>R</v>
          </cell>
          <cell r="J114" t="str">
            <v>MACHINGA</v>
          </cell>
          <cell r="K114">
            <v>8</v>
          </cell>
          <cell r="W114">
            <v>71</v>
          </cell>
          <cell r="X114" t="str">
            <v>SA</v>
          </cell>
          <cell r="Y114">
            <v>125</v>
          </cell>
          <cell r="Z114" t="str">
            <v>SB</v>
          </cell>
          <cell r="AA114">
            <v>150</v>
          </cell>
          <cell r="AB114" t="str">
            <v>GR</v>
          </cell>
          <cell r="AC114">
            <v>14</v>
          </cell>
          <cell r="AD114" t="str">
            <v>VR</v>
          </cell>
          <cell r="AM114">
            <v>2</v>
          </cell>
          <cell r="AN114" t="str">
            <v>some bitumen removed</v>
          </cell>
          <cell r="BO114" t="str">
            <v>RS 137</v>
          </cell>
          <cell r="BP114">
            <v>8.8000000000000007</v>
          </cell>
          <cell r="BQ114" t="str">
            <v>n.a.</v>
          </cell>
          <cell r="BR114" t="str">
            <v>R</v>
          </cell>
          <cell r="BS114" t="str">
            <v>X</v>
          </cell>
          <cell r="BT114">
            <v>60</v>
          </cell>
          <cell r="BU114" t="str">
            <v>SA</v>
          </cell>
          <cell r="BV114" t="str">
            <v/>
          </cell>
          <cell r="BW114">
            <v>2</v>
          </cell>
          <cell r="BX114">
            <v>10</v>
          </cell>
          <cell r="BY114" t="str">
            <v/>
          </cell>
          <cell r="BZ114">
            <v>1</v>
          </cell>
          <cell r="CA114">
            <v>14</v>
          </cell>
          <cell r="CB114">
            <v>1.508</v>
          </cell>
          <cell r="CC114" t="str">
            <v>bitumen surface removed</v>
          </cell>
          <cell r="CV114">
            <v>27</v>
          </cell>
          <cell r="CW114">
            <v>27</v>
          </cell>
          <cell r="CX114" t="str">
            <v/>
          </cell>
          <cell r="CY114" t="str">
            <v>n.a.</v>
          </cell>
          <cell r="CZ114" t="str">
            <v>n.a.</v>
          </cell>
          <cell r="DA114">
            <v>1.5</v>
          </cell>
          <cell r="DB114">
            <v>260</v>
          </cell>
          <cell r="DC114">
            <v>123</v>
          </cell>
          <cell r="DD114">
            <v>68</v>
          </cell>
          <cell r="DE114">
            <v>20</v>
          </cell>
          <cell r="DF114">
            <v>30</v>
          </cell>
          <cell r="DG114">
            <v>6</v>
          </cell>
          <cell r="DH114">
            <v>3</v>
          </cell>
          <cell r="DI114">
            <v>13</v>
          </cell>
        </row>
        <row r="115">
          <cell r="A115" t="str">
            <v>RS 138</v>
          </cell>
          <cell r="B115">
            <v>138</v>
          </cell>
          <cell r="C115" t="str">
            <v>S</v>
          </cell>
          <cell r="D115" t="str">
            <v>T</v>
          </cell>
          <cell r="E115" t="str">
            <v>Chimwaliro River - M'manga</v>
          </cell>
          <cell r="F115" t="str">
            <v>M08</v>
          </cell>
          <cell r="G115">
            <v>3</v>
          </cell>
          <cell r="H115">
            <v>10.199999999999999</v>
          </cell>
          <cell r="I115" t="str">
            <v>F</v>
          </cell>
          <cell r="J115" t="str">
            <v>MACHINGA</v>
          </cell>
          <cell r="K115">
            <v>8</v>
          </cell>
          <cell r="W115">
            <v>71</v>
          </cell>
          <cell r="X115" t="str">
            <v>SA</v>
          </cell>
          <cell r="Y115">
            <v>125</v>
          </cell>
          <cell r="Z115" t="str">
            <v>SB</v>
          </cell>
          <cell r="AA115">
            <v>150</v>
          </cell>
          <cell r="AB115" t="str">
            <v>GR</v>
          </cell>
          <cell r="AC115">
            <v>14</v>
          </cell>
          <cell r="AD115" t="str">
            <v>VR</v>
          </cell>
          <cell r="AM115">
            <v>2</v>
          </cell>
          <cell r="AN115" t="str">
            <v>some bitumen removed</v>
          </cell>
          <cell r="BO115" t="str">
            <v>RS 138</v>
          </cell>
          <cell r="BP115">
            <v>10.199999999999999</v>
          </cell>
          <cell r="BQ115" t="str">
            <v>n.a.</v>
          </cell>
          <cell r="BR115" t="str">
            <v>F</v>
          </cell>
          <cell r="BS115" t="str">
            <v>X</v>
          </cell>
          <cell r="BT115">
            <v>60</v>
          </cell>
          <cell r="BU115" t="str">
            <v>SA</v>
          </cell>
          <cell r="BV115" t="str">
            <v/>
          </cell>
          <cell r="BW115">
            <v>2</v>
          </cell>
          <cell r="BX115">
            <v>10</v>
          </cell>
          <cell r="BY115" t="str">
            <v/>
          </cell>
          <cell r="BZ115">
            <v>1</v>
          </cell>
          <cell r="CA115">
            <v>14</v>
          </cell>
          <cell r="CB115">
            <v>1.508</v>
          </cell>
          <cell r="CC115" t="str">
            <v>bitumen surface removed</v>
          </cell>
          <cell r="CV115">
            <v>27</v>
          </cell>
          <cell r="CW115">
            <v>27</v>
          </cell>
          <cell r="CX115" t="str">
            <v/>
          </cell>
          <cell r="CY115" t="str">
            <v>n.a.</v>
          </cell>
          <cell r="CZ115" t="str">
            <v>n.a.</v>
          </cell>
          <cell r="DA115">
            <v>1.5</v>
          </cell>
          <cell r="DB115">
            <v>230</v>
          </cell>
          <cell r="DC115">
            <v>109</v>
          </cell>
          <cell r="DD115">
            <v>60</v>
          </cell>
          <cell r="DE115">
            <v>18</v>
          </cell>
          <cell r="DF115">
            <v>27</v>
          </cell>
          <cell r="DG115">
            <v>5</v>
          </cell>
          <cell r="DH115">
            <v>3</v>
          </cell>
          <cell r="DI115">
            <v>12</v>
          </cell>
        </row>
        <row r="116">
          <cell r="A116" t="str">
            <v>RS 071</v>
          </cell>
          <cell r="B116">
            <v>71</v>
          </cell>
          <cell r="C116" t="str">
            <v>C</v>
          </cell>
          <cell r="D116" t="str">
            <v>T</v>
          </cell>
          <cell r="E116" t="str">
            <v>Mua - Kamwendo</v>
          </cell>
          <cell r="F116" t="str">
            <v>M10</v>
          </cell>
          <cell r="G116">
            <v>1</v>
          </cell>
          <cell r="H116">
            <v>8.9</v>
          </cell>
          <cell r="I116" t="str">
            <v>F</v>
          </cell>
          <cell r="J116" t="str">
            <v>DEDZA</v>
          </cell>
          <cell r="K116">
            <v>7</v>
          </cell>
          <cell r="W116">
            <v>74</v>
          </cell>
          <cell r="X116" t="str">
            <v>DS</v>
          </cell>
          <cell r="Y116">
            <v>150</v>
          </cell>
          <cell r="Z116" t="str">
            <v>SB</v>
          </cell>
          <cell r="AA116">
            <v>100</v>
          </cell>
          <cell r="AB116" t="str">
            <v>GR</v>
          </cell>
          <cell r="AC116">
            <v>8</v>
          </cell>
          <cell r="AD116" t="str">
            <v>VR</v>
          </cell>
          <cell r="AM116">
            <v>1</v>
          </cell>
          <cell r="AN116" t="str">
            <v>bitumen removed</v>
          </cell>
          <cell r="BO116" t="str">
            <v>RS 071</v>
          </cell>
          <cell r="BP116">
            <v>8.9</v>
          </cell>
          <cell r="BQ116" t="str">
            <v>n.a.</v>
          </cell>
          <cell r="BR116" t="str">
            <v>F</v>
          </cell>
          <cell r="BS116" t="str">
            <v>X</v>
          </cell>
          <cell r="BT116">
            <v>90</v>
          </cell>
          <cell r="BU116" t="str">
            <v>DS</v>
          </cell>
          <cell r="BV116" t="str">
            <v/>
          </cell>
          <cell r="BW116">
            <v>1</v>
          </cell>
          <cell r="BX116">
            <v>15</v>
          </cell>
          <cell r="BY116" t="str">
            <v/>
          </cell>
          <cell r="BZ116">
            <v>1</v>
          </cell>
          <cell r="CA116">
            <v>8</v>
          </cell>
          <cell r="CB116">
            <v>1.177</v>
          </cell>
          <cell r="CC116" t="str">
            <v>bitumen surface removed</v>
          </cell>
          <cell r="CV116">
            <v>24</v>
          </cell>
          <cell r="CW116">
            <v>24</v>
          </cell>
          <cell r="CX116" t="str">
            <v/>
          </cell>
          <cell r="CY116" t="str">
            <v>n.a.</v>
          </cell>
          <cell r="CZ116" t="str">
            <v>n.a.</v>
          </cell>
          <cell r="DA116">
            <v>2</v>
          </cell>
          <cell r="DB116">
            <v>60</v>
          </cell>
          <cell r="DC116">
            <v>29</v>
          </cell>
          <cell r="DD116">
            <v>16</v>
          </cell>
          <cell r="DE116">
            <v>5</v>
          </cell>
          <cell r="DF116">
            <v>7</v>
          </cell>
          <cell r="DG116">
            <v>2</v>
          </cell>
          <cell r="DH116">
            <v>1</v>
          </cell>
          <cell r="DI116">
            <v>3</v>
          </cell>
        </row>
        <row r="117">
          <cell r="A117" t="str">
            <v>RS 070</v>
          </cell>
          <cell r="B117">
            <v>70</v>
          </cell>
          <cell r="C117" t="str">
            <v>C</v>
          </cell>
          <cell r="D117" t="str">
            <v>T</v>
          </cell>
          <cell r="E117" t="str">
            <v>Kamwendo - Malambalala</v>
          </cell>
          <cell r="F117" t="str">
            <v>M10</v>
          </cell>
          <cell r="G117">
            <v>2</v>
          </cell>
          <cell r="H117">
            <v>2.9</v>
          </cell>
          <cell r="I117" t="str">
            <v>F</v>
          </cell>
          <cell r="J117" t="str">
            <v>DEDZA</v>
          </cell>
          <cell r="K117">
            <v>7</v>
          </cell>
          <cell r="W117">
            <v>74</v>
          </cell>
          <cell r="X117" t="str">
            <v>DS</v>
          </cell>
          <cell r="Y117">
            <v>150</v>
          </cell>
          <cell r="Z117" t="str">
            <v>SB</v>
          </cell>
          <cell r="AA117">
            <v>100</v>
          </cell>
          <cell r="AB117" t="str">
            <v>GR</v>
          </cell>
          <cell r="AC117">
            <v>8</v>
          </cell>
          <cell r="AD117" t="str">
            <v>VR</v>
          </cell>
          <cell r="AM117">
            <v>1</v>
          </cell>
          <cell r="AN117" t="str">
            <v>bitumen removed</v>
          </cell>
          <cell r="BO117" t="str">
            <v>RS 070</v>
          </cell>
          <cell r="BP117">
            <v>2.9</v>
          </cell>
          <cell r="BQ117" t="str">
            <v>n.a.</v>
          </cell>
          <cell r="BR117" t="str">
            <v>F</v>
          </cell>
          <cell r="BS117" t="str">
            <v>X</v>
          </cell>
          <cell r="BT117">
            <v>90</v>
          </cell>
          <cell r="BU117" t="str">
            <v>DS</v>
          </cell>
          <cell r="BV117" t="str">
            <v/>
          </cell>
          <cell r="BW117">
            <v>1</v>
          </cell>
          <cell r="BX117">
            <v>15</v>
          </cell>
          <cell r="BY117" t="str">
            <v/>
          </cell>
          <cell r="BZ117">
            <v>1</v>
          </cell>
          <cell r="CA117">
            <v>8</v>
          </cell>
          <cell r="CB117">
            <v>1.177</v>
          </cell>
          <cell r="CC117" t="str">
            <v>bitumen surface removed</v>
          </cell>
          <cell r="CV117">
            <v>24</v>
          </cell>
          <cell r="CW117">
            <v>24</v>
          </cell>
          <cell r="CX117" t="str">
            <v/>
          </cell>
          <cell r="CY117" t="str">
            <v>n.a.</v>
          </cell>
          <cell r="CZ117" t="str">
            <v>n.a.</v>
          </cell>
          <cell r="DA117">
            <v>2</v>
          </cell>
          <cell r="DB117">
            <v>60</v>
          </cell>
          <cell r="DC117">
            <v>29</v>
          </cell>
          <cell r="DD117">
            <v>16</v>
          </cell>
          <cell r="DE117">
            <v>5</v>
          </cell>
          <cell r="DF117">
            <v>7</v>
          </cell>
          <cell r="DG117">
            <v>2</v>
          </cell>
          <cell r="DH117">
            <v>1</v>
          </cell>
          <cell r="DI117">
            <v>3</v>
          </cell>
        </row>
        <row r="118">
          <cell r="A118" t="str">
            <v>RS 072</v>
          </cell>
          <cell r="B118">
            <v>72</v>
          </cell>
          <cell r="C118" t="str">
            <v>C</v>
          </cell>
          <cell r="D118" t="str">
            <v>T</v>
          </cell>
          <cell r="E118" t="str">
            <v>Malambalala - Bwanje River</v>
          </cell>
          <cell r="F118" t="str">
            <v>M10</v>
          </cell>
          <cell r="G118">
            <v>3</v>
          </cell>
          <cell r="H118">
            <v>9</v>
          </cell>
          <cell r="I118" t="str">
            <v>F</v>
          </cell>
          <cell r="J118" t="str">
            <v>DEDZA &amp; MANGOCHI</v>
          </cell>
          <cell r="K118">
            <v>7</v>
          </cell>
          <cell r="W118">
            <v>74</v>
          </cell>
          <cell r="X118" t="str">
            <v>DS</v>
          </cell>
          <cell r="Y118">
            <v>150</v>
          </cell>
          <cell r="Z118" t="str">
            <v>SB</v>
          </cell>
          <cell r="AA118">
            <v>100</v>
          </cell>
          <cell r="AB118" t="str">
            <v>GR</v>
          </cell>
          <cell r="AC118">
            <v>8</v>
          </cell>
          <cell r="AD118" t="str">
            <v>VR</v>
          </cell>
          <cell r="AM118">
            <v>1</v>
          </cell>
          <cell r="AN118" t="str">
            <v>bitumen removed</v>
          </cell>
          <cell r="BO118" t="str">
            <v>RS 072</v>
          </cell>
          <cell r="BP118">
            <v>9</v>
          </cell>
          <cell r="BQ118" t="str">
            <v>n.a.</v>
          </cell>
          <cell r="BR118" t="str">
            <v>F</v>
          </cell>
          <cell r="BS118" t="str">
            <v>X</v>
          </cell>
          <cell r="BT118">
            <v>90</v>
          </cell>
          <cell r="BU118" t="str">
            <v>DS</v>
          </cell>
          <cell r="BV118" t="str">
            <v/>
          </cell>
          <cell r="BW118">
            <v>1</v>
          </cell>
          <cell r="BX118">
            <v>15</v>
          </cell>
          <cell r="BY118" t="str">
            <v/>
          </cell>
          <cell r="BZ118">
            <v>1</v>
          </cell>
          <cell r="CA118">
            <v>8</v>
          </cell>
          <cell r="CB118">
            <v>1.177</v>
          </cell>
          <cell r="CC118" t="str">
            <v>bitumen surface removed</v>
          </cell>
          <cell r="CV118">
            <v>24</v>
          </cell>
          <cell r="CW118">
            <v>24</v>
          </cell>
          <cell r="CX118" t="str">
            <v/>
          </cell>
          <cell r="CY118" t="str">
            <v>n.a.</v>
          </cell>
          <cell r="CZ118" t="str">
            <v>n.a.</v>
          </cell>
          <cell r="DA118">
            <v>2</v>
          </cell>
          <cell r="DB118">
            <v>60</v>
          </cell>
          <cell r="DC118">
            <v>29</v>
          </cell>
          <cell r="DD118">
            <v>16</v>
          </cell>
          <cell r="DE118">
            <v>5</v>
          </cell>
          <cell r="DF118">
            <v>7</v>
          </cell>
          <cell r="DG118">
            <v>2</v>
          </cell>
          <cell r="DH118">
            <v>1</v>
          </cell>
          <cell r="DI118">
            <v>3</v>
          </cell>
        </row>
        <row r="119">
          <cell r="A119" t="str">
            <v>RS 069</v>
          </cell>
          <cell r="B119">
            <v>69</v>
          </cell>
          <cell r="C119" t="str">
            <v>C</v>
          </cell>
          <cell r="D119" t="str">
            <v>T</v>
          </cell>
          <cell r="E119" t="str">
            <v>Bwanje River - Kangb'ma</v>
          </cell>
          <cell r="F119" t="str">
            <v>M10</v>
          </cell>
          <cell r="G119">
            <v>4</v>
          </cell>
          <cell r="H119">
            <v>3.6</v>
          </cell>
          <cell r="I119" t="str">
            <v>F</v>
          </cell>
          <cell r="J119" t="str">
            <v>NTCHEU</v>
          </cell>
          <cell r="K119">
            <v>7</v>
          </cell>
          <cell r="W119">
            <v>74</v>
          </cell>
          <cell r="X119" t="str">
            <v>DS</v>
          </cell>
          <cell r="Y119">
            <v>150</v>
          </cell>
          <cell r="Z119" t="str">
            <v>SB</v>
          </cell>
          <cell r="AA119">
            <v>100</v>
          </cell>
          <cell r="AB119" t="str">
            <v>GR</v>
          </cell>
          <cell r="AC119">
            <v>8</v>
          </cell>
          <cell r="AD119" t="str">
            <v>VR</v>
          </cell>
          <cell r="AM119">
            <v>1</v>
          </cell>
          <cell r="AN119" t="str">
            <v>bitumen removed</v>
          </cell>
          <cell r="BO119" t="str">
            <v>RS 069</v>
          </cell>
          <cell r="BP119">
            <v>3.6</v>
          </cell>
          <cell r="BQ119" t="str">
            <v>n.a.</v>
          </cell>
          <cell r="BR119" t="str">
            <v>F</v>
          </cell>
          <cell r="BS119" t="str">
            <v>X</v>
          </cell>
          <cell r="BT119">
            <v>90</v>
          </cell>
          <cell r="BU119" t="str">
            <v>DS</v>
          </cell>
          <cell r="BV119" t="str">
            <v/>
          </cell>
          <cell r="BW119">
            <v>1</v>
          </cell>
          <cell r="BX119">
            <v>15</v>
          </cell>
          <cell r="BY119" t="str">
            <v/>
          </cell>
          <cell r="BZ119">
            <v>1</v>
          </cell>
          <cell r="CA119">
            <v>8</v>
          </cell>
          <cell r="CB119">
            <v>1.177</v>
          </cell>
          <cell r="CC119" t="str">
            <v>bitumen surface removed</v>
          </cell>
          <cell r="CV119">
            <v>24</v>
          </cell>
          <cell r="CW119">
            <v>24</v>
          </cell>
          <cell r="CX119" t="str">
            <v/>
          </cell>
          <cell r="CY119" t="str">
            <v>n.a.</v>
          </cell>
          <cell r="CZ119" t="str">
            <v>n.a.</v>
          </cell>
          <cell r="DA119">
            <v>2</v>
          </cell>
          <cell r="DB119">
            <v>60</v>
          </cell>
          <cell r="DC119">
            <v>29</v>
          </cell>
          <cell r="DD119">
            <v>16</v>
          </cell>
          <cell r="DE119">
            <v>5</v>
          </cell>
          <cell r="DF119">
            <v>7</v>
          </cell>
          <cell r="DG119">
            <v>2</v>
          </cell>
          <cell r="DH119">
            <v>1</v>
          </cell>
          <cell r="DI119">
            <v>3</v>
          </cell>
        </row>
        <row r="120">
          <cell r="A120" t="str">
            <v>RS 068</v>
          </cell>
          <cell r="B120">
            <v>68</v>
          </cell>
          <cell r="C120" t="str">
            <v>C</v>
          </cell>
          <cell r="D120" t="str">
            <v>T</v>
          </cell>
          <cell r="E120" t="str">
            <v>Kangb'ma - Phanga</v>
          </cell>
          <cell r="F120" t="str">
            <v>M10</v>
          </cell>
          <cell r="G120">
            <v>5</v>
          </cell>
          <cell r="H120">
            <v>1.6</v>
          </cell>
          <cell r="I120" t="str">
            <v>F</v>
          </cell>
          <cell r="J120" t="str">
            <v>MANGOCHI</v>
          </cell>
          <cell r="K120">
            <v>7</v>
          </cell>
          <cell r="W120">
            <v>74</v>
          </cell>
          <cell r="X120" t="str">
            <v>DS</v>
          </cell>
          <cell r="Y120">
            <v>150</v>
          </cell>
          <cell r="Z120" t="str">
            <v>SB</v>
          </cell>
          <cell r="AA120">
            <v>100</v>
          </cell>
          <cell r="AB120" t="str">
            <v>GR</v>
          </cell>
          <cell r="AC120">
            <v>8</v>
          </cell>
          <cell r="AD120" t="str">
            <v>VR</v>
          </cell>
          <cell r="AE120">
            <v>89</v>
          </cell>
          <cell r="AF120" t="str">
            <v>SR</v>
          </cell>
          <cell r="AG120" t="str">
            <v>ST</v>
          </cell>
          <cell r="AH120">
            <v>10</v>
          </cell>
          <cell r="AM120">
            <v>4</v>
          </cell>
          <cell r="BO120" t="str">
            <v>RS 068</v>
          </cell>
          <cell r="BP120">
            <v>1.6</v>
          </cell>
          <cell r="BQ120" t="str">
            <v>n.a.</v>
          </cell>
          <cell r="BR120" t="str">
            <v>F</v>
          </cell>
          <cell r="BS120" t="str">
            <v>X</v>
          </cell>
          <cell r="BT120">
            <v>90</v>
          </cell>
          <cell r="BU120" t="str">
            <v>ST</v>
          </cell>
          <cell r="BV120" t="str">
            <v>DS</v>
          </cell>
          <cell r="BW120">
            <v>4</v>
          </cell>
          <cell r="BX120">
            <v>10</v>
          </cell>
          <cell r="BY120">
            <v>15</v>
          </cell>
          <cell r="BZ120">
            <v>1</v>
          </cell>
          <cell r="CA120">
            <v>8</v>
          </cell>
          <cell r="CB120">
            <v>1.3540000000000001</v>
          </cell>
          <cell r="CC120" t="str">
            <v>bitumen surface removed</v>
          </cell>
          <cell r="CV120">
            <v>9</v>
          </cell>
          <cell r="CW120">
            <v>24</v>
          </cell>
          <cell r="CX120">
            <v>48</v>
          </cell>
          <cell r="CY120" t="str">
            <v>n.a.</v>
          </cell>
          <cell r="CZ120" t="str">
            <v>n.a.</v>
          </cell>
          <cell r="DA120">
            <v>2</v>
          </cell>
          <cell r="DB120">
            <v>60</v>
          </cell>
          <cell r="DC120">
            <v>29</v>
          </cell>
          <cell r="DD120">
            <v>16</v>
          </cell>
          <cell r="DE120">
            <v>5</v>
          </cell>
          <cell r="DF120">
            <v>7</v>
          </cell>
          <cell r="DG120">
            <v>2</v>
          </cell>
          <cell r="DH120">
            <v>1</v>
          </cell>
          <cell r="DI120">
            <v>3</v>
          </cell>
        </row>
        <row r="121">
          <cell r="A121" t="str">
            <v>RS 141</v>
          </cell>
          <cell r="B121">
            <v>141</v>
          </cell>
          <cell r="C121" t="str">
            <v>S</v>
          </cell>
          <cell r="D121" t="str">
            <v>T</v>
          </cell>
          <cell r="E121" t="str">
            <v>Regional Bdy - Mpanga</v>
          </cell>
          <cell r="F121" t="str">
            <v>M10</v>
          </cell>
          <cell r="G121">
            <v>6</v>
          </cell>
          <cell r="H121">
            <v>1.4</v>
          </cell>
          <cell r="I121" t="str">
            <v>F</v>
          </cell>
          <cell r="J121" t="str">
            <v>MANGOCHI</v>
          </cell>
          <cell r="K121">
            <v>7</v>
          </cell>
          <cell r="W121">
            <v>74</v>
          </cell>
          <cell r="X121" t="str">
            <v>DS</v>
          </cell>
          <cell r="Y121">
            <v>150</v>
          </cell>
          <cell r="Z121" t="str">
            <v>SB</v>
          </cell>
          <cell r="AA121">
            <v>100</v>
          </cell>
          <cell r="AB121" t="str">
            <v>GR</v>
          </cell>
          <cell r="AC121">
            <v>8</v>
          </cell>
          <cell r="AD121" t="str">
            <v>VR</v>
          </cell>
          <cell r="AE121">
            <v>89</v>
          </cell>
          <cell r="AF121" t="str">
            <v>SR</v>
          </cell>
          <cell r="AG121" t="str">
            <v>ST</v>
          </cell>
          <cell r="AH121">
            <v>10</v>
          </cell>
          <cell r="AM121">
            <v>4</v>
          </cell>
          <cell r="BO121" t="str">
            <v>RS 141</v>
          </cell>
          <cell r="BP121">
            <v>1.4</v>
          </cell>
          <cell r="BQ121" t="str">
            <v>n.a.</v>
          </cell>
          <cell r="BR121" t="str">
            <v>F</v>
          </cell>
          <cell r="BS121" t="str">
            <v>X</v>
          </cell>
          <cell r="BT121">
            <v>90</v>
          </cell>
          <cell r="BU121" t="str">
            <v>ST</v>
          </cell>
          <cell r="BV121" t="str">
            <v>DS</v>
          </cell>
          <cell r="BW121">
            <v>4</v>
          </cell>
          <cell r="BX121">
            <v>10</v>
          </cell>
          <cell r="BY121">
            <v>15</v>
          </cell>
          <cell r="BZ121">
            <v>1</v>
          </cell>
          <cell r="CA121">
            <v>8</v>
          </cell>
          <cell r="CB121">
            <v>1.3540000000000001</v>
          </cell>
          <cell r="CC121" t="str">
            <v>bitumen surface removed</v>
          </cell>
          <cell r="CV121">
            <v>9</v>
          </cell>
          <cell r="CW121">
            <v>24</v>
          </cell>
          <cell r="CX121">
            <v>48</v>
          </cell>
          <cell r="CY121" t="str">
            <v>n.a.</v>
          </cell>
          <cell r="CZ121" t="str">
            <v>n.a.</v>
          </cell>
          <cell r="DA121">
            <v>2</v>
          </cell>
          <cell r="DB121">
            <v>100</v>
          </cell>
          <cell r="DC121">
            <v>47</v>
          </cell>
          <cell r="DD121">
            <v>26</v>
          </cell>
          <cell r="DE121">
            <v>8</v>
          </cell>
          <cell r="DF121">
            <v>12</v>
          </cell>
          <cell r="DG121">
            <v>2</v>
          </cell>
          <cell r="DH121">
            <v>1</v>
          </cell>
          <cell r="DI121">
            <v>5</v>
          </cell>
        </row>
        <row r="122">
          <cell r="A122" t="str">
            <v>RS 143</v>
          </cell>
          <cell r="B122">
            <v>143</v>
          </cell>
          <cell r="C122" t="str">
            <v>S</v>
          </cell>
          <cell r="D122" t="str">
            <v>T</v>
          </cell>
          <cell r="E122" t="str">
            <v>Mpanga - Chantulo</v>
          </cell>
          <cell r="F122" t="str">
            <v>M10</v>
          </cell>
          <cell r="G122">
            <v>7</v>
          </cell>
          <cell r="H122">
            <v>5.3</v>
          </cell>
          <cell r="I122" t="str">
            <v>F</v>
          </cell>
          <cell r="J122" t="str">
            <v>MANGOCHI</v>
          </cell>
          <cell r="K122">
            <v>7</v>
          </cell>
          <cell r="W122">
            <v>74</v>
          </cell>
          <cell r="X122" t="str">
            <v>DS</v>
          </cell>
          <cell r="Y122">
            <v>150</v>
          </cell>
          <cell r="Z122" t="str">
            <v>SB</v>
          </cell>
          <cell r="AA122">
            <v>100</v>
          </cell>
          <cell r="AB122" t="str">
            <v>GR</v>
          </cell>
          <cell r="AC122">
            <v>8</v>
          </cell>
          <cell r="AD122" t="str">
            <v>VR</v>
          </cell>
          <cell r="AE122">
            <v>89</v>
          </cell>
          <cell r="AF122" t="str">
            <v>SR</v>
          </cell>
          <cell r="AG122" t="str">
            <v>ST</v>
          </cell>
          <cell r="AH122">
            <v>10</v>
          </cell>
          <cell r="AM122">
            <v>4</v>
          </cell>
          <cell r="BO122" t="str">
            <v>RS 143</v>
          </cell>
          <cell r="BP122">
            <v>5.3</v>
          </cell>
          <cell r="BQ122" t="str">
            <v>n.a.</v>
          </cell>
          <cell r="BR122" t="str">
            <v>F</v>
          </cell>
          <cell r="BS122" t="str">
            <v>X</v>
          </cell>
          <cell r="BT122">
            <v>90</v>
          </cell>
          <cell r="BU122" t="str">
            <v>ST</v>
          </cell>
          <cell r="BV122" t="str">
            <v>DS</v>
          </cell>
          <cell r="BW122">
            <v>4</v>
          </cell>
          <cell r="BX122">
            <v>10</v>
          </cell>
          <cell r="BY122">
            <v>15</v>
          </cell>
          <cell r="BZ122">
            <v>1</v>
          </cell>
          <cell r="CA122">
            <v>8</v>
          </cell>
          <cell r="CB122">
            <v>1.3540000000000001</v>
          </cell>
          <cell r="CC122" t="str">
            <v>bitumen surface removed</v>
          </cell>
          <cell r="CV122">
            <v>9</v>
          </cell>
          <cell r="CW122">
            <v>24</v>
          </cell>
          <cell r="CX122">
            <v>48</v>
          </cell>
          <cell r="CY122" t="str">
            <v>n.a.</v>
          </cell>
          <cell r="CZ122" t="str">
            <v>n.a.</v>
          </cell>
          <cell r="DA122">
            <v>2</v>
          </cell>
          <cell r="DB122">
            <v>100</v>
          </cell>
          <cell r="DC122">
            <v>47</v>
          </cell>
          <cell r="DD122">
            <v>26</v>
          </cell>
          <cell r="DE122">
            <v>8</v>
          </cell>
          <cell r="DF122">
            <v>12</v>
          </cell>
          <cell r="DG122">
            <v>2</v>
          </cell>
          <cell r="DH122">
            <v>1</v>
          </cell>
          <cell r="DI122">
            <v>5</v>
          </cell>
        </row>
        <row r="123">
          <cell r="A123" t="str">
            <v>RS 142</v>
          </cell>
          <cell r="B123">
            <v>142</v>
          </cell>
          <cell r="C123" t="str">
            <v>S</v>
          </cell>
          <cell r="D123" t="str">
            <v>T</v>
          </cell>
          <cell r="E123" t="str">
            <v>Kuchilipa - Mang'oma</v>
          </cell>
          <cell r="F123" t="str">
            <v>M10</v>
          </cell>
          <cell r="G123">
            <v>8</v>
          </cell>
          <cell r="H123">
            <v>24.1</v>
          </cell>
          <cell r="I123" t="str">
            <v>F</v>
          </cell>
          <cell r="J123" t="str">
            <v>MANGOCHI</v>
          </cell>
          <cell r="K123">
            <v>7</v>
          </cell>
          <cell r="W123">
            <v>74</v>
          </cell>
          <cell r="X123" t="str">
            <v>DS</v>
          </cell>
          <cell r="Y123">
            <v>150</v>
          </cell>
          <cell r="Z123" t="str">
            <v>SB</v>
          </cell>
          <cell r="AA123">
            <v>100</v>
          </cell>
          <cell r="AB123" t="str">
            <v>GR</v>
          </cell>
          <cell r="AC123">
            <v>8</v>
          </cell>
          <cell r="AD123" t="str">
            <v>VR</v>
          </cell>
          <cell r="AE123">
            <v>89</v>
          </cell>
          <cell r="AF123" t="str">
            <v>SR</v>
          </cell>
          <cell r="AG123" t="str">
            <v>ST</v>
          </cell>
          <cell r="AH123">
            <v>10</v>
          </cell>
          <cell r="AM123">
            <v>4</v>
          </cell>
          <cell r="BO123" t="str">
            <v>RS 142</v>
          </cell>
          <cell r="BP123">
            <v>24.1</v>
          </cell>
          <cell r="BQ123" t="str">
            <v>n.a.</v>
          </cell>
          <cell r="BR123" t="str">
            <v>F</v>
          </cell>
          <cell r="BS123" t="str">
            <v>X</v>
          </cell>
          <cell r="BT123">
            <v>90</v>
          </cell>
          <cell r="BU123" t="str">
            <v>ST</v>
          </cell>
          <cell r="BV123" t="str">
            <v>DS</v>
          </cell>
          <cell r="BW123">
            <v>4</v>
          </cell>
          <cell r="BX123">
            <v>10</v>
          </cell>
          <cell r="BY123">
            <v>15</v>
          </cell>
          <cell r="BZ123">
            <v>1</v>
          </cell>
          <cell r="CA123">
            <v>8</v>
          </cell>
          <cell r="CB123">
            <v>1.3540000000000001</v>
          </cell>
          <cell r="CC123" t="str">
            <v>bitumen surface removed</v>
          </cell>
          <cell r="CV123">
            <v>9</v>
          </cell>
          <cell r="CW123">
            <v>24</v>
          </cell>
          <cell r="CX123">
            <v>48</v>
          </cell>
          <cell r="CY123" t="str">
            <v>n.a.</v>
          </cell>
          <cell r="CZ123" t="str">
            <v>n.a.</v>
          </cell>
          <cell r="DA123">
            <v>2</v>
          </cell>
          <cell r="DB123">
            <v>100</v>
          </cell>
          <cell r="DC123">
            <v>47</v>
          </cell>
          <cell r="DD123">
            <v>26</v>
          </cell>
          <cell r="DE123">
            <v>8</v>
          </cell>
          <cell r="DF123">
            <v>12</v>
          </cell>
          <cell r="DG123">
            <v>2</v>
          </cell>
          <cell r="DH123">
            <v>1</v>
          </cell>
          <cell r="DI123">
            <v>5</v>
          </cell>
        </row>
        <row r="124">
          <cell r="A124" t="str">
            <v>RS 145</v>
          </cell>
          <cell r="B124">
            <v>145</v>
          </cell>
          <cell r="C124" t="str">
            <v>S</v>
          </cell>
          <cell r="D124" t="str">
            <v>T</v>
          </cell>
          <cell r="E124" t="str">
            <v>Mang'oma - Koche River</v>
          </cell>
          <cell r="F124" t="str">
            <v>M10</v>
          </cell>
          <cell r="G124">
            <v>9</v>
          </cell>
          <cell r="H124">
            <v>30.8</v>
          </cell>
          <cell r="I124" t="str">
            <v>F</v>
          </cell>
          <cell r="J124" t="str">
            <v>MANGOCHI</v>
          </cell>
          <cell r="K124">
            <v>7</v>
          </cell>
          <cell r="W124">
            <v>74</v>
          </cell>
          <cell r="X124" t="str">
            <v>DS</v>
          </cell>
          <cell r="Y124">
            <v>150</v>
          </cell>
          <cell r="Z124" t="str">
            <v>SB</v>
          </cell>
          <cell r="AA124">
            <v>100</v>
          </cell>
          <cell r="AB124" t="str">
            <v>GR</v>
          </cell>
          <cell r="AC124">
            <v>8</v>
          </cell>
          <cell r="AD124" t="str">
            <v>VR</v>
          </cell>
          <cell r="AE124">
            <v>89</v>
          </cell>
          <cell r="AF124" t="str">
            <v>SR</v>
          </cell>
          <cell r="AG124" t="str">
            <v>ST</v>
          </cell>
          <cell r="AH124">
            <v>10</v>
          </cell>
          <cell r="AM124">
            <v>4</v>
          </cell>
          <cell r="BO124" t="str">
            <v>RS 145</v>
          </cell>
          <cell r="BP124">
            <v>30.8</v>
          </cell>
          <cell r="BQ124">
            <v>6.7</v>
          </cell>
          <cell r="BR124" t="str">
            <v>F</v>
          </cell>
          <cell r="BS124" t="str">
            <v>C</v>
          </cell>
          <cell r="BT124">
            <v>0</v>
          </cell>
          <cell r="BU124" t="str">
            <v>ST</v>
          </cell>
          <cell r="BV124" t="str">
            <v>DS</v>
          </cell>
          <cell r="BW124">
            <v>4</v>
          </cell>
          <cell r="BX124">
            <v>10</v>
          </cell>
          <cell r="BY124">
            <v>15</v>
          </cell>
          <cell r="BZ124">
            <v>1</v>
          </cell>
          <cell r="CA124">
            <v>8</v>
          </cell>
          <cell r="CB124">
            <v>1.3540000000000001</v>
          </cell>
          <cell r="CC124">
            <v>6.38</v>
          </cell>
          <cell r="CD124">
            <v>95</v>
          </cell>
          <cell r="CE124">
            <v>75</v>
          </cell>
          <cell r="CF124">
            <v>60</v>
          </cell>
          <cell r="CG124">
            <v>35</v>
          </cell>
          <cell r="CH124">
            <v>15</v>
          </cell>
          <cell r="CI124">
            <v>25</v>
          </cell>
          <cell r="CJ124">
            <v>7.4626865671641798E-2</v>
          </cell>
          <cell r="CK124">
            <v>10</v>
          </cell>
          <cell r="CL124">
            <v>60</v>
          </cell>
          <cell r="CM124">
            <v>0.52510907003444307</v>
          </cell>
          <cell r="CN124">
            <v>0.52510907003444307</v>
          </cell>
          <cell r="CO124">
            <v>0</v>
          </cell>
          <cell r="CP124">
            <v>0</v>
          </cell>
          <cell r="CQ124">
            <v>6.9051090700344426</v>
          </cell>
          <cell r="CR124">
            <v>90</v>
          </cell>
          <cell r="CS124">
            <v>1.5</v>
          </cell>
          <cell r="CT124">
            <v>2.5</v>
          </cell>
          <cell r="CU124">
            <v>1</v>
          </cell>
          <cell r="CV124">
            <v>9</v>
          </cell>
          <cell r="CW124">
            <v>24</v>
          </cell>
          <cell r="CX124">
            <v>48</v>
          </cell>
          <cell r="CY124">
            <v>3</v>
          </cell>
          <cell r="CZ124">
            <v>3</v>
          </cell>
          <cell r="DA124">
            <v>1</v>
          </cell>
          <cell r="DB124">
            <v>125</v>
          </cell>
          <cell r="DC124">
            <v>59</v>
          </cell>
          <cell r="DD124">
            <v>33</v>
          </cell>
          <cell r="DE124">
            <v>10</v>
          </cell>
          <cell r="DF124">
            <v>15</v>
          </cell>
          <cell r="DG124">
            <v>3</v>
          </cell>
          <cell r="DH124">
            <v>2</v>
          </cell>
          <cell r="DI124">
            <v>7</v>
          </cell>
        </row>
        <row r="125">
          <cell r="A125" t="str">
            <v>RS 144</v>
          </cell>
          <cell r="B125">
            <v>144</v>
          </cell>
          <cell r="C125" t="str">
            <v>S</v>
          </cell>
          <cell r="D125" t="str">
            <v>T</v>
          </cell>
          <cell r="E125" t="str">
            <v>Koche River - Mangochi</v>
          </cell>
          <cell r="F125" t="str">
            <v>M10</v>
          </cell>
          <cell r="G125">
            <v>10</v>
          </cell>
          <cell r="H125">
            <v>19.600000000000001</v>
          </cell>
          <cell r="I125" t="str">
            <v>F</v>
          </cell>
          <cell r="J125" t="str">
            <v>MANGOCHI</v>
          </cell>
          <cell r="K125">
            <v>8</v>
          </cell>
          <cell r="W125">
            <v>74</v>
          </cell>
          <cell r="X125" t="str">
            <v>DS</v>
          </cell>
          <cell r="Y125">
            <v>150</v>
          </cell>
          <cell r="Z125" t="str">
            <v>SB</v>
          </cell>
          <cell r="AA125">
            <v>100</v>
          </cell>
          <cell r="AB125" t="str">
            <v>GR</v>
          </cell>
          <cell r="AC125">
            <v>8</v>
          </cell>
          <cell r="AD125" t="str">
            <v>VR</v>
          </cell>
          <cell r="AE125">
            <v>89</v>
          </cell>
          <cell r="AF125" t="str">
            <v>SR</v>
          </cell>
          <cell r="AG125" t="str">
            <v>ST</v>
          </cell>
          <cell r="AH125">
            <v>10</v>
          </cell>
          <cell r="AM125">
            <v>4</v>
          </cell>
          <cell r="BO125" t="str">
            <v>RS 144</v>
          </cell>
          <cell r="BP125">
            <v>19.600000000000001</v>
          </cell>
          <cell r="BQ125">
            <v>6.7</v>
          </cell>
          <cell r="BR125" t="str">
            <v>F</v>
          </cell>
          <cell r="BS125" t="str">
            <v>C</v>
          </cell>
          <cell r="BT125">
            <v>0</v>
          </cell>
          <cell r="BU125" t="str">
            <v>ST</v>
          </cell>
          <cell r="BV125" t="str">
            <v>DS</v>
          </cell>
          <cell r="BW125">
            <v>4</v>
          </cell>
          <cell r="BX125">
            <v>10</v>
          </cell>
          <cell r="BY125">
            <v>15</v>
          </cell>
          <cell r="BZ125">
            <v>1</v>
          </cell>
          <cell r="CA125">
            <v>8</v>
          </cell>
          <cell r="CB125">
            <v>1.3540000000000001</v>
          </cell>
          <cell r="CC125">
            <v>5.18</v>
          </cell>
          <cell r="CD125">
            <v>75</v>
          </cell>
          <cell r="CE125">
            <v>38</v>
          </cell>
          <cell r="CF125">
            <v>23</v>
          </cell>
          <cell r="CG125">
            <v>52</v>
          </cell>
          <cell r="CH125">
            <v>15</v>
          </cell>
          <cell r="CI125">
            <v>14</v>
          </cell>
          <cell r="CJ125">
            <v>4.1791044776119404E-2</v>
          </cell>
          <cell r="CK125">
            <v>10</v>
          </cell>
          <cell r="CL125">
            <v>23</v>
          </cell>
          <cell r="CM125">
            <v>0.26793800229621123</v>
          </cell>
          <cell r="CN125">
            <v>0.26793800229621123</v>
          </cell>
          <cell r="CO125">
            <v>0</v>
          </cell>
          <cell r="CP125">
            <v>0</v>
          </cell>
          <cell r="CQ125">
            <v>5.4479380022962109</v>
          </cell>
          <cell r="CR125">
            <v>50</v>
          </cell>
          <cell r="CS125">
            <v>1.5</v>
          </cell>
          <cell r="CT125">
            <v>2.5</v>
          </cell>
          <cell r="CU125">
            <v>1</v>
          </cell>
          <cell r="CV125">
            <v>9</v>
          </cell>
          <cell r="CW125">
            <v>24</v>
          </cell>
          <cell r="CX125">
            <v>48</v>
          </cell>
          <cell r="CY125">
            <v>2.2999999999999998</v>
          </cell>
          <cell r="CZ125">
            <v>2</v>
          </cell>
          <cell r="DA125">
            <v>1</v>
          </cell>
          <cell r="DB125">
            <v>1000</v>
          </cell>
          <cell r="DC125">
            <v>470</v>
          </cell>
          <cell r="DD125">
            <v>260</v>
          </cell>
          <cell r="DE125">
            <v>75</v>
          </cell>
          <cell r="DF125">
            <v>115</v>
          </cell>
          <cell r="DG125">
            <v>20</v>
          </cell>
          <cell r="DH125">
            <v>10</v>
          </cell>
          <cell r="DI125">
            <v>50</v>
          </cell>
        </row>
        <row r="126">
          <cell r="A126" t="str">
            <v>RS 080</v>
          </cell>
          <cell r="B126">
            <v>80</v>
          </cell>
          <cell r="C126" t="str">
            <v>C</v>
          </cell>
          <cell r="D126" t="str">
            <v>T</v>
          </cell>
          <cell r="E126" t="str">
            <v>International Border - Mchinji</v>
          </cell>
          <cell r="F126" t="str">
            <v>M12</v>
          </cell>
          <cell r="G126">
            <v>1</v>
          </cell>
          <cell r="H126">
            <v>11.5</v>
          </cell>
          <cell r="I126" t="str">
            <v>F</v>
          </cell>
          <cell r="J126" t="str">
            <v>MCHINJI</v>
          </cell>
          <cell r="K126">
            <v>6</v>
          </cell>
          <cell r="W126">
            <v>79</v>
          </cell>
          <cell r="X126" t="str">
            <v>DS</v>
          </cell>
          <cell r="Y126">
            <v>250</v>
          </cell>
          <cell r="Z126" t="str">
            <v>GR</v>
          </cell>
          <cell r="AA126">
            <v>100</v>
          </cell>
          <cell r="AB126" t="str">
            <v>GR</v>
          </cell>
          <cell r="AC126">
            <v>25</v>
          </cell>
          <cell r="AD126" t="str">
            <v>VR</v>
          </cell>
          <cell r="AE126">
            <v>91</v>
          </cell>
          <cell r="AF126" t="str">
            <v>SR</v>
          </cell>
          <cell r="AG126" t="str">
            <v>ST</v>
          </cell>
          <cell r="AH126">
            <v>10</v>
          </cell>
          <cell r="AM126">
            <v>4</v>
          </cell>
          <cell r="BO126" t="str">
            <v>RS 080</v>
          </cell>
          <cell r="BP126">
            <v>11.5</v>
          </cell>
          <cell r="BQ126">
            <v>6</v>
          </cell>
          <cell r="BR126" t="str">
            <v>F</v>
          </cell>
          <cell r="BS126" t="str">
            <v>C</v>
          </cell>
          <cell r="BT126">
            <v>0</v>
          </cell>
          <cell r="BU126" t="str">
            <v>ST</v>
          </cell>
          <cell r="BV126" t="str">
            <v>DS</v>
          </cell>
          <cell r="BW126">
            <v>4</v>
          </cell>
          <cell r="BX126">
            <v>10</v>
          </cell>
          <cell r="BY126">
            <v>15</v>
          </cell>
          <cell r="BZ126">
            <v>1</v>
          </cell>
          <cell r="CA126">
            <v>25</v>
          </cell>
          <cell r="CB126">
            <v>1.254</v>
          </cell>
          <cell r="CC126">
            <v>3.2394887221034847</v>
          </cell>
          <cell r="CD126">
            <v>38</v>
          </cell>
          <cell r="CE126">
            <v>6</v>
          </cell>
          <cell r="CF126">
            <v>0</v>
          </cell>
          <cell r="CG126">
            <v>38</v>
          </cell>
          <cell r="CH126">
            <v>6</v>
          </cell>
          <cell r="CI126">
            <v>0.7</v>
          </cell>
          <cell r="CJ126">
            <v>2.3333333333333331E-3</v>
          </cell>
          <cell r="CK126">
            <v>2.3333333333333331E-3</v>
          </cell>
          <cell r="CL126">
            <v>0</v>
          </cell>
          <cell r="CM126">
            <v>9.0461538461538446E-4</v>
          </cell>
          <cell r="CN126">
            <v>9.0461538461538446E-4</v>
          </cell>
          <cell r="CO126">
            <v>0</v>
          </cell>
          <cell r="CP126">
            <v>0</v>
          </cell>
          <cell r="CQ126">
            <v>3.2403933374881002</v>
          </cell>
          <cell r="CR126">
            <v>0</v>
          </cell>
          <cell r="CS126">
            <v>1</v>
          </cell>
          <cell r="CT126">
            <v>0</v>
          </cell>
          <cell r="CU126">
            <v>0</v>
          </cell>
          <cell r="CV126">
            <v>7</v>
          </cell>
          <cell r="CW126">
            <v>19</v>
          </cell>
          <cell r="CX126">
            <v>38</v>
          </cell>
          <cell r="CY126">
            <v>2</v>
          </cell>
          <cell r="CZ126">
            <v>2</v>
          </cell>
          <cell r="DA126">
            <v>1.2</v>
          </cell>
          <cell r="DB126">
            <v>200</v>
          </cell>
          <cell r="DC126">
            <v>94</v>
          </cell>
          <cell r="DD126">
            <v>52</v>
          </cell>
          <cell r="DE126">
            <v>15</v>
          </cell>
          <cell r="DF126">
            <v>23</v>
          </cell>
          <cell r="DG126">
            <v>4</v>
          </cell>
          <cell r="DH126">
            <v>2</v>
          </cell>
          <cell r="DI126">
            <v>10</v>
          </cell>
        </row>
        <row r="127">
          <cell r="A127" t="str">
            <v>RS 079</v>
          </cell>
          <cell r="B127">
            <v>79</v>
          </cell>
          <cell r="C127" t="str">
            <v>C</v>
          </cell>
          <cell r="D127" t="str">
            <v>T</v>
          </cell>
          <cell r="E127" t="str">
            <v>Mchinji - Kamwendo</v>
          </cell>
          <cell r="F127" t="str">
            <v>M12</v>
          </cell>
          <cell r="G127">
            <v>2</v>
          </cell>
          <cell r="H127">
            <v>19.100000000000001</v>
          </cell>
          <cell r="I127" t="str">
            <v>F</v>
          </cell>
          <cell r="J127" t="str">
            <v>MCHINJI</v>
          </cell>
          <cell r="K127">
            <v>6</v>
          </cell>
          <cell r="W127">
            <v>79</v>
          </cell>
          <cell r="X127" t="str">
            <v>DS</v>
          </cell>
          <cell r="Y127">
            <v>250</v>
          </cell>
          <cell r="Z127" t="str">
            <v>GR</v>
          </cell>
          <cell r="AA127">
            <v>100</v>
          </cell>
          <cell r="AB127" t="str">
            <v>GR</v>
          </cell>
          <cell r="AC127">
            <v>25</v>
          </cell>
          <cell r="AD127" t="str">
            <v>VR</v>
          </cell>
          <cell r="AE127">
            <v>91</v>
          </cell>
          <cell r="AF127" t="str">
            <v>SR</v>
          </cell>
          <cell r="AG127" t="str">
            <v>ST</v>
          </cell>
          <cell r="AH127">
            <v>10</v>
          </cell>
          <cell r="AM127">
            <v>4</v>
          </cell>
          <cell r="BO127" t="str">
            <v>RS 079</v>
          </cell>
          <cell r="BP127">
            <v>19.100000000000001</v>
          </cell>
          <cell r="BQ127">
            <v>6</v>
          </cell>
          <cell r="BR127" t="str">
            <v>F</v>
          </cell>
          <cell r="BS127" t="str">
            <v>C</v>
          </cell>
          <cell r="BT127">
            <v>0</v>
          </cell>
          <cell r="BU127" t="str">
            <v>ST</v>
          </cell>
          <cell r="BV127" t="str">
            <v>DS</v>
          </cell>
          <cell r="BW127">
            <v>4</v>
          </cell>
          <cell r="BX127">
            <v>10</v>
          </cell>
          <cell r="BY127">
            <v>15</v>
          </cell>
          <cell r="BZ127">
            <v>1</v>
          </cell>
          <cell r="CA127">
            <v>25</v>
          </cell>
          <cell r="CB127">
            <v>1.254</v>
          </cell>
          <cell r="CC127">
            <v>3.272964250312977</v>
          </cell>
          <cell r="CD127">
            <v>12</v>
          </cell>
          <cell r="CE127">
            <v>1</v>
          </cell>
          <cell r="CF127">
            <v>0</v>
          </cell>
          <cell r="CG127">
            <v>12</v>
          </cell>
          <cell r="CH127">
            <v>1</v>
          </cell>
          <cell r="CI127">
            <v>0.4</v>
          </cell>
          <cell r="CJ127">
            <v>1.3333333333333337E-3</v>
          </cell>
          <cell r="CK127">
            <v>1.3333333333333337E-3</v>
          </cell>
          <cell r="CL127">
            <v>0</v>
          </cell>
          <cell r="CM127">
            <v>5.1692307692307704E-4</v>
          </cell>
          <cell r="CN127">
            <v>5.1692307692307704E-4</v>
          </cell>
          <cell r="CO127">
            <v>0</v>
          </cell>
          <cell r="CP127">
            <v>0</v>
          </cell>
          <cell r="CQ127">
            <v>3.2734811733899001</v>
          </cell>
          <cell r="CR127">
            <v>0</v>
          </cell>
          <cell r="CS127">
            <v>1</v>
          </cell>
          <cell r="CT127">
            <v>0</v>
          </cell>
          <cell r="CU127">
            <v>0</v>
          </cell>
          <cell r="CV127">
            <v>7</v>
          </cell>
          <cell r="CW127">
            <v>19</v>
          </cell>
          <cell r="CX127">
            <v>38</v>
          </cell>
          <cell r="CY127">
            <v>2</v>
          </cell>
          <cell r="CZ127">
            <v>1.7</v>
          </cell>
          <cell r="DA127">
            <v>1</v>
          </cell>
          <cell r="DB127">
            <v>390</v>
          </cell>
          <cell r="DC127">
            <v>184</v>
          </cell>
          <cell r="DD127">
            <v>102</v>
          </cell>
          <cell r="DE127">
            <v>30</v>
          </cell>
          <cell r="DF127">
            <v>45</v>
          </cell>
          <cell r="DG127">
            <v>8</v>
          </cell>
          <cell r="DH127">
            <v>4</v>
          </cell>
          <cell r="DI127">
            <v>20</v>
          </cell>
        </row>
        <row r="128">
          <cell r="A128" t="str">
            <v>RS 077</v>
          </cell>
          <cell r="B128">
            <v>77</v>
          </cell>
          <cell r="C128" t="str">
            <v>C</v>
          </cell>
          <cell r="D128" t="str">
            <v>T</v>
          </cell>
          <cell r="E128" t="str">
            <v>Kamwendo - Bua River</v>
          </cell>
          <cell r="F128" t="str">
            <v>M12</v>
          </cell>
          <cell r="G128">
            <v>3</v>
          </cell>
          <cell r="H128">
            <v>14.7</v>
          </cell>
          <cell r="I128" t="str">
            <v>F</v>
          </cell>
          <cell r="J128" t="str">
            <v>MCHINJI</v>
          </cell>
          <cell r="K128">
            <v>6</v>
          </cell>
          <cell r="W128">
            <v>79</v>
          </cell>
          <cell r="X128" t="str">
            <v>DS</v>
          </cell>
          <cell r="Y128">
            <v>250</v>
          </cell>
          <cell r="Z128" t="str">
            <v>GR</v>
          </cell>
          <cell r="AA128">
            <v>100</v>
          </cell>
          <cell r="AB128" t="str">
            <v>GR</v>
          </cell>
          <cell r="AC128">
            <v>25</v>
          </cell>
          <cell r="AD128" t="str">
            <v>VR</v>
          </cell>
          <cell r="AE128">
            <v>91</v>
          </cell>
          <cell r="AF128" t="str">
            <v>SR</v>
          </cell>
          <cell r="AG128" t="str">
            <v>ST</v>
          </cell>
          <cell r="AH128">
            <v>10</v>
          </cell>
          <cell r="AM128">
            <v>4</v>
          </cell>
          <cell r="BO128" t="str">
            <v>RS 077</v>
          </cell>
          <cell r="BP128">
            <v>14.7</v>
          </cell>
          <cell r="BQ128">
            <v>6</v>
          </cell>
          <cell r="BR128" t="str">
            <v>F</v>
          </cell>
          <cell r="BS128" t="str">
            <v>C</v>
          </cell>
          <cell r="BT128">
            <v>0</v>
          </cell>
          <cell r="BU128" t="str">
            <v>ST</v>
          </cell>
          <cell r="BV128" t="str">
            <v>DS</v>
          </cell>
          <cell r="BW128">
            <v>4</v>
          </cell>
          <cell r="BX128">
            <v>10</v>
          </cell>
          <cell r="BY128">
            <v>15</v>
          </cell>
          <cell r="BZ128">
            <v>1</v>
          </cell>
          <cell r="CA128">
            <v>25</v>
          </cell>
          <cell r="CB128">
            <v>1.254</v>
          </cell>
          <cell r="CC128">
            <v>3.3033989240279333</v>
          </cell>
          <cell r="CD128">
            <v>15</v>
          </cell>
          <cell r="CE128">
            <v>0</v>
          </cell>
          <cell r="CF128">
            <v>0</v>
          </cell>
          <cell r="CG128">
            <v>15</v>
          </cell>
          <cell r="CH128">
            <v>0</v>
          </cell>
          <cell r="CI128">
            <v>0.3</v>
          </cell>
          <cell r="CJ128">
            <v>1E-3</v>
          </cell>
          <cell r="CK128">
            <v>1E-3</v>
          </cell>
          <cell r="CL128">
            <v>0</v>
          </cell>
          <cell r="CM128">
            <v>3.876923076923077E-4</v>
          </cell>
          <cell r="CN128">
            <v>3.876923076923077E-4</v>
          </cell>
          <cell r="CO128">
            <v>0</v>
          </cell>
          <cell r="CP128">
            <v>0</v>
          </cell>
          <cell r="CQ128">
            <v>3.3037866163356258</v>
          </cell>
          <cell r="CR128">
            <v>0</v>
          </cell>
          <cell r="CS128">
            <v>1</v>
          </cell>
          <cell r="CT128">
            <v>0</v>
          </cell>
          <cell r="CU128">
            <v>0</v>
          </cell>
          <cell r="CV128">
            <v>7</v>
          </cell>
          <cell r="CW128">
            <v>19</v>
          </cell>
          <cell r="CX128">
            <v>38</v>
          </cell>
          <cell r="CY128">
            <v>2</v>
          </cell>
          <cell r="CZ128">
            <v>1.5</v>
          </cell>
          <cell r="DA128">
            <v>1</v>
          </cell>
          <cell r="DB128">
            <v>390</v>
          </cell>
          <cell r="DC128">
            <v>184</v>
          </cell>
          <cell r="DD128">
            <v>102</v>
          </cell>
          <cell r="DE128">
            <v>30</v>
          </cell>
          <cell r="DF128">
            <v>45</v>
          </cell>
          <cell r="DG128">
            <v>8</v>
          </cell>
          <cell r="DH128">
            <v>4</v>
          </cell>
          <cell r="DI128">
            <v>20</v>
          </cell>
        </row>
        <row r="129">
          <cell r="A129" t="str">
            <v>RS 076</v>
          </cell>
          <cell r="B129">
            <v>76</v>
          </cell>
          <cell r="C129" t="str">
            <v>C</v>
          </cell>
          <cell r="D129" t="str">
            <v>T</v>
          </cell>
          <cell r="E129" t="str">
            <v>Bua River - Namitete River Bridge</v>
          </cell>
          <cell r="F129" t="str">
            <v>M12</v>
          </cell>
          <cell r="G129">
            <v>4</v>
          </cell>
          <cell r="H129">
            <v>27.9</v>
          </cell>
          <cell r="I129" t="str">
            <v>F</v>
          </cell>
          <cell r="J129" t="str">
            <v>MCHINJI</v>
          </cell>
          <cell r="K129">
            <v>6</v>
          </cell>
          <cell r="W129">
            <v>79</v>
          </cell>
          <cell r="X129" t="str">
            <v>DS</v>
          </cell>
          <cell r="Y129">
            <v>250</v>
          </cell>
          <cell r="Z129" t="str">
            <v>GR</v>
          </cell>
          <cell r="AA129">
            <v>100</v>
          </cell>
          <cell r="AB129" t="str">
            <v>GR</v>
          </cell>
          <cell r="AC129">
            <v>25</v>
          </cell>
          <cell r="AD129" t="str">
            <v>VR</v>
          </cell>
          <cell r="AE129">
            <v>91</v>
          </cell>
          <cell r="AF129" t="str">
            <v>SR</v>
          </cell>
          <cell r="AG129" t="str">
            <v>ST</v>
          </cell>
          <cell r="AH129">
            <v>10</v>
          </cell>
          <cell r="AM129">
            <v>4</v>
          </cell>
          <cell r="BO129" t="str">
            <v>RS 076</v>
          </cell>
          <cell r="BP129">
            <v>27.9</v>
          </cell>
          <cell r="BQ129">
            <v>6</v>
          </cell>
          <cell r="BR129" t="str">
            <v>F</v>
          </cell>
          <cell r="BS129" t="str">
            <v>C</v>
          </cell>
          <cell r="BT129">
            <v>0</v>
          </cell>
          <cell r="BU129" t="str">
            <v>ST</v>
          </cell>
          <cell r="BV129" t="str">
            <v>DS</v>
          </cell>
          <cell r="BW129">
            <v>4</v>
          </cell>
          <cell r="BX129">
            <v>10</v>
          </cell>
          <cell r="BY129">
            <v>15</v>
          </cell>
          <cell r="BZ129">
            <v>1</v>
          </cell>
          <cell r="CA129">
            <v>25</v>
          </cell>
          <cell r="CB129">
            <v>1.254</v>
          </cell>
          <cell r="CC129">
            <v>2.9693093575046658</v>
          </cell>
          <cell r="CD129">
            <v>14</v>
          </cell>
          <cell r="CE129">
            <v>2.8</v>
          </cell>
          <cell r="CF129">
            <v>0</v>
          </cell>
          <cell r="CG129">
            <v>14</v>
          </cell>
          <cell r="CH129">
            <v>2.8</v>
          </cell>
          <cell r="CI129">
            <v>1.2</v>
          </cell>
          <cell r="CJ129">
            <v>4.0000000000000001E-3</v>
          </cell>
          <cell r="CK129">
            <v>4.0000000000000001E-3</v>
          </cell>
          <cell r="CL129">
            <v>0</v>
          </cell>
          <cell r="CM129">
            <v>1.5507692307692308E-3</v>
          </cell>
          <cell r="CN129">
            <v>1.5507692307692308E-3</v>
          </cell>
          <cell r="CO129">
            <v>0</v>
          </cell>
          <cell r="CP129">
            <v>0</v>
          </cell>
          <cell r="CQ129">
            <v>2.9708601267354351</v>
          </cell>
          <cell r="CR129">
            <v>0</v>
          </cell>
          <cell r="CS129">
            <v>1.2</v>
          </cell>
          <cell r="CT129">
            <v>0.99999999999999978</v>
          </cell>
          <cell r="CU129">
            <v>0.39999999999999991</v>
          </cell>
          <cell r="CV129">
            <v>7</v>
          </cell>
          <cell r="CW129">
            <v>19</v>
          </cell>
          <cell r="CX129">
            <v>38</v>
          </cell>
          <cell r="CY129">
            <v>2</v>
          </cell>
          <cell r="CZ129">
            <v>1.5</v>
          </cell>
          <cell r="DA129">
            <v>1</v>
          </cell>
          <cell r="DB129">
            <v>390</v>
          </cell>
          <cell r="DC129">
            <v>184</v>
          </cell>
          <cell r="DD129">
            <v>102</v>
          </cell>
          <cell r="DE129">
            <v>30</v>
          </cell>
          <cell r="DF129">
            <v>45</v>
          </cell>
          <cell r="DG129">
            <v>8</v>
          </cell>
          <cell r="DH129">
            <v>4</v>
          </cell>
          <cell r="DI129">
            <v>20</v>
          </cell>
        </row>
        <row r="130">
          <cell r="A130" t="str">
            <v>RS 075</v>
          </cell>
          <cell r="B130">
            <v>75</v>
          </cell>
          <cell r="C130" t="str">
            <v>C</v>
          </cell>
          <cell r="D130" t="str">
            <v>T</v>
          </cell>
          <cell r="E130" t="str">
            <v>Namitete River Bridge - Chileka</v>
          </cell>
          <cell r="F130" t="str">
            <v>M12</v>
          </cell>
          <cell r="G130">
            <v>5</v>
          </cell>
          <cell r="H130">
            <v>4.0999999999999996</v>
          </cell>
          <cell r="I130" t="str">
            <v>R</v>
          </cell>
          <cell r="J130" t="str">
            <v>LILONGWE</v>
          </cell>
          <cell r="K130">
            <v>6</v>
          </cell>
          <cell r="W130">
            <v>79</v>
          </cell>
          <cell r="X130" t="str">
            <v>DS</v>
          </cell>
          <cell r="Y130">
            <v>250</v>
          </cell>
          <cell r="Z130" t="str">
            <v>GR</v>
          </cell>
          <cell r="AA130">
            <v>100</v>
          </cell>
          <cell r="AB130" t="str">
            <v>GR</v>
          </cell>
          <cell r="AC130">
            <v>25</v>
          </cell>
          <cell r="AD130" t="str">
            <v>VR</v>
          </cell>
          <cell r="AE130">
            <v>91</v>
          </cell>
          <cell r="AF130" t="str">
            <v>SR</v>
          </cell>
          <cell r="AG130" t="str">
            <v>ST</v>
          </cell>
          <cell r="AH130">
            <v>10</v>
          </cell>
          <cell r="AM130">
            <v>4</v>
          </cell>
          <cell r="BO130" t="str">
            <v>RS 075</v>
          </cell>
          <cell r="BP130">
            <v>4.0999999999999996</v>
          </cell>
          <cell r="BQ130">
            <v>6</v>
          </cell>
          <cell r="BR130" t="str">
            <v>R</v>
          </cell>
          <cell r="BS130" t="str">
            <v>C</v>
          </cell>
          <cell r="BT130">
            <v>0</v>
          </cell>
          <cell r="BU130" t="str">
            <v>ST</v>
          </cell>
          <cell r="BV130" t="str">
            <v>DS</v>
          </cell>
          <cell r="BW130">
            <v>4</v>
          </cell>
          <cell r="BX130">
            <v>10</v>
          </cell>
          <cell r="BY130">
            <v>15</v>
          </cell>
          <cell r="BZ130">
            <v>1</v>
          </cell>
          <cell r="CA130">
            <v>25</v>
          </cell>
          <cell r="CB130">
            <v>1.254</v>
          </cell>
          <cell r="CC130">
            <v>4.0210929844349206</v>
          </cell>
          <cell r="CD130">
            <v>60</v>
          </cell>
          <cell r="CE130">
            <v>30</v>
          </cell>
          <cell r="CF130">
            <v>15</v>
          </cell>
          <cell r="CG130">
            <v>45</v>
          </cell>
          <cell r="CH130">
            <v>15</v>
          </cell>
          <cell r="CI130">
            <v>0</v>
          </cell>
          <cell r="CJ130">
            <v>0</v>
          </cell>
          <cell r="CK130">
            <v>10</v>
          </cell>
          <cell r="CL130">
            <v>15</v>
          </cell>
          <cell r="CM130">
            <v>0.19923076923076921</v>
          </cell>
          <cell r="CN130">
            <v>0.19923076923076921</v>
          </cell>
          <cell r="CO130">
            <v>0</v>
          </cell>
          <cell r="CP130">
            <v>0</v>
          </cell>
          <cell r="CQ130">
            <v>4.2203237536656895</v>
          </cell>
          <cell r="CR130">
            <v>0</v>
          </cell>
          <cell r="CS130">
            <v>2</v>
          </cell>
          <cell r="CT130">
            <v>5</v>
          </cell>
          <cell r="CU130">
            <v>2</v>
          </cell>
          <cell r="CV130">
            <v>7</v>
          </cell>
          <cell r="CW130">
            <v>19</v>
          </cell>
          <cell r="CX130">
            <v>38</v>
          </cell>
          <cell r="CY130">
            <v>2</v>
          </cell>
          <cell r="CZ130">
            <v>3</v>
          </cell>
          <cell r="DA130">
            <v>1.3</v>
          </cell>
          <cell r="DB130">
            <v>390</v>
          </cell>
          <cell r="DC130">
            <v>184</v>
          </cell>
          <cell r="DD130">
            <v>102</v>
          </cell>
          <cell r="DE130">
            <v>30</v>
          </cell>
          <cell r="DF130">
            <v>45</v>
          </cell>
          <cell r="DG130">
            <v>8</v>
          </cell>
          <cell r="DH130">
            <v>4</v>
          </cell>
          <cell r="DI130">
            <v>20</v>
          </cell>
        </row>
        <row r="131">
          <cell r="A131" t="str">
            <v>RS 836</v>
          </cell>
          <cell r="B131" t="str">
            <v>n.a.</v>
          </cell>
          <cell r="C131" t="str">
            <v>C</v>
          </cell>
          <cell r="D131" t="str">
            <v>T</v>
          </cell>
          <cell r="E131" t="str">
            <v>Chileka - Chankhandwe</v>
          </cell>
          <cell r="F131" t="str">
            <v>M12</v>
          </cell>
          <cell r="G131">
            <v>6</v>
          </cell>
          <cell r="H131">
            <v>31.4</v>
          </cell>
          <cell r="I131" t="str">
            <v>R</v>
          </cell>
          <cell r="J131" t="str">
            <v>LILONGWE</v>
          </cell>
          <cell r="K131">
            <v>6</v>
          </cell>
          <cell r="L131" t="str">
            <v xml:space="preserve">New section part of RS 78 </v>
          </cell>
          <cell r="W131">
            <v>79</v>
          </cell>
          <cell r="X131" t="str">
            <v>DS</v>
          </cell>
          <cell r="Y131">
            <v>250</v>
          </cell>
          <cell r="Z131" t="str">
            <v>GR</v>
          </cell>
          <cell r="AA131">
            <v>100</v>
          </cell>
          <cell r="AB131" t="str">
            <v>GR</v>
          </cell>
          <cell r="AC131">
            <v>25</v>
          </cell>
          <cell r="AD131" t="str">
            <v>VR</v>
          </cell>
          <cell r="AE131">
            <v>91</v>
          </cell>
          <cell r="AF131" t="str">
            <v>SR</v>
          </cell>
          <cell r="AG131" t="str">
            <v>ST</v>
          </cell>
          <cell r="AH131">
            <v>10</v>
          </cell>
          <cell r="AM131">
            <v>4</v>
          </cell>
          <cell r="BO131" t="str">
            <v>RS 836</v>
          </cell>
          <cell r="BP131">
            <v>31.4</v>
          </cell>
          <cell r="BQ131">
            <v>6</v>
          </cell>
          <cell r="BR131" t="str">
            <v>R</v>
          </cell>
          <cell r="BS131" t="str">
            <v>C</v>
          </cell>
          <cell r="BT131">
            <v>0</v>
          </cell>
          <cell r="BU131" t="str">
            <v>ST</v>
          </cell>
          <cell r="BV131" t="str">
            <v>DS</v>
          </cell>
          <cell r="BW131">
            <v>4</v>
          </cell>
          <cell r="BX131">
            <v>10</v>
          </cell>
          <cell r="BY131">
            <v>15</v>
          </cell>
          <cell r="BZ131">
            <v>1</v>
          </cell>
          <cell r="CA131">
            <v>25</v>
          </cell>
          <cell r="CB131">
            <v>1.254</v>
          </cell>
          <cell r="CC131">
            <v>2.98</v>
          </cell>
          <cell r="CD131">
            <v>28</v>
          </cell>
          <cell r="CE131">
            <v>11</v>
          </cell>
          <cell r="CF131">
            <v>0</v>
          </cell>
          <cell r="CG131">
            <v>28</v>
          </cell>
          <cell r="CH131">
            <v>11</v>
          </cell>
          <cell r="CI131">
            <v>0.3</v>
          </cell>
          <cell r="CJ131">
            <v>1E-3</v>
          </cell>
          <cell r="CK131">
            <v>1E-3</v>
          </cell>
          <cell r="CL131">
            <v>0</v>
          </cell>
          <cell r="CM131">
            <v>3.876923076923077E-4</v>
          </cell>
          <cell r="CN131">
            <v>3.876923076923077E-4</v>
          </cell>
          <cell r="CO131">
            <v>0</v>
          </cell>
          <cell r="CP131">
            <v>0</v>
          </cell>
          <cell r="CQ131">
            <v>2.9803876923076924</v>
          </cell>
          <cell r="CR131">
            <v>0</v>
          </cell>
          <cell r="CS131">
            <v>1</v>
          </cell>
          <cell r="CT131">
            <v>0</v>
          </cell>
          <cell r="CU131">
            <v>0</v>
          </cell>
          <cell r="CV131">
            <v>7</v>
          </cell>
          <cell r="CW131">
            <v>19</v>
          </cell>
          <cell r="CX131">
            <v>38</v>
          </cell>
          <cell r="CY131">
            <v>2.5</v>
          </cell>
          <cell r="CZ131">
            <v>1.5</v>
          </cell>
          <cell r="DA131">
            <v>1</v>
          </cell>
          <cell r="DB131">
            <v>500</v>
          </cell>
          <cell r="DC131">
            <v>235</v>
          </cell>
          <cell r="DD131">
            <v>130</v>
          </cell>
          <cell r="DE131">
            <v>38</v>
          </cell>
          <cell r="DF131">
            <v>58</v>
          </cell>
          <cell r="DG131">
            <v>10</v>
          </cell>
          <cell r="DH131">
            <v>5</v>
          </cell>
          <cell r="DI131">
            <v>25</v>
          </cell>
        </row>
        <row r="132">
          <cell r="A132" t="str">
            <v>RS 074</v>
          </cell>
          <cell r="B132">
            <v>74</v>
          </cell>
          <cell r="C132" t="str">
            <v>C</v>
          </cell>
          <cell r="D132" t="str">
            <v>T</v>
          </cell>
          <cell r="E132" t="str">
            <v>Chankhandwe - Njewa</v>
          </cell>
          <cell r="F132" t="str">
            <v>M12</v>
          </cell>
          <cell r="G132">
            <v>7</v>
          </cell>
          <cell r="H132">
            <v>11.3</v>
          </cell>
          <cell r="I132" t="str">
            <v>R</v>
          </cell>
          <cell r="J132" t="str">
            <v>LILONGWE</v>
          </cell>
          <cell r="K132">
            <v>6</v>
          </cell>
          <cell r="W132">
            <v>79</v>
          </cell>
          <cell r="X132" t="str">
            <v>DS</v>
          </cell>
          <cell r="Y132">
            <v>250</v>
          </cell>
          <cell r="Z132" t="str">
            <v>GR</v>
          </cell>
          <cell r="AA132">
            <v>100</v>
          </cell>
          <cell r="AB132" t="str">
            <v>GR</v>
          </cell>
          <cell r="AC132">
            <v>25</v>
          </cell>
          <cell r="AD132" t="str">
            <v>VR</v>
          </cell>
          <cell r="AE132">
            <v>91</v>
          </cell>
          <cell r="AF132" t="str">
            <v>SR</v>
          </cell>
          <cell r="AG132" t="str">
            <v>ST</v>
          </cell>
          <cell r="AH132">
            <v>10</v>
          </cell>
          <cell r="AM132">
            <v>4</v>
          </cell>
          <cell r="BO132" t="str">
            <v>RS 074</v>
          </cell>
          <cell r="BP132">
            <v>11.3</v>
          </cell>
          <cell r="BQ132">
            <v>6</v>
          </cell>
          <cell r="BR132" t="str">
            <v>R</v>
          </cell>
          <cell r="BS132" t="str">
            <v>C</v>
          </cell>
          <cell r="BT132">
            <v>0</v>
          </cell>
          <cell r="BU132" t="str">
            <v>ST</v>
          </cell>
          <cell r="BV132" t="str">
            <v>DS</v>
          </cell>
          <cell r="BW132">
            <v>4</v>
          </cell>
          <cell r="BX132">
            <v>10</v>
          </cell>
          <cell r="BY132">
            <v>15</v>
          </cell>
          <cell r="BZ132">
            <v>1</v>
          </cell>
          <cell r="CA132">
            <v>25</v>
          </cell>
          <cell r="CB132">
            <v>1.254</v>
          </cell>
          <cell r="CC132">
            <v>2.5701163989307867</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2.5701163989307867</v>
          </cell>
          <cell r="CR132">
            <v>0</v>
          </cell>
          <cell r="CS132">
            <v>1</v>
          </cell>
          <cell r="CT132">
            <v>0</v>
          </cell>
          <cell r="CU132">
            <v>0</v>
          </cell>
          <cell r="CV132">
            <v>7</v>
          </cell>
          <cell r="CW132">
            <v>19</v>
          </cell>
          <cell r="CX132">
            <v>38</v>
          </cell>
          <cell r="CY132">
            <v>1.5</v>
          </cell>
          <cell r="CZ132">
            <v>1</v>
          </cell>
          <cell r="DA132">
            <v>1</v>
          </cell>
          <cell r="DB132">
            <v>700</v>
          </cell>
          <cell r="DC132">
            <v>329</v>
          </cell>
          <cell r="DD132">
            <v>182</v>
          </cell>
          <cell r="DE132">
            <v>53</v>
          </cell>
          <cell r="DF132">
            <v>81</v>
          </cell>
          <cell r="DG132">
            <v>14</v>
          </cell>
          <cell r="DH132">
            <v>7</v>
          </cell>
          <cell r="DI132">
            <v>35</v>
          </cell>
        </row>
        <row r="133">
          <cell r="A133" t="str">
            <v>RS 082</v>
          </cell>
          <cell r="B133">
            <v>82</v>
          </cell>
          <cell r="C133" t="str">
            <v>C</v>
          </cell>
          <cell r="D133" t="str">
            <v>T</v>
          </cell>
          <cell r="E133" t="str">
            <v xml:space="preserve">Alimaunde (junction M1) - Lumbadzi River </v>
          </cell>
          <cell r="F133" t="str">
            <v>M14</v>
          </cell>
          <cell r="G133">
            <v>1</v>
          </cell>
          <cell r="H133">
            <v>25</v>
          </cell>
          <cell r="I133" t="str">
            <v>F</v>
          </cell>
          <cell r="J133" t="str">
            <v>LILONGWE</v>
          </cell>
          <cell r="K133">
            <v>6</v>
          </cell>
          <cell r="W133">
            <v>92</v>
          </cell>
          <cell r="X133" t="str">
            <v>DS</v>
          </cell>
          <cell r="Y133">
            <v>150</v>
          </cell>
          <cell r="Z133" t="str">
            <v>SB</v>
          </cell>
          <cell r="AA133">
            <v>150</v>
          </cell>
          <cell r="AB133" t="str">
            <v>SB</v>
          </cell>
          <cell r="AC133">
            <v>7</v>
          </cell>
          <cell r="AD133" t="str">
            <v>VR</v>
          </cell>
          <cell r="AM133">
            <v>1</v>
          </cell>
          <cell r="AN133" t="str">
            <v>never resealed</v>
          </cell>
          <cell r="BO133" t="str">
            <v>RS 082</v>
          </cell>
          <cell r="BP133">
            <v>25</v>
          </cell>
          <cell r="BQ133">
            <v>6.7</v>
          </cell>
          <cell r="BR133" t="str">
            <v>F</v>
          </cell>
          <cell r="BS133" t="str">
            <v>C</v>
          </cell>
          <cell r="BT133">
            <v>0</v>
          </cell>
          <cell r="BU133" t="str">
            <v>DS</v>
          </cell>
          <cell r="BV133" t="str">
            <v/>
          </cell>
          <cell r="BW133">
            <v>1</v>
          </cell>
          <cell r="BX133">
            <v>15</v>
          </cell>
          <cell r="BY133" t="str">
            <v/>
          </cell>
          <cell r="BZ133">
            <v>1</v>
          </cell>
          <cell r="CA133">
            <v>7</v>
          </cell>
          <cell r="CB133">
            <v>1.677</v>
          </cell>
          <cell r="CC133">
            <v>3.56</v>
          </cell>
          <cell r="CD133">
            <v>6</v>
          </cell>
          <cell r="CE133">
            <v>0.05</v>
          </cell>
          <cell r="CF133">
            <v>0</v>
          </cell>
          <cell r="CG133">
            <v>6</v>
          </cell>
          <cell r="CH133">
            <v>0.05</v>
          </cell>
          <cell r="CI133">
            <v>0.5</v>
          </cell>
          <cell r="CJ133">
            <v>1.4925373134328358E-3</v>
          </cell>
          <cell r="CK133">
            <v>1.4925373134328358E-3</v>
          </cell>
          <cell r="CL133">
            <v>0</v>
          </cell>
          <cell r="CM133">
            <v>5.7864523536165326E-4</v>
          </cell>
          <cell r="CN133">
            <v>5.7864523536165326E-4</v>
          </cell>
          <cell r="CO133">
            <v>0</v>
          </cell>
          <cell r="CP133">
            <v>0</v>
          </cell>
          <cell r="CQ133">
            <v>3.5605786452353616</v>
          </cell>
          <cell r="CR133">
            <v>0</v>
          </cell>
          <cell r="CS133">
            <v>1</v>
          </cell>
          <cell r="CT133">
            <v>0</v>
          </cell>
          <cell r="CU133">
            <v>0</v>
          </cell>
          <cell r="CV133">
            <v>6</v>
          </cell>
          <cell r="CW133">
            <v>6</v>
          </cell>
          <cell r="CX133" t="str">
            <v/>
          </cell>
          <cell r="CY133">
            <v>1.8</v>
          </cell>
          <cell r="CZ133">
            <v>1.2</v>
          </cell>
          <cell r="DA133">
            <v>1.2</v>
          </cell>
          <cell r="DB133">
            <v>500</v>
          </cell>
          <cell r="DC133">
            <v>235</v>
          </cell>
          <cell r="DD133">
            <v>130</v>
          </cell>
          <cell r="DE133">
            <v>38</v>
          </cell>
          <cell r="DF133">
            <v>58</v>
          </cell>
          <cell r="DG133">
            <v>10</v>
          </cell>
          <cell r="DH133">
            <v>5</v>
          </cell>
          <cell r="DI133">
            <v>25</v>
          </cell>
        </row>
        <row r="134">
          <cell r="A134" t="str">
            <v>RS 081</v>
          </cell>
          <cell r="B134">
            <v>81</v>
          </cell>
          <cell r="C134" t="str">
            <v>C</v>
          </cell>
          <cell r="D134" t="str">
            <v>T</v>
          </cell>
          <cell r="E134" t="str">
            <v>Lumbadzi River Bridge - Chezi</v>
          </cell>
          <cell r="F134" t="str">
            <v>M14</v>
          </cell>
          <cell r="G134">
            <v>2</v>
          </cell>
          <cell r="H134">
            <v>10.9</v>
          </cell>
          <cell r="I134" t="str">
            <v>F</v>
          </cell>
          <cell r="J134" t="str">
            <v>LILONGWE</v>
          </cell>
          <cell r="K134">
            <v>6</v>
          </cell>
          <cell r="W134">
            <v>92</v>
          </cell>
          <cell r="X134" t="str">
            <v>DS</v>
          </cell>
          <cell r="Y134">
            <v>150</v>
          </cell>
          <cell r="Z134" t="str">
            <v>SB</v>
          </cell>
          <cell r="AA134">
            <v>150</v>
          </cell>
          <cell r="AB134" t="str">
            <v>SB</v>
          </cell>
          <cell r="AC134">
            <v>7</v>
          </cell>
          <cell r="AD134" t="str">
            <v>VR</v>
          </cell>
          <cell r="AM134">
            <v>1</v>
          </cell>
          <cell r="AN134" t="str">
            <v>never resealed</v>
          </cell>
          <cell r="BO134" t="str">
            <v>RS 081</v>
          </cell>
          <cell r="BP134">
            <v>10.9</v>
          </cell>
          <cell r="BQ134">
            <v>6.7</v>
          </cell>
          <cell r="BR134" t="str">
            <v>F</v>
          </cell>
          <cell r="BS134" t="str">
            <v>C</v>
          </cell>
          <cell r="BT134">
            <v>0</v>
          </cell>
          <cell r="BU134" t="str">
            <v>DS</v>
          </cell>
          <cell r="BV134" t="str">
            <v/>
          </cell>
          <cell r="BW134">
            <v>1</v>
          </cell>
          <cell r="BX134">
            <v>15</v>
          </cell>
          <cell r="BY134" t="str">
            <v/>
          </cell>
          <cell r="BZ134">
            <v>1</v>
          </cell>
          <cell r="CA134">
            <v>7</v>
          </cell>
          <cell r="CB134">
            <v>1.677</v>
          </cell>
          <cell r="CC134">
            <v>4.25</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4.25</v>
          </cell>
          <cell r="CR134">
            <v>0</v>
          </cell>
          <cell r="CS134">
            <v>1</v>
          </cell>
          <cell r="CT134">
            <v>0</v>
          </cell>
          <cell r="CU134">
            <v>0</v>
          </cell>
          <cell r="CV134">
            <v>6</v>
          </cell>
          <cell r="CW134">
            <v>6</v>
          </cell>
          <cell r="CX134" t="str">
            <v/>
          </cell>
          <cell r="CY134">
            <v>1.2</v>
          </cell>
          <cell r="CZ134">
            <v>1.1000000000000001</v>
          </cell>
          <cell r="DA134">
            <v>1.2</v>
          </cell>
          <cell r="DB134">
            <v>400</v>
          </cell>
          <cell r="DC134">
            <v>188</v>
          </cell>
          <cell r="DD134">
            <v>104</v>
          </cell>
          <cell r="DE134">
            <v>30</v>
          </cell>
          <cell r="DF134">
            <v>46</v>
          </cell>
          <cell r="DG134">
            <v>8</v>
          </cell>
          <cell r="DH134">
            <v>4</v>
          </cell>
          <cell r="DI134">
            <v>20</v>
          </cell>
        </row>
        <row r="135">
          <cell r="A135" t="str">
            <v>RS 084</v>
          </cell>
          <cell r="B135">
            <v>84</v>
          </cell>
          <cell r="C135" t="str">
            <v>C</v>
          </cell>
          <cell r="D135" t="str">
            <v>T</v>
          </cell>
          <cell r="E135" t="str">
            <v>Chezi - Kachinchezo</v>
          </cell>
          <cell r="F135" t="str">
            <v>M14</v>
          </cell>
          <cell r="G135">
            <v>3</v>
          </cell>
          <cell r="H135">
            <v>9.6</v>
          </cell>
          <cell r="I135" t="str">
            <v>R</v>
          </cell>
          <cell r="J135" t="str">
            <v>DOWA</v>
          </cell>
          <cell r="K135">
            <v>6</v>
          </cell>
          <cell r="W135">
            <v>92</v>
          </cell>
          <cell r="X135" t="str">
            <v>DS</v>
          </cell>
          <cell r="Y135">
            <v>150</v>
          </cell>
          <cell r="Z135" t="str">
            <v>SB</v>
          </cell>
          <cell r="AA135">
            <v>150</v>
          </cell>
          <cell r="AB135" t="str">
            <v>SB</v>
          </cell>
          <cell r="AC135">
            <v>7</v>
          </cell>
          <cell r="AD135" t="str">
            <v>VR</v>
          </cell>
          <cell r="AM135">
            <v>1</v>
          </cell>
          <cell r="AN135" t="str">
            <v>never resealed</v>
          </cell>
          <cell r="BO135" t="str">
            <v>RS 084</v>
          </cell>
          <cell r="BP135">
            <v>9.6</v>
          </cell>
          <cell r="BQ135">
            <v>6.7</v>
          </cell>
          <cell r="BR135" t="str">
            <v>R</v>
          </cell>
          <cell r="BS135" t="str">
            <v>C</v>
          </cell>
          <cell r="BT135">
            <v>0</v>
          </cell>
          <cell r="BU135" t="str">
            <v>DS</v>
          </cell>
          <cell r="BV135" t="str">
            <v/>
          </cell>
          <cell r="BW135">
            <v>1</v>
          </cell>
          <cell r="BX135">
            <v>15</v>
          </cell>
          <cell r="BY135" t="str">
            <v/>
          </cell>
          <cell r="BZ135">
            <v>1</v>
          </cell>
          <cell r="CA135">
            <v>7</v>
          </cell>
          <cell r="CB135">
            <v>1.677</v>
          </cell>
          <cell r="CC135">
            <v>3.66</v>
          </cell>
          <cell r="CD135">
            <v>0</v>
          </cell>
          <cell r="CE135">
            <v>0</v>
          </cell>
          <cell r="CF135">
            <v>0</v>
          </cell>
          <cell r="CG135">
            <v>0</v>
          </cell>
          <cell r="CH135">
            <v>0</v>
          </cell>
          <cell r="CI135">
            <v>0.1</v>
          </cell>
          <cell r="CJ135">
            <v>2.9850746268656722E-4</v>
          </cell>
          <cell r="CK135">
            <v>2.9850746268656722E-4</v>
          </cell>
          <cell r="CL135">
            <v>0</v>
          </cell>
          <cell r="CM135">
            <v>1.1572904707233067E-4</v>
          </cell>
          <cell r="CN135">
            <v>1.1572904707233067E-4</v>
          </cell>
          <cell r="CO135">
            <v>0</v>
          </cell>
          <cell r="CP135">
            <v>0</v>
          </cell>
          <cell r="CQ135">
            <v>3.6601157290470723</v>
          </cell>
          <cell r="CR135">
            <v>0</v>
          </cell>
          <cell r="CS135">
            <v>1</v>
          </cell>
          <cell r="CT135">
            <v>0</v>
          </cell>
          <cell r="CU135">
            <v>0</v>
          </cell>
          <cell r="CV135">
            <v>6</v>
          </cell>
          <cell r="CW135">
            <v>6</v>
          </cell>
          <cell r="CX135" t="str">
            <v/>
          </cell>
          <cell r="CY135">
            <v>1.1000000000000001</v>
          </cell>
          <cell r="CZ135">
            <v>1.1000000000000001</v>
          </cell>
          <cell r="DA135">
            <v>1.1000000000000001</v>
          </cell>
          <cell r="DB135">
            <v>300</v>
          </cell>
          <cell r="DC135">
            <v>141</v>
          </cell>
          <cell r="DD135">
            <v>78</v>
          </cell>
          <cell r="DE135">
            <v>23</v>
          </cell>
          <cell r="DF135">
            <v>35</v>
          </cell>
          <cell r="DG135">
            <v>6</v>
          </cell>
          <cell r="DH135">
            <v>3</v>
          </cell>
          <cell r="DI135">
            <v>15</v>
          </cell>
        </row>
        <row r="136">
          <cell r="A136" t="str">
            <v>RS 216</v>
          </cell>
          <cell r="B136">
            <v>38</v>
          </cell>
          <cell r="C136" t="str">
            <v>C</v>
          </cell>
          <cell r="D136" t="str">
            <v>T</v>
          </cell>
          <cell r="E136" t="str">
            <v>Kachinchezo - Kanyenyeva</v>
          </cell>
          <cell r="F136" t="str">
            <v>M14</v>
          </cell>
          <cell r="G136">
            <v>4</v>
          </cell>
          <cell r="H136">
            <v>10.8</v>
          </cell>
          <cell r="I136" t="str">
            <v>R</v>
          </cell>
          <cell r="J136" t="str">
            <v>DOWA</v>
          </cell>
          <cell r="K136">
            <v>6</v>
          </cell>
          <cell r="L136" t="str">
            <v>Changed designation from M16 to M14</v>
          </cell>
          <cell r="W136">
            <v>92</v>
          </cell>
          <cell r="X136" t="str">
            <v>DS</v>
          </cell>
          <cell r="Y136">
            <v>150</v>
          </cell>
          <cell r="Z136" t="str">
            <v>SB</v>
          </cell>
          <cell r="AA136">
            <v>150</v>
          </cell>
          <cell r="AB136" t="str">
            <v>SB</v>
          </cell>
          <cell r="AC136">
            <v>7</v>
          </cell>
          <cell r="AD136" t="str">
            <v>VR</v>
          </cell>
          <cell r="AM136">
            <v>1</v>
          </cell>
          <cell r="AN136" t="str">
            <v>never resealed</v>
          </cell>
          <cell r="BO136" t="str">
            <v>RS 216</v>
          </cell>
          <cell r="BP136">
            <v>10.8</v>
          </cell>
          <cell r="BQ136">
            <v>6.7</v>
          </cell>
          <cell r="BR136" t="str">
            <v>R</v>
          </cell>
          <cell r="BS136" t="str">
            <v>C</v>
          </cell>
          <cell r="BT136">
            <v>0</v>
          </cell>
          <cell r="BU136" t="str">
            <v>DS</v>
          </cell>
          <cell r="BV136" t="str">
            <v/>
          </cell>
          <cell r="BW136">
            <v>1</v>
          </cell>
          <cell r="BX136">
            <v>15</v>
          </cell>
          <cell r="BY136" t="str">
            <v/>
          </cell>
          <cell r="BZ136">
            <v>1</v>
          </cell>
          <cell r="CA136">
            <v>7</v>
          </cell>
          <cell r="CB136">
            <v>1.677</v>
          </cell>
          <cell r="CC136">
            <v>3.81</v>
          </cell>
          <cell r="CD136">
            <v>0</v>
          </cell>
          <cell r="CE136">
            <v>0</v>
          </cell>
          <cell r="CF136">
            <v>0</v>
          </cell>
          <cell r="CG136">
            <v>0</v>
          </cell>
          <cell r="CH136">
            <v>0</v>
          </cell>
          <cell r="CI136">
            <v>0.1</v>
          </cell>
          <cell r="CJ136">
            <v>2.9850746268656722E-4</v>
          </cell>
          <cell r="CK136">
            <v>2.9850746268656722E-4</v>
          </cell>
          <cell r="CL136">
            <v>0</v>
          </cell>
          <cell r="CM136">
            <v>1.1572904707233067E-4</v>
          </cell>
          <cell r="CN136">
            <v>1.1572904707233067E-4</v>
          </cell>
          <cell r="CO136">
            <v>0</v>
          </cell>
          <cell r="CP136">
            <v>0</v>
          </cell>
          <cell r="CQ136">
            <v>3.8101157290470722</v>
          </cell>
          <cell r="CR136">
            <v>0</v>
          </cell>
          <cell r="CS136">
            <v>1</v>
          </cell>
          <cell r="CT136">
            <v>0</v>
          </cell>
          <cell r="CU136">
            <v>0</v>
          </cell>
          <cell r="CV136">
            <v>6</v>
          </cell>
          <cell r="CW136">
            <v>6</v>
          </cell>
          <cell r="CX136" t="str">
            <v/>
          </cell>
          <cell r="CY136">
            <v>1.1000000000000001</v>
          </cell>
          <cell r="CZ136">
            <v>1.1000000000000001</v>
          </cell>
          <cell r="DA136">
            <v>1.1000000000000001</v>
          </cell>
          <cell r="DB136">
            <v>300</v>
          </cell>
          <cell r="DC136">
            <v>141</v>
          </cell>
          <cell r="DD136">
            <v>78</v>
          </cell>
          <cell r="DE136">
            <v>23</v>
          </cell>
          <cell r="DF136">
            <v>35</v>
          </cell>
          <cell r="DG136">
            <v>6</v>
          </cell>
          <cell r="DH136">
            <v>3</v>
          </cell>
          <cell r="DI136">
            <v>15</v>
          </cell>
        </row>
        <row r="137">
          <cell r="A137" t="str">
            <v>RS 221</v>
          </cell>
          <cell r="B137">
            <v>43</v>
          </cell>
          <cell r="C137" t="str">
            <v>C</v>
          </cell>
          <cell r="D137" t="str">
            <v>T</v>
          </cell>
          <cell r="E137" t="str">
            <v>Kanyenyeva - Chembe Railroad Bridge</v>
          </cell>
          <cell r="F137" t="str">
            <v>M14</v>
          </cell>
          <cell r="G137">
            <v>5</v>
          </cell>
          <cell r="H137">
            <v>1.8</v>
          </cell>
          <cell r="I137" t="str">
            <v>R</v>
          </cell>
          <cell r="J137" t="str">
            <v>DOWA</v>
          </cell>
          <cell r="K137">
            <v>6</v>
          </cell>
          <cell r="L137" t="str">
            <v xml:space="preserve">Changed designation from M16 to M14 </v>
          </cell>
          <cell r="W137">
            <v>92</v>
          </cell>
          <cell r="X137" t="str">
            <v>DS</v>
          </cell>
          <cell r="Y137">
            <v>150</v>
          </cell>
          <cell r="Z137" t="str">
            <v>SB</v>
          </cell>
          <cell r="AA137">
            <v>150</v>
          </cell>
          <cell r="AB137" t="str">
            <v>SB</v>
          </cell>
          <cell r="AC137">
            <v>7</v>
          </cell>
          <cell r="AD137" t="str">
            <v>VR</v>
          </cell>
          <cell r="AM137">
            <v>1</v>
          </cell>
          <cell r="AN137" t="str">
            <v>never resealed</v>
          </cell>
          <cell r="BO137" t="str">
            <v>RS 221</v>
          </cell>
          <cell r="BP137">
            <v>1.8</v>
          </cell>
          <cell r="BQ137">
            <v>8</v>
          </cell>
          <cell r="BR137" t="str">
            <v>R</v>
          </cell>
          <cell r="BS137" t="str">
            <v>C</v>
          </cell>
          <cell r="BT137">
            <v>1</v>
          </cell>
          <cell r="BU137" t="str">
            <v>DS</v>
          </cell>
          <cell r="BV137" t="str">
            <v/>
          </cell>
          <cell r="BW137">
            <v>1</v>
          </cell>
          <cell r="BX137">
            <v>15</v>
          </cell>
          <cell r="BY137" t="str">
            <v/>
          </cell>
          <cell r="BZ137">
            <v>1</v>
          </cell>
          <cell r="CA137">
            <v>7</v>
          </cell>
          <cell r="CB137">
            <v>1.677</v>
          </cell>
          <cell r="CC137">
            <v>3.8</v>
          </cell>
          <cell r="CD137">
            <v>0</v>
          </cell>
          <cell r="CE137">
            <v>0</v>
          </cell>
          <cell r="CF137">
            <v>0</v>
          </cell>
          <cell r="CG137">
            <v>0</v>
          </cell>
          <cell r="CH137">
            <v>0</v>
          </cell>
          <cell r="CI137">
            <v>0.15</v>
          </cell>
          <cell r="CJ137">
            <v>3.7499999999999995E-4</v>
          </cell>
          <cell r="CK137">
            <v>3.7499999999999995E-4</v>
          </cell>
          <cell r="CL137">
            <v>0</v>
          </cell>
          <cell r="CM137">
            <v>1.4538461538461537E-4</v>
          </cell>
          <cell r="CN137">
            <v>1.4538461538461537E-4</v>
          </cell>
          <cell r="CO137">
            <v>0</v>
          </cell>
          <cell r="CP137">
            <v>0</v>
          </cell>
          <cell r="CQ137">
            <v>3.8001453846153845</v>
          </cell>
          <cell r="CR137">
            <v>0</v>
          </cell>
          <cell r="CS137">
            <v>1</v>
          </cell>
          <cell r="CT137">
            <v>0</v>
          </cell>
          <cell r="CU137">
            <v>0</v>
          </cell>
          <cell r="CV137">
            <v>6</v>
          </cell>
          <cell r="CW137">
            <v>6</v>
          </cell>
          <cell r="CX137" t="str">
            <v/>
          </cell>
          <cell r="CY137">
            <v>1.1000000000000001</v>
          </cell>
          <cell r="CZ137">
            <v>1.1000000000000001</v>
          </cell>
          <cell r="DA137">
            <v>1.1000000000000001</v>
          </cell>
          <cell r="DB137">
            <v>300</v>
          </cell>
          <cell r="DC137">
            <v>141</v>
          </cell>
          <cell r="DD137">
            <v>78</v>
          </cell>
          <cell r="DE137">
            <v>23</v>
          </cell>
          <cell r="DF137">
            <v>35</v>
          </cell>
          <cell r="DG137">
            <v>6</v>
          </cell>
          <cell r="DH137">
            <v>3</v>
          </cell>
          <cell r="DI137">
            <v>15</v>
          </cell>
        </row>
        <row r="138">
          <cell r="A138" t="str">
            <v>RS 060</v>
          </cell>
          <cell r="B138">
            <v>60</v>
          </cell>
          <cell r="C138" t="str">
            <v>C</v>
          </cell>
          <cell r="D138" t="str">
            <v>T</v>
          </cell>
          <cell r="E138" t="str">
            <v>Chembe Railroad Bridge - Makande</v>
          </cell>
          <cell r="F138" t="str">
            <v>M14</v>
          </cell>
          <cell r="G138">
            <v>6</v>
          </cell>
          <cell r="H138">
            <v>6.8</v>
          </cell>
          <cell r="I138" t="str">
            <v>F</v>
          </cell>
          <cell r="J138" t="str">
            <v>SALIMA</v>
          </cell>
          <cell r="K138">
            <v>6</v>
          </cell>
          <cell r="L138" t="str">
            <v>Changed designation from M5 to M14</v>
          </cell>
          <cell r="W138">
            <v>92</v>
          </cell>
          <cell r="X138" t="str">
            <v>DS</v>
          </cell>
          <cell r="Y138">
            <v>150</v>
          </cell>
          <cell r="Z138" t="str">
            <v>SB</v>
          </cell>
          <cell r="AA138">
            <v>150</v>
          </cell>
          <cell r="AB138" t="str">
            <v>SB</v>
          </cell>
          <cell r="AC138">
            <v>7</v>
          </cell>
          <cell r="AD138" t="str">
            <v>VR</v>
          </cell>
          <cell r="AM138">
            <v>1</v>
          </cell>
          <cell r="AN138" t="str">
            <v>never resealed</v>
          </cell>
          <cell r="BO138" t="str">
            <v>RS 060</v>
          </cell>
          <cell r="BP138">
            <v>6.8</v>
          </cell>
          <cell r="BQ138">
            <v>6.7</v>
          </cell>
          <cell r="BR138" t="str">
            <v>F</v>
          </cell>
          <cell r="BS138" t="str">
            <v>C</v>
          </cell>
          <cell r="BT138">
            <v>0</v>
          </cell>
          <cell r="BU138" t="str">
            <v>DS</v>
          </cell>
          <cell r="BV138" t="str">
            <v/>
          </cell>
          <cell r="BW138">
            <v>1</v>
          </cell>
          <cell r="BX138">
            <v>15</v>
          </cell>
          <cell r="BY138" t="str">
            <v/>
          </cell>
          <cell r="BZ138">
            <v>1</v>
          </cell>
          <cell r="CA138">
            <v>7</v>
          </cell>
          <cell r="CB138">
            <v>1.677</v>
          </cell>
          <cell r="CC138">
            <v>4.38</v>
          </cell>
          <cell r="CD138">
            <v>0</v>
          </cell>
          <cell r="CE138">
            <v>0</v>
          </cell>
          <cell r="CF138">
            <v>0</v>
          </cell>
          <cell r="CG138">
            <v>0</v>
          </cell>
          <cell r="CH138">
            <v>0</v>
          </cell>
          <cell r="CI138">
            <v>0.2</v>
          </cell>
          <cell r="CJ138">
            <v>5.9701492537313444E-4</v>
          </cell>
          <cell r="CK138">
            <v>5.9701492537313444E-4</v>
          </cell>
          <cell r="CL138">
            <v>0</v>
          </cell>
          <cell r="CM138">
            <v>2.3145809414466134E-4</v>
          </cell>
          <cell r="CN138">
            <v>2.3145809414466134E-4</v>
          </cell>
          <cell r="CO138">
            <v>0</v>
          </cell>
          <cell r="CP138">
            <v>0</v>
          </cell>
          <cell r="CQ138">
            <v>4.3802314580941442</v>
          </cell>
          <cell r="CR138">
            <v>0</v>
          </cell>
          <cell r="CS138">
            <v>1</v>
          </cell>
          <cell r="CT138">
            <v>0</v>
          </cell>
          <cell r="CU138">
            <v>0</v>
          </cell>
          <cell r="CV138">
            <v>6</v>
          </cell>
          <cell r="CW138">
            <v>6</v>
          </cell>
          <cell r="CX138" t="str">
            <v/>
          </cell>
          <cell r="CY138">
            <v>1.1000000000000001</v>
          </cell>
          <cell r="CZ138">
            <v>1.1000000000000001</v>
          </cell>
          <cell r="DA138">
            <v>1.1000000000000001</v>
          </cell>
          <cell r="DB138">
            <v>300</v>
          </cell>
          <cell r="DC138">
            <v>141</v>
          </cell>
          <cell r="DD138">
            <v>78</v>
          </cell>
          <cell r="DE138">
            <v>23</v>
          </cell>
          <cell r="DF138">
            <v>35</v>
          </cell>
          <cell r="DG138">
            <v>6</v>
          </cell>
          <cell r="DH138">
            <v>3</v>
          </cell>
          <cell r="DI138">
            <v>15</v>
          </cell>
        </row>
        <row r="139">
          <cell r="A139" t="str">
            <v>RS 045</v>
          </cell>
          <cell r="B139">
            <v>45</v>
          </cell>
          <cell r="C139" t="str">
            <v>C</v>
          </cell>
          <cell r="D139" t="str">
            <v>T</v>
          </cell>
          <cell r="E139" t="str">
            <v>Makande - Kaphatenga</v>
          </cell>
          <cell r="F139" t="str">
            <v>M14</v>
          </cell>
          <cell r="G139">
            <v>7</v>
          </cell>
          <cell r="H139">
            <v>4.5999999999999996</v>
          </cell>
          <cell r="I139" t="str">
            <v>F</v>
          </cell>
          <cell r="J139" t="str">
            <v>SALIMA</v>
          </cell>
          <cell r="K139">
            <v>6</v>
          </cell>
          <cell r="L139" t="str">
            <v>Changed designation from M5 to M14</v>
          </cell>
          <cell r="W139">
            <v>92</v>
          </cell>
          <cell r="X139" t="str">
            <v>DS</v>
          </cell>
          <cell r="Y139">
            <v>150</v>
          </cell>
          <cell r="Z139" t="str">
            <v>SB</v>
          </cell>
          <cell r="AA139">
            <v>150</v>
          </cell>
          <cell r="AB139" t="str">
            <v>SB</v>
          </cell>
          <cell r="AC139">
            <v>7</v>
          </cell>
          <cell r="AD139" t="str">
            <v>VR</v>
          </cell>
          <cell r="AM139">
            <v>1</v>
          </cell>
          <cell r="AN139" t="str">
            <v>never resealed</v>
          </cell>
          <cell r="BO139" t="str">
            <v>RS 045</v>
          </cell>
          <cell r="BP139">
            <v>4.5999999999999996</v>
          </cell>
          <cell r="BQ139">
            <v>6.7</v>
          </cell>
          <cell r="BR139" t="str">
            <v>F</v>
          </cell>
          <cell r="BS139" t="str">
            <v>C</v>
          </cell>
          <cell r="BT139">
            <v>0</v>
          </cell>
          <cell r="BU139" t="str">
            <v>DS</v>
          </cell>
          <cell r="BV139" t="str">
            <v/>
          </cell>
          <cell r="BW139">
            <v>1</v>
          </cell>
          <cell r="BX139">
            <v>15</v>
          </cell>
          <cell r="BY139" t="str">
            <v/>
          </cell>
          <cell r="BZ139">
            <v>1</v>
          </cell>
          <cell r="CA139">
            <v>7</v>
          </cell>
          <cell r="CB139">
            <v>1.677</v>
          </cell>
          <cell r="CC139">
            <v>4</v>
          </cell>
          <cell r="CD139">
            <v>0</v>
          </cell>
          <cell r="CE139">
            <v>0</v>
          </cell>
          <cell r="CF139">
            <v>0</v>
          </cell>
          <cell r="CG139">
            <v>0</v>
          </cell>
          <cell r="CH139">
            <v>0</v>
          </cell>
          <cell r="CI139">
            <v>0.1</v>
          </cell>
          <cell r="CJ139">
            <v>2.9850746268656722E-4</v>
          </cell>
          <cell r="CK139">
            <v>2.9850746268656722E-4</v>
          </cell>
          <cell r="CL139">
            <v>0</v>
          </cell>
          <cell r="CM139">
            <v>1.1572904707233067E-4</v>
          </cell>
          <cell r="CN139">
            <v>1.1572904707233067E-4</v>
          </cell>
          <cell r="CO139">
            <v>0</v>
          </cell>
          <cell r="CP139">
            <v>0</v>
          </cell>
          <cell r="CQ139">
            <v>4.0001157290470726</v>
          </cell>
          <cell r="CR139">
            <v>0</v>
          </cell>
          <cell r="CS139">
            <v>1</v>
          </cell>
          <cell r="CT139">
            <v>0</v>
          </cell>
          <cell r="CU139">
            <v>0</v>
          </cell>
          <cell r="CV139">
            <v>6</v>
          </cell>
          <cell r="CW139">
            <v>6</v>
          </cell>
          <cell r="CX139" t="str">
            <v/>
          </cell>
          <cell r="CY139">
            <v>1.1000000000000001</v>
          </cell>
          <cell r="CZ139">
            <v>1.1000000000000001</v>
          </cell>
          <cell r="DA139">
            <v>1.1000000000000001</v>
          </cell>
          <cell r="DB139">
            <v>300</v>
          </cell>
          <cell r="DC139">
            <v>141</v>
          </cell>
          <cell r="DD139">
            <v>78</v>
          </cell>
          <cell r="DE139">
            <v>23</v>
          </cell>
          <cell r="DF139">
            <v>35</v>
          </cell>
          <cell r="DG139">
            <v>6</v>
          </cell>
          <cell r="DH139">
            <v>3</v>
          </cell>
          <cell r="DI139">
            <v>15</v>
          </cell>
        </row>
        <row r="140">
          <cell r="A140" t="str">
            <v>RS 260</v>
          </cell>
          <cell r="B140">
            <v>82</v>
          </cell>
          <cell r="C140" t="str">
            <v>C</v>
          </cell>
          <cell r="D140" t="str">
            <v>T</v>
          </cell>
          <cell r="E140" t="str">
            <v>Chiwengo - Kasungu</v>
          </cell>
          <cell r="F140" t="str">
            <v>M18</v>
          </cell>
          <cell r="G140">
            <v>1</v>
          </cell>
          <cell r="H140">
            <v>9.4</v>
          </cell>
          <cell r="I140" t="str">
            <v>F</v>
          </cell>
          <cell r="J140" t="str">
            <v>KASUNGU</v>
          </cell>
          <cell r="K140">
            <v>5</v>
          </cell>
          <cell r="L140" t="str">
            <v xml:space="preserve">Changed designation from S120 to M18 </v>
          </cell>
          <cell r="W140">
            <v>97</v>
          </cell>
          <cell r="X140" t="str">
            <v>DS</v>
          </cell>
          <cell r="Y140">
            <v>150</v>
          </cell>
          <cell r="Z140" t="str">
            <v>GR</v>
          </cell>
          <cell r="AA140">
            <v>100</v>
          </cell>
          <cell r="AB140" t="str">
            <v>GR</v>
          </cell>
          <cell r="AC140">
            <v>5</v>
          </cell>
          <cell r="AD140" t="str">
            <v>AM</v>
          </cell>
          <cell r="AM140">
            <v>1</v>
          </cell>
          <cell r="AN140" t="str">
            <v>never resealed</v>
          </cell>
          <cell r="BO140" t="str">
            <v>RS 260</v>
          </cell>
          <cell r="BP140">
            <v>9.4</v>
          </cell>
          <cell r="BQ140">
            <v>6.7</v>
          </cell>
          <cell r="BR140" t="str">
            <v>F</v>
          </cell>
          <cell r="BT140">
            <v>0</v>
          </cell>
          <cell r="BU140" t="str">
            <v>DS</v>
          </cell>
          <cell r="BV140" t="str">
            <v/>
          </cell>
          <cell r="BW140">
            <v>1</v>
          </cell>
          <cell r="BX140">
            <v>15</v>
          </cell>
          <cell r="BY140" t="str">
            <v/>
          </cell>
          <cell r="BZ140">
            <v>1</v>
          </cell>
          <cell r="CA140">
            <v>5</v>
          </cell>
          <cell r="CB140">
            <v>1.077</v>
          </cell>
          <cell r="CC140">
            <v>2.8</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2.8</v>
          </cell>
          <cell r="CR140">
            <v>0</v>
          </cell>
          <cell r="CS140">
            <v>1</v>
          </cell>
          <cell r="CT140">
            <v>0</v>
          </cell>
          <cell r="CU140">
            <v>0</v>
          </cell>
          <cell r="CV140">
            <v>1</v>
          </cell>
          <cell r="CW140">
            <v>1</v>
          </cell>
          <cell r="CX140" t="str">
            <v/>
          </cell>
          <cell r="CY140">
            <v>1</v>
          </cell>
          <cell r="CZ140">
            <v>1</v>
          </cell>
          <cell r="DA140">
            <v>1</v>
          </cell>
          <cell r="DB140">
            <v>100</v>
          </cell>
          <cell r="DC140">
            <v>47</v>
          </cell>
          <cell r="DD140">
            <v>26</v>
          </cell>
          <cell r="DE140">
            <v>8</v>
          </cell>
          <cell r="DF140">
            <v>12</v>
          </cell>
          <cell r="DG140">
            <v>2</v>
          </cell>
          <cell r="DH140">
            <v>1</v>
          </cell>
          <cell r="DI140">
            <v>5</v>
          </cell>
        </row>
        <row r="141">
          <cell r="A141" t="str">
            <v>RS 008</v>
          </cell>
          <cell r="B141" t="str">
            <v>8</v>
          </cell>
          <cell r="C141" t="str">
            <v>N</v>
          </cell>
          <cell r="D141" t="str">
            <v>T</v>
          </cell>
          <cell r="E141" t="str">
            <v>Bwengu (junction M1) - Njakwa</v>
          </cell>
          <cell r="F141" t="str">
            <v>M24</v>
          </cell>
          <cell r="G141">
            <v>1</v>
          </cell>
          <cell r="H141">
            <v>1.5</v>
          </cell>
          <cell r="I141" t="str">
            <v>R</v>
          </cell>
          <cell r="J141" t="str">
            <v>RUMPHI</v>
          </cell>
          <cell r="K141">
            <v>3</v>
          </cell>
          <cell r="W141">
            <v>80</v>
          </cell>
          <cell r="X141" t="str">
            <v>DS</v>
          </cell>
          <cell r="Y141">
            <v>150</v>
          </cell>
          <cell r="Z141" t="str">
            <v>SB</v>
          </cell>
          <cell r="AA141">
            <v>100</v>
          </cell>
          <cell r="AB141" t="str">
            <v>GR</v>
          </cell>
          <cell r="AC141">
            <v>13</v>
          </cell>
          <cell r="AD141" t="str">
            <v>VR</v>
          </cell>
          <cell r="AE141">
            <v>87</v>
          </cell>
          <cell r="AF141" t="str">
            <v>SR</v>
          </cell>
          <cell r="AG141" t="str">
            <v>ST</v>
          </cell>
          <cell r="AH141">
            <v>10</v>
          </cell>
          <cell r="AM141">
            <v>4</v>
          </cell>
          <cell r="BO141" t="str">
            <v>RS 008</v>
          </cell>
          <cell r="BP141">
            <v>1.5</v>
          </cell>
          <cell r="BQ141">
            <v>6.7</v>
          </cell>
          <cell r="BR141" t="str">
            <v>R</v>
          </cell>
          <cell r="BT141">
            <v>0</v>
          </cell>
          <cell r="BU141" t="str">
            <v>ST</v>
          </cell>
          <cell r="BV141" t="str">
            <v>DS</v>
          </cell>
          <cell r="BW141">
            <v>4</v>
          </cell>
          <cell r="BX141">
            <v>10</v>
          </cell>
          <cell r="BY141">
            <v>15</v>
          </cell>
          <cell r="BZ141">
            <v>1</v>
          </cell>
          <cell r="CA141">
            <v>13</v>
          </cell>
          <cell r="CB141">
            <v>1.3540000000000001</v>
          </cell>
          <cell r="CC141">
            <v>5.5</v>
          </cell>
          <cell r="CD141">
            <v>80</v>
          </cell>
          <cell r="CE141">
            <v>30</v>
          </cell>
          <cell r="CF141">
            <v>15</v>
          </cell>
          <cell r="CG141">
            <v>65</v>
          </cell>
          <cell r="CH141">
            <v>15</v>
          </cell>
          <cell r="CI141">
            <v>85</v>
          </cell>
          <cell r="CJ141">
            <v>0.2537313432835821</v>
          </cell>
          <cell r="CK141">
            <v>10</v>
          </cell>
          <cell r="CL141">
            <v>15</v>
          </cell>
          <cell r="CM141">
            <v>0.29506314580941445</v>
          </cell>
          <cell r="CN141">
            <v>0.29506314580941445</v>
          </cell>
          <cell r="CO141">
            <v>0</v>
          </cell>
          <cell r="CP141">
            <v>0</v>
          </cell>
          <cell r="CQ141">
            <v>5.7950631458094142</v>
          </cell>
          <cell r="CR141">
            <v>5</v>
          </cell>
          <cell r="CS141">
            <v>1</v>
          </cell>
          <cell r="CT141">
            <v>0</v>
          </cell>
          <cell r="CU141">
            <v>0</v>
          </cell>
          <cell r="CV141">
            <v>11</v>
          </cell>
          <cell r="CW141">
            <v>18</v>
          </cell>
          <cell r="CX141">
            <v>36</v>
          </cell>
          <cell r="CY141">
            <v>2</v>
          </cell>
          <cell r="CZ141">
            <v>2</v>
          </cell>
          <cell r="DA141">
            <v>2</v>
          </cell>
          <cell r="DB141">
            <v>119</v>
          </cell>
          <cell r="DC141">
            <v>56</v>
          </cell>
          <cell r="DD141">
            <v>31</v>
          </cell>
          <cell r="DE141">
            <v>9</v>
          </cell>
          <cell r="DF141">
            <v>14</v>
          </cell>
          <cell r="DG141">
            <v>3</v>
          </cell>
          <cell r="DH141">
            <v>2</v>
          </cell>
          <cell r="DI141">
            <v>6</v>
          </cell>
        </row>
        <row r="142">
          <cell r="A142" t="str">
            <v>RS 009</v>
          </cell>
          <cell r="B142" t="str">
            <v>9</v>
          </cell>
          <cell r="C142" t="str">
            <v>N</v>
          </cell>
          <cell r="D142" t="str">
            <v>T</v>
          </cell>
          <cell r="E142" t="str">
            <v>Njakwa - Rumphi</v>
          </cell>
          <cell r="F142" t="str">
            <v>M24</v>
          </cell>
          <cell r="G142">
            <v>2</v>
          </cell>
          <cell r="H142">
            <v>8.5</v>
          </cell>
          <cell r="I142" t="str">
            <v>R</v>
          </cell>
          <cell r="J142" t="str">
            <v>RUMPHI</v>
          </cell>
          <cell r="K142">
            <v>3</v>
          </cell>
          <cell r="W142">
            <v>80</v>
          </cell>
          <cell r="X142" t="str">
            <v>DS</v>
          </cell>
          <cell r="Y142">
            <v>150</v>
          </cell>
          <cell r="Z142" t="str">
            <v>SB</v>
          </cell>
          <cell r="AA142">
            <v>100</v>
          </cell>
          <cell r="AB142" t="str">
            <v>GR</v>
          </cell>
          <cell r="AC142">
            <v>13</v>
          </cell>
          <cell r="AD142" t="str">
            <v>VR</v>
          </cell>
          <cell r="AE142">
            <v>87</v>
          </cell>
          <cell r="AF142" t="str">
            <v>SR</v>
          </cell>
          <cell r="AG142" t="str">
            <v>ST</v>
          </cell>
          <cell r="AH142">
            <v>10</v>
          </cell>
          <cell r="AM142">
            <v>4</v>
          </cell>
          <cell r="BO142" t="str">
            <v>RS 009</v>
          </cell>
          <cell r="BP142">
            <v>8.5</v>
          </cell>
          <cell r="BQ142">
            <v>6.7</v>
          </cell>
          <cell r="BR142" t="str">
            <v>R</v>
          </cell>
          <cell r="BT142">
            <v>0</v>
          </cell>
          <cell r="BU142" t="str">
            <v>ST</v>
          </cell>
          <cell r="BV142" t="str">
            <v>DS</v>
          </cell>
          <cell r="BW142">
            <v>4</v>
          </cell>
          <cell r="BX142">
            <v>10</v>
          </cell>
          <cell r="BY142">
            <v>15</v>
          </cell>
          <cell r="BZ142">
            <v>1</v>
          </cell>
          <cell r="CA142">
            <v>13</v>
          </cell>
          <cell r="CB142">
            <v>1.3540000000000001</v>
          </cell>
          <cell r="CC142">
            <v>5.5</v>
          </cell>
          <cell r="CD142">
            <v>70</v>
          </cell>
          <cell r="CE142">
            <v>40</v>
          </cell>
          <cell r="CF142">
            <v>25</v>
          </cell>
          <cell r="CG142">
            <v>45</v>
          </cell>
          <cell r="CH142">
            <v>15</v>
          </cell>
          <cell r="CI142">
            <v>90</v>
          </cell>
          <cell r="CJ142">
            <v>0.26865671641791045</v>
          </cell>
          <cell r="CK142">
            <v>10</v>
          </cell>
          <cell r="CL142">
            <v>25</v>
          </cell>
          <cell r="CM142">
            <v>0.36685419058553392</v>
          </cell>
          <cell r="CN142">
            <v>0.36685419058553392</v>
          </cell>
          <cell r="CO142">
            <v>0</v>
          </cell>
          <cell r="CP142">
            <v>0</v>
          </cell>
          <cell r="CQ142">
            <v>5.866854190585534</v>
          </cell>
          <cell r="CR142">
            <v>5</v>
          </cell>
          <cell r="CS142">
            <v>1</v>
          </cell>
          <cell r="CT142">
            <v>0</v>
          </cell>
          <cell r="CU142">
            <v>0</v>
          </cell>
          <cell r="CV142">
            <v>11</v>
          </cell>
          <cell r="CW142">
            <v>18</v>
          </cell>
          <cell r="CX142">
            <v>36</v>
          </cell>
          <cell r="CY142">
            <v>2</v>
          </cell>
          <cell r="CZ142">
            <v>2</v>
          </cell>
          <cell r="DA142">
            <v>2</v>
          </cell>
          <cell r="DB142">
            <v>119</v>
          </cell>
          <cell r="DC142">
            <v>56</v>
          </cell>
          <cell r="DD142">
            <v>31</v>
          </cell>
          <cell r="DE142">
            <v>9</v>
          </cell>
          <cell r="DF142">
            <v>14</v>
          </cell>
          <cell r="DG142">
            <v>3</v>
          </cell>
          <cell r="DH142">
            <v>2</v>
          </cell>
          <cell r="DI142">
            <v>6</v>
          </cell>
        </row>
        <row r="143">
          <cell r="A143" t="str">
            <v>RS 592</v>
          </cell>
          <cell r="B143">
            <v>414</v>
          </cell>
          <cell r="C143" t="str">
            <v>C</v>
          </cell>
          <cell r="D143" t="str">
            <v>T</v>
          </cell>
          <cell r="E143" t="str">
            <v>Kia - Kia Turn Off (Lilongwe airport road)</v>
          </cell>
          <cell r="F143" t="str">
            <v>M30</v>
          </cell>
          <cell r="G143">
            <v>1</v>
          </cell>
          <cell r="H143">
            <v>4.3</v>
          </cell>
          <cell r="I143" t="str">
            <v>F</v>
          </cell>
          <cell r="J143" t="str">
            <v>LILONGWE</v>
          </cell>
          <cell r="K143">
            <v>6</v>
          </cell>
          <cell r="L143" t="str">
            <v>Changed designation from T361 to M30</v>
          </cell>
          <cell r="W143">
            <v>85</v>
          </cell>
          <cell r="X143" t="str">
            <v>DS</v>
          </cell>
          <cell r="Y143">
            <v>150</v>
          </cell>
          <cell r="Z143" t="str">
            <v>GR</v>
          </cell>
          <cell r="AA143">
            <v>100</v>
          </cell>
          <cell r="AB143" t="str">
            <v>GR</v>
          </cell>
          <cell r="AC143">
            <v>25</v>
          </cell>
          <cell r="AD143" t="str">
            <v>PM</v>
          </cell>
          <cell r="AM143">
            <v>1</v>
          </cell>
          <cell r="BO143" t="str">
            <v>RS 592</v>
          </cell>
          <cell r="BP143">
            <v>4.3</v>
          </cell>
          <cell r="BQ143">
            <v>6.7</v>
          </cell>
          <cell r="BR143" t="str">
            <v>F</v>
          </cell>
          <cell r="BT143">
            <v>0</v>
          </cell>
          <cell r="BU143" t="str">
            <v>DS</v>
          </cell>
          <cell r="BV143" t="str">
            <v/>
          </cell>
          <cell r="BW143">
            <v>1</v>
          </cell>
          <cell r="BX143">
            <v>15</v>
          </cell>
          <cell r="BY143" t="str">
            <v/>
          </cell>
          <cell r="BZ143">
            <v>1</v>
          </cell>
          <cell r="CA143">
            <v>25</v>
          </cell>
          <cell r="CB143">
            <v>1.077</v>
          </cell>
          <cell r="CC143">
            <v>3.55</v>
          </cell>
          <cell r="CD143">
            <v>15</v>
          </cell>
          <cell r="CE143">
            <v>0</v>
          </cell>
          <cell r="CF143">
            <v>0</v>
          </cell>
          <cell r="CG143">
            <v>15</v>
          </cell>
          <cell r="CH143">
            <v>0</v>
          </cell>
          <cell r="CI143">
            <v>0</v>
          </cell>
          <cell r="CJ143">
            <v>0</v>
          </cell>
          <cell r="CK143">
            <v>0</v>
          </cell>
          <cell r="CL143">
            <v>0</v>
          </cell>
          <cell r="CM143">
            <v>0</v>
          </cell>
          <cell r="CN143">
            <v>0</v>
          </cell>
          <cell r="CO143">
            <v>0</v>
          </cell>
          <cell r="CP143">
            <v>0</v>
          </cell>
          <cell r="CQ143">
            <v>3.55</v>
          </cell>
          <cell r="CR143">
            <v>1</v>
          </cell>
          <cell r="CT143">
            <v>0</v>
          </cell>
          <cell r="CU143">
            <v>0</v>
          </cell>
          <cell r="CV143">
            <v>13</v>
          </cell>
          <cell r="CW143">
            <v>13</v>
          </cell>
          <cell r="CX143" t="str">
            <v/>
          </cell>
          <cell r="CY143">
            <v>1</v>
          </cell>
          <cell r="CZ143">
            <v>1</v>
          </cell>
          <cell r="DA143">
            <v>1</v>
          </cell>
          <cell r="DB143">
            <v>500</v>
          </cell>
          <cell r="DC143">
            <v>235</v>
          </cell>
          <cell r="DD143">
            <v>130</v>
          </cell>
          <cell r="DE143">
            <v>38</v>
          </cell>
          <cell r="DF143">
            <v>58</v>
          </cell>
          <cell r="DG143">
            <v>10</v>
          </cell>
          <cell r="DH143">
            <v>5</v>
          </cell>
          <cell r="DI143">
            <v>25</v>
          </cell>
        </row>
        <row r="144">
          <cell r="A144" t="str">
            <v>RS 194</v>
          </cell>
          <cell r="B144">
            <v>16</v>
          </cell>
          <cell r="C144" t="str">
            <v>N</v>
          </cell>
          <cell r="D144" t="str">
            <v>T</v>
          </cell>
          <cell r="E144" t="str">
            <v>Chilumba Jetty - junction M1</v>
          </cell>
          <cell r="F144" t="str">
            <v>S102</v>
          </cell>
          <cell r="G144">
            <v>1</v>
          </cell>
          <cell r="H144">
            <v>5.9</v>
          </cell>
          <cell r="I144" t="str">
            <v>F</v>
          </cell>
          <cell r="J144" t="str">
            <v>KARONGA</v>
          </cell>
          <cell r="K144">
            <v>2</v>
          </cell>
          <cell r="W144">
            <v>80</v>
          </cell>
          <cell r="X144" t="str">
            <v>ST</v>
          </cell>
          <cell r="Y144">
            <v>100</v>
          </cell>
          <cell r="Z144" t="str">
            <v>GR</v>
          </cell>
          <cell r="AA144">
            <v>100</v>
          </cell>
          <cell r="AB144" t="str">
            <v>GR</v>
          </cell>
          <cell r="AC144">
            <v>10</v>
          </cell>
          <cell r="AD144" t="str">
            <v>PM</v>
          </cell>
          <cell r="AM144">
            <v>1</v>
          </cell>
          <cell r="BO144" t="str">
            <v>RS 194</v>
          </cell>
          <cell r="BP144">
            <v>5.9</v>
          </cell>
          <cell r="BQ144">
            <v>5.5</v>
          </cell>
          <cell r="BR144" t="str">
            <v>F</v>
          </cell>
          <cell r="BT144">
            <v>0</v>
          </cell>
          <cell r="BU144" t="str">
            <v>ST</v>
          </cell>
          <cell r="BV144" t="str">
            <v/>
          </cell>
          <cell r="BW144">
            <v>1</v>
          </cell>
          <cell r="BX144">
            <v>10</v>
          </cell>
          <cell r="BY144" t="str">
            <v/>
          </cell>
          <cell r="BZ144">
            <v>1</v>
          </cell>
          <cell r="CA144">
            <v>10</v>
          </cell>
          <cell r="CB144">
            <v>0.90800000000000003</v>
          </cell>
          <cell r="CC144">
            <v>7.65</v>
          </cell>
          <cell r="CD144">
            <v>75</v>
          </cell>
          <cell r="CE144">
            <v>60</v>
          </cell>
          <cell r="CF144">
            <v>45</v>
          </cell>
          <cell r="CG144">
            <v>30</v>
          </cell>
          <cell r="CH144">
            <v>15</v>
          </cell>
          <cell r="CI144">
            <v>100</v>
          </cell>
          <cell r="CJ144">
            <v>0.36363636363636365</v>
          </cell>
          <cell r="CK144">
            <v>10</v>
          </cell>
          <cell r="CL144">
            <v>45</v>
          </cell>
          <cell r="CM144">
            <v>0.53503496503496506</v>
          </cell>
          <cell r="CN144">
            <v>0.53503496503496506</v>
          </cell>
          <cell r="CO144">
            <v>0</v>
          </cell>
          <cell r="CP144">
            <v>0</v>
          </cell>
          <cell r="CQ144">
            <v>8.1850349650349656</v>
          </cell>
          <cell r="CR144">
            <v>0</v>
          </cell>
          <cell r="CS144">
            <v>0</v>
          </cell>
          <cell r="CT144">
            <v>0</v>
          </cell>
          <cell r="CU144">
            <v>0</v>
          </cell>
          <cell r="CV144">
            <v>18</v>
          </cell>
          <cell r="CW144">
            <v>18</v>
          </cell>
          <cell r="CX144" t="str">
            <v/>
          </cell>
          <cell r="CY144">
            <v>2</v>
          </cell>
          <cell r="CZ144">
            <v>1.5</v>
          </cell>
          <cell r="DA144">
            <v>1.5</v>
          </cell>
          <cell r="DB144">
            <v>60</v>
          </cell>
          <cell r="DC144">
            <v>29</v>
          </cell>
          <cell r="DD144">
            <v>16</v>
          </cell>
          <cell r="DE144">
            <v>5</v>
          </cell>
          <cell r="DF144">
            <v>7</v>
          </cell>
          <cell r="DG144">
            <v>2</v>
          </cell>
          <cell r="DH144">
            <v>1</v>
          </cell>
          <cell r="DI144">
            <v>3</v>
          </cell>
        </row>
        <row r="145">
          <cell r="A145" t="str">
            <v>RS 163</v>
          </cell>
          <cell r="B145">
            <v>163</v>
          </cell>
          <cell r="C145" t="str">
            <v>C</v>
          </cell>
          <cell r="D145" t="str">
            <v>T</v>
          </cell>
          <cell r="E145" t="str">
            <v>Lifupa Road (in Kasungu National Park)</v>
          </cell>
          <cell r="F145" t="str">
            <v>S114</v>
          </cell>
          <cell r="G145">
            <v>2</v>
          </cell>
          <cell r="H145">
            <v>3.2</v>
          </cell>
          <cell r="I145" t="str">
            <v>F</v>
          </cell>
          <cell r="J145" t="str">
            <v>KASUNGU</v>
          </cell>
          <cell r="K145">
            <v>5</v>
          </cell>
          <cell r="L145" t="str">
            <v>Changed from urban to trunk</v>
          </cell>
          <cell r="W145" t="str">
            <v>very old origional</v>
          </cell>
          <cell r="AN145" t="str">
            <v>bitumen removed</v>
          </cell>
          <cell r="BO145" t="str">
            <v>RS 163</v>
          </cell>
          <cell r="BP145">
            <v>3.2</v>
          </cell>
          <cell r="BQ145" t="str">
            <v>n.a.</v>
          </cell>
          <cell r="BR145" t="str">
            <v>F</v>
          </cell>
          <cell r="BS145" t="str">
            <v>X</v>
          </cell>
          <cell r="BT145">
            <v>100</v>
          </cell>
          <cell r="BU145">
            <v>0</v>
          </cell>
          <cell r="BV145" t="str">
            <v/>
          </cell>
          <cell r="BW145">
            <v>0</v>
          </cell>
          <cell r="BX145" t="str">
            <v/>
          </cell>
          <cell r="BY145" t="str">
            <v/>
          </cell>
          <cell r="BZ145" t="str">
            <v/>
          </cell>
          <cell r="CA145" t="str">
            <v/>
          </cell>
          <cell r="CB145" t="str">
            <v/>
          </cell>
          <cell r="CC145" t="str">
            <v>bitumen surface removed</v>
          </cell>
          <cell r="CV145" t="str">
            <v>n.a</v>
          </cell>
          <cell r="CW145" t="str">
            <v>n.a.</v>
          </cell>
          <cell r="CY145" t="str">
            <v>n.a.</v>
          </cell>
          <cell r="CZ145" t="str">
            <v>n.a.</v>
          </cell>
          <cell r="DA145">
            <v>2.5</v>
          </cell>
          <cell r="DB145">
            <v>50</v>
          </cell>
          <cell r="DC145">
            <v>24</v>
          </cell>
          <cell r="DD145">
            <v>13</v>
          </cell>
          <cell r="DE145">
            <v>4</v>
          </cell>
          <cell r="DF145">
            <v>6</v>
          </cell>
          <cell r="DG145">
            <v>1</v>
          </cell>
          <cell r="DH145">
            <v>1</v>
          </cell>
          <cell r="DI145">
            <v>3</v>
          </cell>
        </row>
        <row r="146">
          <cell r="A146" t="str">
            <v>RS 237</v>
          </cell>
          <cell r="B146">
            <v>59</v>
          </cell>
          <cell r="C146" t="str">
            <v>C</v>
          </cell>
          <cell r="D146" t="str">
            <v>T</v>
          </cell>
          <cell r="E146" t="str">
            <v>Bua River Bridge  - Kapiri</v>
          </cell>
          <cell r="F146" t="str">
            <v>S116</v>
          </cell>
          <cell r="G146">
            <v>7</v>
          </cell>
          <cell r="H146">
            <v>29.3</v>
          </cell>
          <cell r="I146" t="str">
            <v>F</v>
          </cell>
          <cell r="J146" t="str">
            <v>KASUNGU</v>
          </cell>
          <cell r="K146">
            <v>5</v>
          </cell>
          <cell r="W146">
            <v>98</v>
          </cell>
          <cell r="X146" t="str">
            <v>DS</v>
          </cell>
          <cell r="Y146">
            <v>150</v>
          </cell>
          <cell r="Z146" t="str">
            <v>GR</v>
          </cell>
          <cell r="AA146">
            <v>150</v>
          </cell>
          <cell r="AB146" t="str">
            <v>GR</v>
          </cell>
          <cell r="AC146">
            <v>5</v>
          </cell>
          <cell r="AD146" t="str">
            <v>AM</v>
          </cell>
          <cell r="AM146">
            <v>1</v>
          </cell>
          <cell r="AN146" t="str">
            <v>never resealed</v>
          </cell>
          <cell r="BO146" t="str">
            <v>RS 237</v>
          </cell>
          <cell r="BP146">
            <v>29.3</v>
          </cell>
          <cell r="BQ146">
            <v>6.7</v>
          </cell>
          <cell r="BR146" t="str">
            <v>F</v>
          </cell>
          <cell r="BT146">
            <v>0</v>
          </cell>
          <cell r="BU146" t="str">
            <v>DS</v>
          </cell>
          <cell r="BV146" t="str">
            <v/>
          </cell>
          <cell r="BW146">
            <v>1</v>
          </cell>
          <cell r="BX146">
            <v>15</v>
          </cell>
          <cell r="BY146" t="str">
            <v/>
          </cell>
          <cell r="BZ146">
            <v>1</v>
          </cell>
          <cell r="CA146">
            <v>5</v>
          </cell>
          <cell r="CB146">
            <v>1.5270000000000001</v>
          </cell>
          <cell r="CC146">
            <v>3.3</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3.3</v>
          </cell>
          <cell r="CR146">
            <v>0</v>
          </cell>
          <cell r="CS146">
            <v>1</v>
          </cell>
          <cell r="CT146">
            <v>0</v>
          </cell>
          <cell r="CU146">
            <v>0</v>
          </cell>
          <cell r="CV146">
            <v>0</v>
          </cell>
          <cell r="CW146">
            <v>0</v>
          </cell>
          <cell r="CX146" t="str">
            <v/>
          </cell>
          <cell r="CY146">
            <v>1</v>
          </cell>
          <cell r="CZ146">
            <v>1</v>
          </cell>
          <cell r="DA146">
            <v>1</v>
          </cell>
          <cell r="DB146">
            <v>80</v>
          </cell>
          <cell r="DC146">
            <v>38</v>
          </cell>
          <cell r="DD146">
            <v>21</v>
          </cell>
          <cell r="DE146">
            <v>6</v>
          </cell>
          <cell r="DF146">
            <v>10</v>
          </cell>
          <cell r="DG146">
            <v>2</v>
          </cell>
          <cell r="DH146">
            <v>1</v>
          </cell>
          <cell r="DI146">
            <v>4</v>
          </cell>
        </row>
        <row r="147">
          <cell r="A147" t="str">
            <v>RS 240</v>
          </cell>
          <cell r="B147">
            <v>62</v>
          </cell>
          <cell r="C147" t="str">
            <v>C</v>
          </cell>
          <cell r="D147" t="str">
            <v>T</v>
          </cell>
          <cell r="E147" t="str">
            <v>Kapiri - Matutu</v>
          </cell>
          <cell r="F147" t="str">
            <v>S116</v>
          </cell>
          <cell r="G147">
            <v>8</v>
          </cell>
          <cell r="H147">
            <v>24</v>
          </cell>
          <cell r="I147" t="str">
            <v>F</v>
          </cell>
          <cell r="J147" t="str">
            <v>MCHINJI</v>
          </cell>
          <cell r="K147" t="str">
            <v>5,6</v>
          </cell>
          <cell r="W147">
            <v>98</v>
          </cell>
          <cell r="X147" t="str">
            <v>DS</v>
          </cell>
          <cell r="Y147">
            <v>150</v>
          </cell>
          <cell r="Z147" t="str">
            <v>GR</v>
          </cell>
          <cell r="AA147">
            <v>150</v>
          </cell>
          <cell r="AB147" t="str">
            <v>GR</v>
          </cell>
          <cell r="AC147">
            <v>5</v>
          </cell>
          <cell r="AD147" t="str">
            <v>AM</v>
          </cell>
          <cell r="AM147">
            <v>1</v>
          </cell>
          <cell r="AN147" t="str">
            <v>never resealed</v>
          </cell>
          <cell r="BO147" t="str">
            <v>RS 240</v>
          </cell>
          <cell r="BP147">
            <v>24</v>
          </cell>
          <cell r="BQ147">
            <v>6.7</v>
          </cell>
          <cell r="BR147" t="str">
            <v>F</v>
          </cell>
          <cell r="BT147">
            <v>0</v>
          </cell>
          <cell r="BU147" t="str">
            <v>DS</v>
          </cell>
          <cell r="BV147" t="str">
            <v/>
          </cell>
          <cell r="BW147">
            <v>1</v>
          </cell>
          <cell r="BX147">
            <v>15</v>
          </cell>
          <cell r="BY147" t="str">
            <v/>
          </cell>
          <cell r="BZ147">
            <v>1</v>
          </cell>
          <cell r="CA147">
            <v>5</v>
          </cell>
          <cell r="CB147">
            <v>1.5270000000000001</v>
          </cell>
          <cell r="CC147">
            <v>3.27</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3.27</v>
          </cell>
          <cell r="CR147">
            <v>0</v>
          </cell>
          <cell r="CS147">
            <v>1</v>
          </cell>
          <cell r="CT147">
            <v>0</v>
          </cell>
          <cell r="CU147">
            <v>0</v>
          </cell>
          <cell r="CV147">
            <v>0</v>
          </cell>
          <cell r="CW147">
            <v>0</v>
          </cell>
          <cell r="CX147" t="str">
            <v/>
          </cell>
          <cell r="CY147">
            <v>1</v>
          </cell>
          <cell r="CZ147">
            <v>1</v>
          </cell>
          <cell r="DA147">
            <v>1</v>
          </cell>
          <cell r="DB147">
            <v>80</v>
          </cell>
          <cell r="DC147">
            <v>38</v>
          </cell>
          <cell r="DD147">
            <v>21</v>
          </cell>
          <cell r="DE147">
            <v>6</v>
          </cell>
          <cell r="DF147">
            <v>10</v>
          </cell>
          <cell r="DG147">
            <v>2</v>
          </cell>
          <cell r="DH147">
            <v>1</v>
          </cell>
          <cell r="DI147">
            <v>4</v>
          </cell>
        </row>
        <row r="148">
          <cell r="A148" t="str">
            <v>RS 245</v>
          </cell>
          <cell r="B148">
            <v>67</v>
          </cell>
          <cell r="C148" t="str">
            <v>C</v>
          </cell>
          <cell r="D148" t="str">
            <v>T</v>
          </cell>
          <cell r="E148" t="str">
            <v>Kalolo - Santhe T.C.</v>
          </cell>
          <cell r="F148" t="str">
            <v>S117</v>
          </cell>
          <cell r="G148">
            <v>1</v>
          </cell>
          <cell r="H148">
            <v>22.9</v>
          </cell>
          <cell r="I148" t="str">
            <v>F</v>
          </cell>
          <cell r="J148" t="str">
            <v>KASUNGU</v>
          </cell>
          <cell r="K148" t="str">
            <v>5,6</v>
          </cell>
          <cell r="L148" t="str">
            <v>Part currently bitumen</v>
          </cell>
          <cell r="W148">
            <v>98</v>
          </cell>
          <cell r="X148" t="str">
            <v>DS</v>
          </cell>
          <cell r="Y148">
            <v>151</v>
          </cell>
          <cell r="Z148" t="str">
            <v>GR</v>
          </cell>
          <cell r="AA148">
            <v>151</v>
          </cell>
          <cell r="AB148" t="str">
            <v>GR</v>
          </cell>
          <cell r="AC148">
            <v>6</v>
          </cell>
          <cell r="AD148" t="str">
            <v>AM</v>
          </cell>
          <cell r="AM148">
            <v>1</v>
          </cell>
          <cell r="AN148" t="str">
            <v>never resealed</v>
          </cell>
          <cell r="BO148" t="str">
            <v>RS 245</v>
          </cell>
          <cell r="BP148">
            <v>22.9</v>
          </cell>
          <cell r="BQ148">
            <v>6.7</v>
          </cell>
          <cell r="BR148" t="str">
            <v>F</v>
          </cell>
          <cell r="BT148">
            <v>0</v>
          </cell>
          <cell r="BU148" t="str">
            <v>DS</v>
          </cell>
          <cell r="BV148" t="str">
            <v/>
          </cell>
          <cell r="BW148">
            <v>1</v>
          </cell>
          <cell r="BX148">
            <v>15</v>
          </cell>
          <cell r="BY148" t="str">
            <v/>
          </cell>
          <cell r="BZ148">
            <v>1</v>
          </cell>
          <cell r="CA148">
            <v>6</v>
          </cell>
          <cell r="CB148">
            <v>1.536</v>
          </cell>
          <cell r="CC148">
            <v>3.3</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3.3</v>
          </cell>
          <cell r="CR148">
            <v>0</v>
          </cell>
          <cell r="CS148">
            <v>1</v>
          </cell>
          <cell r="CT148">
            <v>0</v>
          </cell>
          <cell r="CU148">
            <v>0</v>
          </cell>
          <cell r="CV148">
            <v>0</v>
          </cell>
          <cell r="CW148">
            <v>0</v>
          </cell>
          <cell r="CX148" t="str">
            <v/>
          </cell>
          <cell r="CY148">
            <v>1</v>
          </cell>
          <cell r="CZ148">
            <v>1</v>
          </cell>
          <cell r="DA148">
            <v>1</v>
          </cell>
          <cell r="DB148">
            <v>60</v>
          </cell>
          <cell r="DC148">
            <v>29</v>
          </cell>
          <cell r="DD148">
            <v>16</v>
          </cell>
          <cell r="DE148">
            <v>5</v>
          </cell>
          <cell r="DF148">
            <v>7</v>
          </cell>
          <cell r="DG148">
            <v>2</v>
          </cell>
          <cell r="DH148">
            <v>1</v>
          </cell>
          <cell r="DI148">
            <v>3</v>
          </cell>
        </row>
        <row r="149">
          <cell r="A149" t="str">
            <v>RS 274</v>
          </cell>
          <cell r="B149">
            <v>96</v>
          </cell>
          <cell r="C149" t="str">
            <v>C</v>
          </cell>
          <cell r="D149" t="str">
            <v>T</v>
          </cell>
          <cell r="E149" t="str">
            <v>junction M5 - Salima railway crossing</v>
          </cell>
          <cell r="F149" t="str">
            <v>S122</v>
          </cell>
          <cell r="G149">
            <v>1</v>
          </cell>
          <cell r="H149">
            <v>4.2</v>
          </cell>
          <cell r="I149" t="str">
            <v>F</v>
          </cell>
          <cell r="J149" t="str">
            <v>SALIMA</v>
          </cell>
          <cell r="K149">
            <v>7</v>
          </cell>
          <cell r="W149">
            <v>76</v>
          </cell>
          <cell r="X149" t="str">
            <v>ST</v>
          </cell>
          <cell r="Y149">
            <v>150</v>
          </cell>
          <cell r="Z149" t="str">
            <v>GR</v>
          </cell>
          <cell r="AA149">
            <v>100</v>
          </cell>
          <cell r="AB149" t="str">
            <v>GR</v>
          </cell>
          <cell r="AC149">
            <v>8</v>
          </cell>
          <cell r="AD149" t="str">
            <v>VR</v>
          </cell>
          <cell r="AM149">
            <v>1</v>
          </cell>
          <cell r="AN149" t="str">
            <v>never resealed</v>
          </cell>
          <cell r="BO149" t="str">
            <v>RS 274</v>
          </cell>
          <cell r="BP149">
            <v>4.2</v>
          </cell>
          <cell r="BQ149">
            <v>6</v>
          </cell>
          <cell r="BR149" t="str">
            <v>F</v>
          </cell>
          <cell r="BT149">
            <v>0</v>
          </cell>
          <cell r="BU149" t="str">
            <v>ST</v>
          </cell>
          <cell r="BV149" t="str">
            <v/>
          </cell>
          <cell r="BW149">
            <v>1</v>
          </cell>
          <cell r="BX149">
            <v>10</v>
          </cell>
          <cell r="BY149" t="str">
            <v/>
          </cell>
          <cell r="BZ149">
            <v>1</v>
          </cell>
          <cell r="CA149">
            <v>8</v>
          </cell>
          <cell r="CB149">
            <v>0.90800000000000003</v>
          </cell>
          <cell r="CC149">
            <v>6.5</v>
          </cell>
          <cell r="CD149">
            <v>90</v>
          </cell>
          <cell r="CE149">
            <v>65</v>
          </cell>
          <cell r="CF149">
            <v>50</v>
          </cell>
          <cell r="CG149">
            <v>40</v>
          </cell>
          <cell r="CH149">
            <v>15</v>
          </cell>
          <cell r="CI149">
            <v>79</v>
          </cell>
          <cell r="CJ149">
            <v>0.26333333333333336</v>
          </cell>
          <cell r="CK149">
            <v>10</v>
          </cell>
          <cell r="CL149">
            <v>50</v>
          </cell>
          <cell r="CM149">
            <v>0.53022820512820512</v>
          </cell>
          <cell r="CN149">
            <v>0.53022820512820512</v>
          </cell>
          <cell r="CO149">
            <v>0</v>
          </cell>
          <cell r="CP149">
            <v>0</v>
          </cell>
          <cell r="CQ149">
            <v>7.0302282051282052</v>
          </cell>
          <cell r="CR149">
            <v>5</v>
          </cell>
          <cell r="CT149">
            <v>0</v>
          </cell>
          <cell r="CU149">
            <v>1</v>
          </cell>
          <cell r="CV149">
            <v>22</v>
          </cell>
          <cell r="CW149">
            <v>22</v>
          </cell>
          <cell r="CX149" t="str">
            <v/>
          </cell>
          <cell r="CY149">
            <v>2</v>
          </cell>
          <cell r="CZ149">
            <v>1</v>
          </cell>
          <cell r="DA149">
            <v>1</v>
          </cell>
          <cell r="DB149">
            <v>470</v>
          </cell>
          <cell r="DC149">
            <v>221</v>
          </cell>
          <cell r="DD149">
            <v>123</v>
          </cell>
          <cell r="DE149">
            <v>36</v>
          </cell>
          <cell r="DF149">
            <v>55</v>
          </cell>
          <cell r="DG149">
            <v>10</v>
          </cell>
          <cell r="DH149">
            <v>5</v>
          </cell>
          <cell r="DI149">
            <v>24</v>
          </cell>
        </row>
        <row r="150">
          <cell r="A150" t="str">
            <v>RS 276</v>
          </cell>
          <cell r="B150">
            <v>98</v>
          </cell>
          <cell r="C150" t="str">
            <v>C</v>
          </cell>
          <cell r="D150" t="str">
            <v>T</v>
          </cell>
          <cell r="E150" t="str">
            <v>Salima railway crossing - Mikute</v>
          </cell>
          <cell r="F150" t="str">
            <v>S122</v>
          </cell>
          <cell r="G150">
            <v>2</v>
          </cell>
          <cell r="H150">
            <v>14.4</v>
          </cell>
          <cell r="I150" t="str">
            <v>F</v>
          </cell>
          <cell r="J150" t="str">
            <v>SALIMA</v>
          </cell>
          <cell r="K150">
            <v>7</v>
          </cell>
          <cell r="W150">
            <v>76</v>
          </cell>
          <cell r="X150" t="str">
            <v>ST</v>
          </cell>
          <cell r="Y150">
            <v>150</v>
          </cell>
          <cell r="Z150" t="str">
            <v>GR</v>
          </cell>
          <cell r="AA150">
            <v>100</v>
          </cell>
          <cell r="AB150" t="str">
            <v>GR</v>
          </cell>
          <cell r="AC150">
            <v>8</v>
          </cell>
          <cell r="AD150" t="str">
            <v>VR</v>
          </cell>
          <cell r="AM150">
            <v>1</v>
          </cell>
          <cell r="AN150" t="str">
            <v>never resealed</v>
          </cell>
          <cell r="BO150" t="str">
            <v>RS 276</v>
          </cell>
          <cell r="BP150">
            <v>14.4</v>
          </cell>
          <cell r="BQ150">
            <v>6</v>
          </cell>
          <cell r="BR150" t="str">
            <v>F</v>
          </cell>
          <cell r="BT150">
            <v>0</v>
          </cell>
          <cell r="BU150" t="str">
            <v>ST</v>
          </cell>
          <cell r="BV150" t="str">
            <v/>
          </cell>
          <cell r="BW150">
            <v>1</v>
          </cell>
          <cell r="BX150">
            <v>10</v>
          </cell>
          <cell r="BY150" t="str">
            <v/>
          </cell>
          <cell r="BZ150">
            <v>1</v>
          </cell>
          <cell r="CA150">
            <v>8</v>
          </cell>
          <cell r="CB150">
            <v>0.90800000000000003</v>
          </cell>
          <cell r="CC150">
            <v>6.58</v>
          </cell>
          <cell r="CD150">
            <v>95</v>
          </cell>
          <cell r="CE150">
            <v>45</v>
          </cell>
          <cell r="CF150">
            <v>30</v>
          </cell>
          <cell r="CG150">
            <v>65</v>
          </cell>
          <cell r="CH150">
            <v>15</v>
          </cell>
          <cell r="CI150">
            <v>8</v>
          </cell>
          <cell r="CJ150">
            <v>2.6666666666666668E-2</v>
          </cell>
          <cell r="CK150">
            <v>10</v>
          </cell>
          <cell r="CL150">
            <v>30</v>
          </cell>
          <cell r="CM150">
            <v>0.30853333333333333</v>
          </cell>
          <cell r="CN150">
            <v>0.30853333333333333</v>
          </cell>
          <cell r="CO150">
            <v>0</v>
          </cell>
          <cell r="CP150">
            <v>0</v>
          </cell>
          <cell r="CQ150">
            <v>6.8885333333333332</v>
          </cell>
          <cell r="CR150">
            <v>0</v>
          </cell>
          <cell r="CT150">
            <v>0</v>
          </cell>
          <cell r="CU150">
            <v>1</v>
          </cell>
          <cell r="CV150">
            <v>22</v>
          </cell>
          <cell r="CW150">
            <v>22</v>
          </cell>
          <cell r="CX150" t="str">
            <v/>
          </cell>
          <cell r="CY150">
            <v>2.5</v>
          </cell>
          <cell r="CZ150">
            <v>2.5</v>
          </cell>
          <cell r="DA150">
            <v>1.3</v>
          </cell>
          <cell r="DB150">
            <v>370</v>
          </cell>
          <cell r="DC150">
            <v>174</v>
          </cell>
          <cell r="DD150">
            <v>97</v>
          </cell>
          <cell r="DE150">
            <v>28</v>
          </cell>
          <cell r="DF150">
            <v>43</v>
          </cell>
          <cell r="DG150">
            <v>8</v>
          </cell>
          <cell r="DH150">
            <v>4</v>
          </cell>
          <cell r="DI150">
            <v>19</v>
          </cell>
        </row>
        <row r="151">
          <cell r="A151" t="str">
            <v>RS 275</v>
          </cell>
          <cell r="B151">
            <v>97</v>
          </cell>
          <cell r="C151" t="str">
            <v>C</v>
          </cell>
          <cell r="D151" t="str">
            <v>T</v>
          </cell>
          <cell r="E151" t="str">
            <v>Mikute - Grand Beach</v>
          </cell>
          <cell r="F151" t="str">
            <v>S122</v>
          </cell>
          <cell r="G151">
            <v>3</v>
          </cell>
          <cell r="H151">
            <v>5.6</v>
          </cell>
          <cell r="I151" t="str">
            <v>F</v>
          </cell>
          <cell r="J151" t="str">
            <v>SALIMA</v>
          </cell>
          <cell r="K151">
            <v>7</v>
          </cell>
          <cell r="W151">
            <v>76</v>
          </cell>
          <cell r="X151" t="str">
            <v>ST</v>
          </cell>
          <cell r="Y151">
            <v>150</v>
          </cell>
          <cell r="Z151" t="str">
            <v>GR</v>
          </cell>
          <cell r="AA151">
            <v>100</v>
          </cell>
          <cell r="AB151" t="str">
            <v>GR</v>
          </cell>
          <cell r="AC151">
            <v>8</v>
          </cell>
          <cell r="AD151" t="str">
            <v>VR</v>
          </cell>
          <cell r="AM151">
            <v>1</v>
          </cell>
          <cell r="AN151" t="str">
            <v>never resealed</v>
          </cell>
          <cell r="BO151" t="str">
            <v>RS 275</v>
          </cell>
          <cell r="BP151">
            <v>5.6</v>
          </cell>
          <cell r="BQ151">
            <v>6</v>
          </cell>
          <cell r="BR151" t="str">
            <v>F</v>
          </cell>
          <cell r="BT151">
            <v>0</v>
          </cell>
          <cell r="BU151" t="str">
            <v>ST</v>
          </cell>
          <cell r="BV151" t="str">
            <v/>
          </cell>
          <cell r="BW151">
            <v>1</v>
          </cell>
          <cell r="BX151">
            <v>10</v>
          </cell>
          <cell r="BY151" t="str">
            <v/>
          </cell>
          <cell r="BZ151">
            <v>1</v>
          </cell>
          <cell r="CA151">
            <v>8</v>
          </cell>
          <cell r="CB151">
            <v>0.90800000000000003</v>
          </cell>
          <cell r="CC151">
            <v>8.94</v>
          </cell>
          <cell r="CD151">
            <v>50</v>
          </cell>
          <cell r="CE151">
            <v>5</v>
          </cell>
          <cell r="CF151">
            <v>0</v>
          </cell>
          <cell r="CG151">
            <v>50</v>
          </cell>
          <cell r="CH151">
            <v>5</v>
          </cell>
          <cell r="CI151">
            <v>65</v>
          </cell>
          <cell r="CJ151">
            <v>0.21666666666666665</v>
          </cell>
          <cell r="CK151">
            <v>0.21666666666666665</v>
          </cell>
          <cell r="CL151">
            <v>0</v>
          </cell>
          <cell r="CM151">
            <v>8.3999999999999991E-2</v>
          </cell>
          <cell r="CN151">
            <v>8.3999999999999991E-2</v>
          </cell>
          <cell r="CO151">
            <v>0</v>
          </cell>
          <cell r="CP151">
            <v>0</v>
          </cell>
          <cell r="CQ151">
            <v>9.0239999999999991</v>
          </cell>
          <cell r="CT151">
            <v>0</v>
          </cell>
          <cell r="CU151">
            <v>1</v>
          </cell>
          <cell r="CV151">
            <v>22</v>
          </cell>
          <cell r="CW151">
            <v>22</v>
          </cell>
          <cell r="CX151" t="str">
            <v/>
          </cell>
          <cell r="CY151">
            <v>3</v>
          </cell>
          <cell r="CZ151">
            <v>3</v>
          </cell>
          <cell r="DA151">
            <v>1.5</v>
          </cell>
          <cell r="DB151">
            <v>250</v>
          </cell>
          <cell r="DC151">
            <v>118</v>
          </cell>
          <cell r="DD151">
            <v>65</v>
          </cell>
          <cell r="DE151">
            <v>19</v>
          </cell>
          <cell r="DF151">
            <v>29</v>
          </cell>
          <cell r="DG151">
            <v>5</v>
          </cell>
          <cell r="DH151">
            <v>3</v>
          </cell>
          <cell r="DI151">
            <v>13</v>
          </cell>
        </row>
        <row r="152">
          <cell r="A152" t="str">
            <v>RS 161</v>
          </cell>
          <cell r="B152">
            <v>161</v>
          </cell>
          <cell r="C152" t="str">
            <v>C</v>
          </cell>
          <cell r="D152" t="str">
            <v>T</v>
          </cell>
          <cell r="E152" t="str">
            <v>Likuni Road</v>
          </cell>
          <cell r="F152" t="str">
            <v>S124</v>
          </cell>
          <cell r="G152">
            <v>1</v>
          </cell>
          <cell r="H152">
            <v>8.8000000000000007</v>
          </cell>
          <cell r="I152" t="str">
            <v>F</v>
          </cell>
          <cell r="J152" t="str">
            <v>LILONGWE</v>
          </cell>
          <cell r="K152">
            <v>6</v>
          </cell>
          <cell r="L152" t="str">
            <v>Changed from urban to trunk</v>
          </cell>
          <cell r="W152">
            <v>73</v>
          </cell>
          <cell r="X152" t="str">
            <v>ST</v>
          </cell>
          <cell r="Y152">
            <v>150</v>
          </cell>
          <cell r="Z152" t="str">
            <v>GR</v>
          </cell>
          <cell r="AA152">
            <v>100</v>
          </cell>
          <cell r="AB152" t="str">
            <v>GR</v>
          </cell>
          <cell r="AC152">
            <v>25</v>
          </cell>
          <cell r="AD152" t="str">
            <v>VR</v>
          </cell>
          <cell r="AE152">
            <v>98</v>
          </cell>
          <cell r="AF152" t="str">
            <v>SS</v>
          </cell>
          <cell r="AG152" t="str">
            <v>SS</v>
          </cell>
          <cell r="AH152">
            <v>5</v>
          </cell>
          <cell r="AM152">
            <v>3</v>
          </cell>
          <cell r="BO152" t="str">
            <v>RS 161</v>
          </cell>
          <cell r="BP152">
            <v>8.8000000000000007</v>
          </cell>
          <cell r="BQ152">
            <v>6</v>
          </cell>
          <cell r="BR152" t="str">
            <v>F</v>
          </cell>
          <cell r="BS152" t="str">
            <v>C</v>
          </cell>
          <cell r="BT152">
            <v>0</v>
          </cell>
          <cell r="BU152" t="str">
            <v>SS</v>
          </cell>
          <cell r="BV152" t="str">
            <v>ST</v>
          </cell>
          <cell r="BW152">
            <v>3</v>
          </cell>
          <cell r="BX152">
            <v>5</v>
          </cell>
          <cell r="BY152">
            <v>10</v>
          </cell>
          <cell r="BZ152">
            <v>1</v>
          </cell>
          <cell r="CA152">
            <v>25</v>
          </cell>
          <cell r="CB152">
            <v>0.90800000000000003</v>
          </cell>
          <cell r="CC152">
            <v>6.77</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5</v>
          </cell>
          <cell r="CR152">
            <v>0</v>
          </cell>
          <cell r="CS152">
            <v>1</v>
          </cell>
          <cell r="CT152">
            <v>0</v>
          </cell>
          <cell r="CU152">
            <v>0</v>
          </cell>
          <cell r="CV152">
            <v>0</v>
          </cell>
          <cell r="CW152">
            <v>25</v>
          </cell>
          <cell r="CX152">
            <v>50</v>
          </cell>
          <cell r="CY152">
            <v>1</v>
          </cell>
          <cell r="CZ152">
            <v>1.5</v>
          </cell>
          <cell r="DA152">
            <v>2</v>
          </cell>
          <cell r="DB152">
            <v>1169</v>
          </cell>
          <cell r="DC152">
            <v>550</v>
          </cell>
          <cell r="DD152">
            <v>304</v>
          </cell>
          <cell r="DE152">
            <v>88</v>
          </cell>
          <cell r="DF152">
            <v>135</v>
          </cell>
          <cell r="DG152">
            <v>24</v>
          </cell>
          <cell r="DH152">
            <v>12</v>
          </cell>
          <cell r="DI152">
            <v>59</v>
          </cell>
        </row>
        <row r="153">
          <cell r="A153" t="str">
            <v>RS 289</v>
          </cell>
          <cell r="B153">
            <v>111</v>
          </cell>
          <cell r="C153" t="str">
            <v>C</v>
          </cell>
          <cell r="D153" t="str">
            <v>T</v>
          </cell>
          <cell r="E153" t="str">
            <v>Likuni - Chinsapo</v>
          </cell>
          <cell r="F153" t="str">
            <v>S124</v>
          </cell>
          <cell r="G153">
            <v>2</v>
          </cell>
          <cell r="H153">
            <v>4.3</v>
          </cell>
          <cell r="I153" t="str">
            <v>F</v>
          </cell>
          <cell r="J153" t="str">
            <v>LILONGWE</v>
          </cell>
          <cell r="K153">
            <v>6</v>
          </cell>
          <cell r="W153">
            <v>73</v>
          </cell>
          <cell r="X153" t="str">
            <v>ST</v>
          </cell>
          <cell r="Y153">
            <v>150</v>
          </cell>
          <cell r="Z153" t="str">
            <v>GR</v>
          </cell>
          <cell r="AA153">
            <v>100</v>
          </cell>
          <cell r="AB153" t="str">
            <v>GR</v>
          </cell>
          <cell r="AC153">
            <v>25</v>
          </cell>
          <cell r="AD153" t="str">
            <v>VR</v>
          </cell>
          <cell r="AE153">
            <v>98</v>
          </cell>
          <cell r="AF153" t="str">
            <v>SS</v>
          </cell>
          <cell r="AG153" t="str">
            <v>SS</v>
          </cell>
          <cell r="AH153">
            <v>5</v>
          </cell>
          <cell r="AM153">
            <v>3</v>
          </cell>
          <cell r="BO153" t="str">
            <v>RS 289</v>
          </cell>
          <cell r="BP153">
            <v>4.3</v>
          </cell>
          <cell r="BQ153">
            <v>6</v>
          </cell>
          <cell r="BR153" t="str">
            <v>F</v>
          </cell>
          <cell r="BT153">
            <v>0</v>
          </cell>
          <cell r="BU153" t="str">
            <v>SS</v>
          </cell>
          <cell r="BV153" t="str">
            <v>ST</v>
          </cell>
          <cell r="BW153">
            <v>3</v>
          </cell>
          <cell r="BX153">
            <v>5</v>
          </cell>
          <cell r="BY153">
            <v>10</v>
          </cell>
          <cell r="BZ153">
            <v>1</v>
          </cell>
          <cell r="CA153">
            <v>25</v>
          </cell>
          <cell r="CB153">
            <v>0.90800000000000003</v>
          </cell>
          <cell r="CC153">
            <v>6.77</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5</v>
          </cell>
          <cell r="CR153">
            <v>0</v>
          </cell>
          <cell r="CS153">
            <v>1</v>
          </cell>
          <cell r="CT153">
            <v>0</v>
          </cell>
          <cell r="CU153">
            <v>0</v>
          </cell>
          <cell r="CV153">
            <v>0</v>
          </cell>
          <cell r="CW153">
            <v>25</v>
          </cell>
          <cell r="CX153">
            <v>50</v>
          </cell>
          <cell r="CY153">
            <v>1</v>
          </cell>
          <cell r="CZ153">
            <v>1.5</v>
          </cell>
          <cell r="DA153">
            <v>2</v>
          </cell>
          <cell r="DB153">
            <v>1169</v>
          </cell>
          <cell r="DC153">
            <v>550</v>
          </cell>
          <cell r="DD153">
            <v>304</v>
          </cell>
          <cell r="DE153">
            <v>88</v>
          </cell>
          <cell r="DF153">
            <v>135</v>
          </cell>
          <cell r="DG153">
            <v>24</v>
          </cell>
          <cell r="DH153">
            <v>12</v>
          </cell>
          <cell r="DI153">
            <v>59</v>
          </cell>
        </row>
        <row r="154">
          <cell r="A154" t="str">
            <v>RS 298</v>
          </cell>
          <cell r="B154">
            <v>120</v>
          </cell>
          <cell r="C154" t="str">
            <v>C</v>
          </cell>
          <cell r="D154" t="str">
            <v>T</v>
          </cell>
          <cell r="E154" t="str">
            <v>Chitsime - Kayabwa</v>
          </cell>
          <cell r="F154" t="str">
            <v>S125</v>
          </cell>
          <cell r="G154">
            <v>1</v>
          </cell>
          <cell r="H154">
            <v>6.7</v>
          </cell>
          <cell r="I154" t="str">
            <v>F</v>
          </cell>
          <cell r="J154" t="str">
            <v>LILONGWE</v>
          </cell>
          <cell r="K154">
            <v>6</v>
          </cell>
          <cell r="W154">
            <v>90</v>
          </cell>
          <cell r="X154" t="str">
            <v>ST</v>
          </cell>
          <cell r="Y154">
            <v>150</v>
          </cell>
          <cell r="Z154" t="str">
            <v>GR</v>
          </cell>
          <cell r="AA154">
            <v>100</v>
          </cell>
          <cell r="AB154" t="str">
            <v>GR</v>
          </cell>
          <cell r="AC154">
            <v>5</v>
          </cell>
          <cell r="AD154" t="str">
            <v>AM</v>
          </cell>
          <cell r="AM154">
            <v>1</v>
          </cell>
          <cell r="AN154" t="str">
            <v>never resealed</v>
          </cell>
          <cell r="BO154" t="str">
            <v>RS 298</v>
          </cell>
          <cell r="BP154">
            <v>6.7</v>
          </cell>
          <cell r="BQ154">
            <v>6</v>
          </cell>
          <cell r="BR154" t="str">
            <v>F</v>
          </cell>
          <cell r="BT154">
            <v>0</v>
          </cell>
          <cell r="BU154" t="str">
            <v>ST</v>
          </cell>
          <cell r="BV154" t="str">
            <v/>
          </cell>
          <cell r="BW154">
            <v>1</v>
          </cell>
          <cell r="BX154">
            <v>10</v>
          </cell>
          <cell r="BY154" t="str">
            <v/>
          </cell>
          <cell r="BZ154">
            <v>1</v>
          </cell>
          <cell r="CA154">
            <v>5</v>
          </cell>
          <cell r="CB154">
            <v>0.90800000000000003</v>
          </cell>
          <cell r="CC154">
            <v>4.5</v>
          </cell>
          <cell r="CD154">
            <v>15</v>
          </cell>
          <cell r="CE154">
            <v>0</v>
          </cell>
          <cell r="CF154">
            <v>0</v>
          </cell>
          <cell r="CG154">
            <v>15</v>
          </cell>
          <cell r="CH154">
            <v>0</v>
          </cell>
          <cell r="CI154">
            <v>0</v>
          </cell>
          <cell r="CJ154">
            <v>0</v>
          </cell>
          <cell r="CK154">
            <v>0</v>
          </cell>
          <cell r="CL154">
            <v>0</v>
          </cell>
          <cell r="CM154">
            <v>0</v>
          </cell>
          <cell r="CN154">
            <v>0</v>
          </cell>
          <cell r="CO154">
            <v>0</v>
          </cell>
          <cell r="CP154">
            <v>0</v>
          </cell>
          <cell r="CQ154">
            <v>4.5</v>
          </cell>
          <cell r="CR154">
            <v>0</v>
          </cell>
          <cell r="CS154">
            <v>1</v>
          </cell>
          <cell r="CT154">
            <v>0</v>
          </cell>
          <cell r="CU154">
            <v>0</v>
          </cell>
          <cell r="CV154">
            <v>8</v>
          </cell>
          <cell r="CW154">
            <v>8</v>
          </cell>
          <cell r="CX154" t="str">
            <v/>
          </cell>
          <cell r="CY154">
            <v>1.2</v>
          </cell>
          <cell r="CZ154">
            <v>1.5</v>
          </cell>
          <cell r="DA154">
            <v>1.2</v>
          </cell>
          <cell r="DB154">
            <v>300</v>
          </cell>
          <cell r="DC154">
            <v>141</v>
          </cell>
          <cell r="DD154">
            <v>78</v>
          </cell>
          <cell r="DE154">
            <v>23</v>
          </cell>
          <cell r="DF154">
            <v>35</v>
          </cell>
          <cell r="DG154">
            <v>6</v>
          </cell>
          <cell r="DH154">
            <v>3</v>
          </cell>
          <cell r="DI154">
            <v>15</v>
          </cell>
        </row>
        <row r="155">
          <cell r="A155" t="str">
            <v>RS 294</v>
          </cell>
          <cell r="B155">
            <v>116</v>
          </cell>
          <cell r="C155" t="str">
            <v>C</v>
          </cell>
          <cell r="D155" t="str">
            <v>T</v>
          </cell>
          <cell r="E155" t="str">
            <v>Kayabwa - Bunda</v>
          </cell>
          <cell r="F155" t="str">
            <v>S125</v>
          </cell>
          <cell r="G155">
            <v>2</v>
          </cell>
          <cell r="H155">
            <v>9.6999999999999993</v>
          </cell>
          <cell r="I155" t="str">
            <v>F</v>
          </cell>
          <cell r="J155" t="str">
            <v>LILONGWE</v>
          </cell>
          <cell r="K155">
            <v>6</v>
          </cell>
          <cell r="W155">
            <v>90</v>
          </cell>
          <cell r="X155" t="str">
            <v>ST</v>
          </cell>
          <cell r="Y155">
            <v>150</v>
          </cell>
          <cell r="Z155" t="str">
            <v>GR</v>
          </cell>
          <cell r="AA155">
            <v>100</v>
          </cell>
          <cell r="AB155" t="str">
            <v>GR</v>
          </cell>
          <cell r="AC155">
            <v>5</v>
          </cell>
          <cell r="AD155" t="str">
            <v>PM</v>
          </cell>
          <cell r="AM155">
            <v>1</v>
          </cell>
          <cell r="AN155" t="str">
            <v>never resealed</v>
          </cell>
          <cell r="BO155" t="str">
            <v>RS 294</v>
          </cell>
          <cell r="BP155">
            <v>9.6999999999999993</v>
          </cell>
          <cell r="BQ155">
            <v>6</v>
          </cell>
          <cell r="BR155" t="str">
            <v>F</v>
          </cell>
          <cell r="BT155">
            <v>0</v>
          </cell>
          <cell r="BU155" t="str">
            <v>ST</v>
          </cell>
          <cell r="BV155" t="str">
            <v/>
          </cell>
          <cell r="BW155">
            <v>1</v>
          </cell>
          <cell r="BX155">
            <v>10</v>
          </cell>
          <cell r="BY155" t="str">
            <v/>
          </cell>
          <cell r="BZ155">
            <v>1</v>
          </cell>
          <cell r="CA155">
            <v>5</v>
          </cell>
          <cell r="CB155">
            <v>0.90800000000000003</v>
          </cell>
          <cell r="CC155">
            <v>4.5</v>
          </cell>
          <cell r="CD155">
            <v>15</v>
          </cell>
          <cell r="CE155">
            <v>0</v>
          </cell>
          <cell r="CF155">
            <v>0</v>
          </cell>
          <cell r="CG155">
            <v>15</v>
          </cell>
          <cell r="CH155">
            <v>0</v>
          </cell>
          <cell r="CI155">
            <v>0</v>
          </cell>
          <cell r="CJ155">
            <v>0</v>
          </cell>
          <cell r="CK155">
            <v>0</v>
          </cell>
          <cell r="CL155">
            <v>0</v>
          </cell>
          <cell r="CM155">
            <v>0</v>
          </cell>
          <cell r="CN155">
            <v>0</v>
          </cell>
          <cell r="CO155">
            <v>0</v>
          </cell>
          <cell r="CP155">
            <v>0</v>
          </cell>
          <cell r="CQ155">
            <v>4.5</v>
          </cell>
          <cell r="CR155">
            <v>0</v>
          </cell>
          <cell r="CS155">
            <v>1</v>
          </cell>
          <cell r="CT155">
            <v>0</v>
          </cell>
          <cell r="CU155">
            <v>0</v>
          </cell>
          <cell r="CV155">
            <v>8</v>
          </cell>
          <cell r="CW155">
            <v>8</v>
          </cell>
          <cell r="CX155" t="str">
            <v/>
          </cell>
          <cell r="CY155">
            <v>1.2</v>
          </cell>
          <cell r="CZ155">
            <v>1.5</v>
          </cell>
          <cell r="DA155">
            <v>1.2</v>
          </cell>
          <cell r="DB155">
            <v>300</v>
          </cell>
          <cell r="DC155">
            <v>141</v>
          </cell>
          <cell r="DD155">
            <v>78</v>
          </cell>
          <cell r="DE155">
            <v>23</v>
          </cell>
          <cell r="DF155">
            <v>35</v>
          </cell>
          <cell r="DG155">
            <v>6</v>
          </cell>
          <cell r="DH155">
            <v>3</v>
          </cell>
          <cell r="DI155">
            <v>15</v>
          </cell>
        </row>
        <row r="156">
          <cell r="A156" t="str">
            <v>RS 307</v>
          </cell>
          <cell r="B156">
            <v>129</v>
          </cell>
          <cell r="C156" t="str">
            <v>C</v>
          </cell>
          <cell r="D156" t="str">
            <v>T</v>
          </cell>
          <cell r="E156" t="str">
            <v>Mganja - Kabulika</v>
          </cell>
          <cell r="F156" t="str">
            <v>S127</v>
          </cell>
          <cell r="G156">
            <v>4</v>
          </cell>
          <cell r="H156">
            <v>8.5</v>
          </cell>
          <cell r="I156" t="str">
            <v>R</v>
          </cell>
          <cell r="J156" t="str">
            <v>DEDZA</v>
          </cell>
          <cell r="K156">
            <v>7</v>
          </cell>
          <cell r="W156">
            <v>73</v>
          </cell>
          <cell r="X156" t="str">
            <v>ST</v>
          </cell>
          <cell r="Y156">
            <v>100</v>
          </cell>
          <cell r="Z156" t="str">
            <v>GR</v>
          </cell>
          <cell r="AA156">
            <v>100</v>
          </cell>
          <cell r="AB156" t="str">
            <v>GR</v>
          </cell>
          <cell r="AC156">
            <v>5</v>
          </cell>
          <cell r="AD156" t="str">
            <v>PM</v>
          </cell>
          <cell r="AM156">
            <v>1</v>
          </cell>
          <cell r="AN156" t="str">
            <v>never resealed</v>
          </cell>
          <cell r="BO156" t="str">
            <v>RS 307</v>
          </cell>
          <cell r="BP156">
            <v>8.5</v>
          </cell>
          <cell r="BQ156">
            <v>5.5</v>
          </cell>
          <cell r="BR156" t="str">
            <v>R</v>
          </cell>
          <cell r="BT156">
            <v>0</v>
          </cell>
          <cell r="BU156" t="str">
            <v>ST</v>
          </cell>
          <cell r="BV156" t="str">
            <v/>
          </cell>
          <cell r="BW156">
            <v>1</v>
          </cell>
          <cell r="BX156">
            <v>10</v>
          </cell>
          <cell r="BY156" t="str">
            <v/>
          </cell>
          <cell r="BZ156">
            <v>1</v>
          </cell>
          <cell r="CA156">
            <v>5</v>
          </cell>
          <cell r="CB156">
            <v>0.90800000000000003</v>
          </cell>
          <cell r="CC156">
            <v>5</v>
          </cell>
          <cell r="CD156">
            <v>30</v>
          </cell>
          <cell r="CE156">
            <v>15</v>
          </cell>
          <cell r="CF156">
            <v>0</v>
          </cell>
          <cell r="CG156">
            <v>30</v>
          </cell>
          <cell r="CH156">
            <v>15</v>
          </cell>
          <cell r="CI156">
            <v>5</v>
          </cell>
          <cell r="CJ156">
            <v>1.8181818181818181E-2</v>
          </cell>
          <cell r="CK156">
            <v>1.8181818181818181E-2</v>
          </cell>
          <cell r="CL156">
            <v>0</v>
          </cell>
          <cell r="CM156">
            <v>7.0489510489510484E-3</v>
          </cell>
          <cell r="CN156">
            <v>7.0489510489510484E-3</v>
          </cell>
          <cell r="CO156">
            <v>0</v>
          </cell>
          <cell r="CP156">
            <v>0</v>
          </cell>
          <cell r="CQ156">
            <v>5.0070489510489509</v>
          </cell>
          <cell r="CR156">
            <v>3</v>
          </cell>
          <cell r="CS156">
            <v>1</v>
          </cell>
          <cell r="CT156">
            <v>0</v>
          </cell>
          <cell r="CU156">
            <v>0</v>
          </cell>
          <cell r="CV156">
            <v>25</v>
          </cell>
          <cell r="CW156">
            <v>25</v>
          </cell>
          <cell r="CX156" t="str">
            <v/>
          </cell>
          <cell r="CY156">
            <v>1.3</v>
          </cell>
          <cell r="CZ156">
            <v>1.2</v>
          </cell>
          <cell r="DA156">
            <v>1.3</v>
          </cell>
          <cell r="DB156">
            <v>40</v>
          </cell>
          <cell r="DC156">
            <v>19</v>
          </cell>
          <cell r="DD156">
            <v>11</v>
          </cell>
          <cell r="DE156">
            <v>3</v>
          </cell>
          <cell r="DF156">
            <v>5</v>
          </cell>
          <cell r="DG156">
            <v>1</v>
          </cell>
          <cell r="DH156">
            <v>1</v>
          </cell>
          <cell r="DI156">
            <v>2</v>
          </cell>
        </row>
        <row r="157">
          <cell r="A157" t="str">
            <v>RS 333</v>
          </cell>
          <cell r="B157">
            <v>155</v>
          </cell>
          <cell r="C157" t="str">
            <v>S</v>
          </cell>
          <cell r="D157" t="str">
            <v>T</v>
          </cell>
          <cell r="E157" t="str">
            <v>Mang'oma - Nsandu</v>
          </cell>
          <cell r="F157" t="str">
            <v>S128</v>
          </cell>
          <cell r="G157">
            <v>1</v>
          </cell>
          <cell r="H157">
            <v>11.6</v>
          </cell>
          <cell r="I157" t="str">
            <v>F</v>
          </cell>
          <cell r="J157" t="str">
            <v>MANGOCHI</v>
          </cell>
          <cell r="K157">
            <v>7</v>
          </cell>
          <cell r="L157" t="str">
            <v>Changed designation from M15 to S128</v>
          </cell>
          <cell r="W157">
            <v>74</v>
          </cell>
          <cell r="X157" t="str">
            <v>ST</v>
          </cell>
          <cell r="Y157">
            <v>100</v>
          </cell>
          <cell r="Z157" t="str">
            <v>GR</v>
          </cell>
          <cell r="AA157">
            <v>100</v>
          </cell>
          <cell r="AB157" t="str">
            <v>GR</v>
          </cell>
          <cell r="AC157">
            <v>7</v>
          </cell>
          <cell r="AD157" t="str">
            <v>PM</v>
          </cell>
          <cell r="AM157">
            <v>1</v>
          </cell>
          <cell r="AN157" t="str">
            <v>never resealed</v>
          </cell>
          <cell r="BO157" t="str">
            <v>RS 333</v>
          </cell>
          <cell r="BP157">
            <v>11.6</v>
          </cell>
          <cell r="BQ157">
            <v>6.7</v>
          </cell>
          <cell r="BR157" t="str">
            <v>F</v>
          </cell>
          <cell r="BT157">
            <v>0</v>
          </cell>
          <cell r="BU157" t="str">
            <v>ST</v>
          </cell>
          <cell r="BV157" t="str">
            <v/>
          </cell>
          <cell r="BW157">
            <v>1</v>
          </cell>
          <cell r="BX157">
            <v>10</v>
          </cell>
          <cell r="BY157" t="str">
            <v/>
          </cell>
          <cell r="BZ157">
            <v>1</v>
          </cell>
          <cell r="CA157">
            <v>7</v>
          </cell>
          <cell r="CB157">
            <v>0.90800000000000003</v>
          </cell>
          <cell r="CC157">
            <v>6.38</v>
          </cell>
          <cell r="CD157">
            <v>95</v>
          </cell>
          <cell r="CE157">
            <v>75</v>
          </cell>
          <cell r="CF157">
            <v>60</v>
          </cell>
          <cell r="CG157">
            <v>35</v>
          </cell>
          <cell r="CH157">
            <v>15</v>
          </cell>
          <cell r="CI157">
            <v>25</v>
          </cell>
          <cell r="CJ157">
            <v>7.4626865671641798E-2</v>
          </cell>
          <cell r="CK157">
            <v>10</v>
          </cell>
          <cell r="CL157">
            <v>60</v>
          </cell>
          <cell r="CM157">
            <v>0.52510907003444307</v>
          </cell>
          <cell r="CN157">
            <v>0.52510907003444307</v>
          </cell>
          <cell r="CO157">
            <v>0</v>
          </cell>
          <cell r="CP157">
            <v>0</v>
          </cell>
          <cell r="CQ157">
            <v>6.9051090700344426</v>
          </cell>
          <cell r="CR157">
            <v>80</v>
          </cell>
          <cell r="CS157">
            <v>1.6</v>
          </cell>
          <cell r="CT157">
            <v>3.0000000000000004</v>
          </cell>
          <cell r="CU157">
            <v>1.2000000000000002</v>
          </cell>
          <cell r="CV157">
            <v>24</v>
          </cell>
          <cell r="CW157">
            <v>24</v>
          </cell>
          <cell r="CX157" t="str">
            <v/>
          </cell>
          <cell r="CY157">
            <v>3</v>
          </cell>
          <cell r="CZ157">
            <v>3</v>
          </cell>
          <cell r="DA157">
            <v>1</v>
          </cell>
          <cell r="DB157">
            <v>1000</v>
          </cell>
          <cell r="DC157">
            <v>470</v>
          </cell>
          <cell r="DD157">
            <v>260</v>
          </cell>
          <cell r="DE157">
            <v>75</v>
          </cell>
          <cell r="DF157">
            <v>115</v>
          </cell>
          <cell r="DG157">
            <v>20</v>
          </cell>
          <cell r="DH157">
            <v>10</v>
          </cell>
          <cell r="DI157">
            <v>50</v>
          </cell>
        </row>
        <row r="158">
          <cell r="A158" t="str">
            <v>RS 354</v>
          </cell>
          <cell r="B158">
            <v>176</v>
          </cell>
          <cell r="C158" t="str">
            <v>S</v>
          </cell>
          <cell r="D158" t="str">
            <v>T</v>
          </cell>
          <cell r="E158" t="str">
            <v>Naminga - Malipa</v>
          </cell>
          <cell r="F158" t="str">
            <v>S131</v>
          </cell>
          <cell r="G158">
            <v>9</v>
          </cell>
          <cell r="H158">
            <v>5.2</v>
          </cell>
          <cell r="I158" t="str">
            <v>R</v>
          </cell>
          <cell r="J158" t="str">
            <v>MACHINGA</v>
          </cell>
          <cell r="K158">
            <v>8</v>
          </cell>
          <cell r="W158">
            <v>83</v>
          </cell>
          <cell r="X158" t="str">
            <v>DS</v>
          </cell>
          <cell r="Y158">
            <v>100</v>
          </cell>
          <cell r="Z158" t="str">
            <v>GR</v>
          </cell>
          <cell r="AA158">
            <v>100</v>
          </cell>
          <cell r="AB158" t="str">
            <v>GR</v>
          </cell>
          <cell r="AC158">
            <v>5</v>
          </cell>
          <cell r="AM158">
            <v>1</v>
          </cell>
          <cell r="AN158" t="str">
            <v>never resealed</v>
          </cell>
          <cell r="BO158" t="str">
            <v>RS 354</v>
          </cell>
          <cell r="BP158">
            <v>5.2</v>
          </cell>
          <cell r="BQ158">
            <v>6.7</v>
          </cell>
          <cell r="BR158" t="str">
            <v>R</v>
          </cell>
          <cell r="BT158">
            <v>0</v>
          </cell>
          <cell r="BU158" t="str">
            <v>DS</v>
          </cell>
          <cell r="BV158" t="str">
            <v/>
          </cell>
          <cell r="BW158">
            <v>1</v>
          </cell>
          <cell r="BX158">
            <v>15</v>
          </cell>
          <cell r="BY158" t="str">
            <v/>
          </cell>
          <cell r="BZ158">
            <v>1</v>
          </cell>
          <cell r="CA158">
            <v>5</v>
          </cell>
          <cell r="CB158">
            <v>1.077</v>
          </cell>
          <cell r="CC158">
            <v>3</v>
          </cell>
          <cell r="CD158">
            <v>10</v>
          </cell>
          <cell r="CE158">
            <v>5</v>
          </cell>
          <cell r="CF158">
            <v>0</v>
          </cell>
          <cell r="CG158">
            <v>10</v>
          </cell>
          <cell r="CH158">
            <v>5</v>
          </cell>
          <cell r="CI158">
            <v>2</v>
          </cell>
          <cell r="CJ158">
            <v>5.9701492537313433E-3</v>
          </cell>
          <cell r="CK158">
            <v>5.9701492537313433E-3</v>
          </cell>
          <cell r="CL158">
            <v>0</v>
          </cell>
          <cell r="CM158">
            <v>2.3145809414466131E-3</v>
          </cell>
          <cell r="CN158">
            <v>2.3145809414466131E-3</v>
          </cell>
          <cell r="CO158">
            <v>0</v>
          </cell>
          <cell r="CP158">
            <v>0</v>
          </cell>
          <cell r="CQ158">
            <v>3.0023145809414467</v>
          </cell>
          <cell r="CR158">
            <v>0</v>
          </cell>
          <cell r="CS158">
            <v>1</v>
          </cell>
          <cell r="CT158">
            <v>0</v>
          </cell>
          <cell r="CU158">
            <v>0</v>
          </cell>
          <cell r="CV158">
            <v>15</v>
          </cell>
          <cell r="CW158">
            <v>15</v>
          </cell>
          <cell r="CX158" t="str">
            <v/>
          </cell>
          <cell r="CY158">
            <v>1.5</v>
          </cell>
          <cell r="CZ158">
            <v>1.5</v>
          </cell>
          <cell r="DA158">
            <v>1.5</v>
          </cell>
          <cell r="DB158">
            <v>150</v>
          </cell>
          <cell r="DC158">
            <v>71</v>
          </cell>
          <cell r="DD158">
            <v>39</v>
          </cell>
          <cell r="DE158">
            <v>12</v>
          </cell>
          <cell r="DF158">
            <v>18</v>
          </cell>
          <cell r="DG158">
            <v>3</v>
          </cell>
          <cell r="DH158">
            <v>2</v>
          </cell>
          <cell r="DI158">
            <v>8</v>
          </cell>
        </row>
        <row r="159">
          <cell r="A159" t="str">
            <v>RS 348</v>
          </cell>
          <cell r="B159">
            <v>170</v>
          </cell>
          <cell r="C159" t="str">
            <v>S</v>
          </cell>
          <cell r="D159" t="str">
            <v>T</v>
          </cell>
          <cell r="E159" t="str">
            <v>Malipa - Liwonde (junction M3)</v>
          </cell>
          <cell r="F159" t="str">
            <v>S131</v>
          </cell>
          <cell r="G159">
            <v>10</v>
          </cell>
          <cell r="H159">
            <v>19.100000000000001</v>
          </cell>
          <cell r="I159" t="str">
            <v>R</v>
          </cell>
          <cell r="J159" t="str">
            <v>MACHINGA</v>
          </cell>
          <cell r="K159">
            <v>8</v>
          </cell>
          <cell r="W159">
            <v>83</v>
          </cell>
          <cell r="X159" t="str">
            <v>DS</v>
          </cell>
          <cell r="Y159">
            <v>100</v>
          </cell>
          <cell r="Z159" t="str">
            <v>GR</v>
          </cell>
          <cell r="AA159">
            <v>100</v>
          </cell>
          <cell r="AB159" t="str">
            <v>GR</v>
          </cell>
          <cell r="AC159">
            <v>6</v>
          </cell>
          <cell r="AM159">
            <v>1</v>
          </cell>
          <cell r="AN159" t="str">
            <v>never resealed</v>
          </cell>
          <cell r="BO159" t="str">
            <v>RS 348</v>
          </cell>
          <cell r="BP159">
            <v>19.100000000000001</v>
          </cell>
          <cell r="BQ159">
            <v>6.7</v>
          </cell>
          <cell r="BR159" t="str">
            <v>R</v>
          </cell>
          <cell r="BT159">
            <v>0</v>
          </cell>
          <cell r="BU159" t="str">
            <v>DS</v>
          </cell>
          <cell r="BV159" t="str">
            <v/>
          </cell>
          <cell r="BW159">
            <v>1</v>
          </cell>
          <cell r="BX159">
            <v>15</v>
          </cell>
          <cell r="BY159" t="str">
            <v/>
          </cell>
          <cell r="BZ159">
            <v>1</v>
          </cell>
          <cell r="CA159">
            <v>6</v>
          </cell>
          <cell r="CB159">
            <v>1.077</v>
          </cell>
          <cell r="CC159">
            <v>3</v>
          </cell>
          <cell r="CD159">
            <v>10</v>
          </cell>
          <cell r="CE159">
            <v>5</v>
          </cell>
          <cell r="CF159">
            <v>0</v>
          </cell>
          <cell r="CG159">
            <v>10</v>
          </cell>
          <cell r="CH159">
            <v>5</v>
          </cell>
          <cell r="CI159">
            <v>2</v>
          </cell>
          <cell r="CJ159">
            <v>5.9701492537313433E-3</v>
          </cell>
          <cell r="CK159">
            <v>5.9701492537313433E-3</v>
          </cell>
          <cell r="CL159">
            <v>0</v>
          </cell>
          <cell r="CM159">
            <v>2.3145809414466131E-3</v>
          </cell>
          <cell r="CN159">
            <v>2.3145809414466131E-3</v>
          </cell>
          <cell r="CO159">
            <v>0</v>
          </cell>
          <cell r="CP159">
            <v>0</v>
          </cell>
          <cell r="CQ159">
            <v>3.0023145809414467</v>
          </cell>
          <cell r="CR159">
            <v>0</v>
          </cell>
          <cell r="CS159">
            <v>1</v>
          </cell>
          <cell r="CT159">
            <v>0</v>
          </cell>
          <cell r="CU159">
            <v>0</v>
          </cell>
          <cell r="CV159">
            <v>15</v>
          </cell>
          <cell r="CW159">
            <v>15</v>
          </cell>
          <cell r="CX159" t="str">
            <v/>
          </cell>
          <cell r="CY159">
            <v>1.5</v>
          </cell>
          <cell r="CZ159">
            <v>1.5</v>
          </cell>
          <cell r="DA159">
            <v>1.5</v>
          </cell>
          <cell r="DB159">
            <v>150</v>
          </cell>
          <cell r="DC159">
            <v>71</v>
          </cell>
          <cell r="DD159">
            <v>39</v>
          </cell>
          <cell r="DE159">
            <v>12</v>
          </cell>
          <cell r="DF159">
            <v>18</v>
          </cell>
          <cell r="DG159">
            <v>3</v>
          </cell>
          <cell r="DH159">
            <v>2</v>
          </cell>
          <cell r="DI159">
            <v>8</v>
          </cell>
        </row>
        <row r="160">
          <cell r="A160" t="str">
            <v>RS 382</v>
          </cell>
          <cell r="B160">
            <v>204</v>
          </cell>
          <cell r="C160" t="str">
            <v>S</v>
          </cell>
          <cell r="D160" t="str">
            <v>T</v>
          </cell>
          <cell r="E160" t="str">
            <v>Chileka Airport - Chirimba (junction M1)</v>
          </cell>
          <cell r="F160" t="str">
            <v>S137</v>
          </cell>
          <cell r="G160">
            <v>6</v>
          </cell>
          <cell r="H160">
            <v>8.3000000000000007</v>
          </cell>
          <cell r="I160" t="str">
            <v>H</v>
          </cell>
          <cell r="J160" t="str">
            <v>BLANTYRE</v>
          </cell>
          <cell r="K160">
            <v>9</v>
          </cell>
          <cell r="W160">
            <v>65</v>
          </cell>
          <cell r="X160" t="str">
            <v>DS</v>
          </cell>
          <cell r="Y160">
            <v>100</v>
          </cell>
          <cell r="Z160" t="str">
            <v>GR</v>
          </cell>
          <cell r="AA160">
            <v>100</v>
          </cell>
          <cell r="AB160" t="str">
            <v>GR</v>
          </cell>
          <cell r="AC160">
            <v>6</v>
          </cell>
          <cell r="AM160">
            <v>1</v>
          </cell>
          <cell r="AN160" t="str">
            <v>never resealed</v>
          </cell>
          <cell r="BO160" t="str">
            <v>RS 382</v>
          </cell>
          <cell r="BP160">
            <v>8.3000000000000007</v>
          </cell>
          <cell r="BQ160">
            <v>6.5</v>
          </cell>
          <cell r="BR160" t="str">
            <v>H</v>
          </cell>
          <cell r="BT160">
            <v>0</v>
          </cell>
          <cell r="BU160" t="str">
            <v>DS</v>
          </cell>
          <cell r="BV160" t="str">
            <v/>
          </cell>
          <cell r="BW160">
            <v>1</v>
          </cell>
          <cell r="BX160">
            <v>15</v>
          </cell>
          <cell r="BY160" t="str">
            <v/>
          </cell>
          <cell r="BZ160">
            <v>1</v>
          </cell>
          <cell r="CA160">
            <v>6</v>
          </cell>
          <cell r="CB160">
            <v>1.077</v>
          </cell>
          <cell r="CC160">
            <v>7</v>
          </cell>
          <cell r="CD160">
            <v>90</v>
          </cell>
          <cell r="CE160">
            <v>75</v>
          </cell>
          <cell r="CF160">
            <v>60</v>
          </cell>
          <cell r="CG160">
            <v>30</v>
          </cell>
          <cell r="CH160">
            <v>15</v>
          </cell>
          <cell r="CI160">
            <v>47</v>
          </cell>
          <cell r="CJ160">
            <v>0.14461538461538462</v>
          </cell>
          <cell r="CK160">
            <v>10</v>
          </cell>
          <cell r="CL160">
            <v>60</v>
          </cell>
          <cell r="CM160">
            <v>0.55154319526627205</v>
          </cell>
          <cell r="CN160">
            <v>0.55154319526627205</v>
          </cell>
          <cell r="CO160">
            <v>0</v>
          </cell>
          <cell r="CP160">
            <v>0</v>
          </cell>
          <cell r="CQ160">
            <v>7.5515431952662722</v>
          </cell>
          <cell r="CR160">
            <v>0</v>
          </cell>
          <cell r="CS160">
            <v>1</v>
          </cell>
          <cell r="CT160">
            <v>0</v>
          </cell>
          <cell r="CU160">
            <v>0</v>
          </cell>
          <cell r="CV160">
            <v>33</v>
          </cell>
          <cell r="CW160">
            <v>33</v>
          </cell>
          <cell r="CX160" t="str">
            <v/>
          </cell>
          <cell r="CY160">
            <v>2.5</v>
          </cell>
          <cell r="CZ160">
            <v>2</v>
          </cell>
          <cell r="DA160">
            <v>2.5</v>
          </cell>
          <cell r="DB160">
            <v>860</v>
          </cell>
          <cell r="DC160">
            <v>405</v>
          </cell>
          <cell r="DD160">
            <v>224</v>
          </cell>
          <cell r="DE160">
            <v>65</v>
          </cell>
          <cell r="DF160">
            <v>99</v>
          </cell>
          <cell r="DG160">
            <v>18</v>
          </cell>
          <cell r="DH160">
            <v>9</v>
          </cell>
          <cell r="DI160">
            <v>43</v>
          </cell>
        </row>
        <row r="161">
          <cell r="A161" t="str">
            <v>RS 391</v>
          </cell>
          <cell r="B161">
            <v>213</v>
          </cell>
          <cell r="C161" t="str">
            <v>S</v>
          </cell>
          <cell r="D161" t="str">
            <v>T</v>
          </cell>
          <cell r="E161" t="str">
            <v>Kuntiya - junction M3</v>
          </cell>
          <cell r="F161" t="str">
            <v>S139</v>
          </cell>
          <cell r="G161">
            <v>6</v>
          </cell>
          <cell r="H161">
            <v>2.1</v>
          </cell>
          <cell r="I161" t="str">
            <v>H</v>
          </cell>
          <cell r="J161" t="str">
            <v>ZOMBA CITY</v>
          </cell>
          <cell r="K161">
            <v>9</v>
          </cell>
          <cell r="L161" t="str">
            <v>Changed designation from S142 to S139</v>
          </cell>
          <cell r="W161">
            <v>67</v>
          </cell>
          <cell r="X161" t="str">
            <v>ST</v>
          </cell>
          <cell r="Y161">
            <v>100</v>
          </cell>
          <cell r="Z161" t="str">
            <v>GR</v>
          </cell>
          <cell r="AA161">
            <v>100</v>
          </cell>
          <cell r="AB161" t="str">
            <v>GR</v>
          </cell>
          <cell r="AC161">
            <v>5</v>
          </cell>
          <cell r="AM161">
            <v>1</v>
          </cell>
          <cell r="AN161" t="str">
            <v>never resealed</v>
          </cell>
          <cell r="BO161" t="str">
            <v>RS 391</v>
          </cell>
          <cell r="BP161">
            <v>2.1</v>
          </cell>
          <cell r="BQ161">
            <v>5.5</v>
          </cell>
          <cell r="BR161" t="str">
            <v>H</v>
          </cell>
          <cell r="BT161">
            <v>0</v>
          </cell>
          <cell r="BU161" t="str">
            <v>ST</v>
          </cell>
          <cell r="BV161" t="str">
            <v/>
          </cell>
          <cell r="BW161">
            <v>1</v>
          </cell>
          <cell r="BX161">
            <v>10</v>
          </cell>
          <cell r="BY161" t="str">
            <v/>
          </cell>
          <cell r="BZ161">
            <v>1</v>
          </cell>
          <cell r="CA161">
            <v>5</v>
          </cell>
          <cell r="CB161">
            <v>0.90800000000000003</v>
          </cell>
          <cell r="CC161">
            <v>5</v>
          </cell>
          <cell r="CD161">
            <v>85</v>
          </cell>
          <cell r="CE161">
            <v>55</v>
          </cell>
          <cell r="CF161">
            <v>40</v>
          </cell>
          <cell r="CG161">
            <v>45</v>
          </cell>
          <cell r="CH161">
            <v>15</v>
          </cell>
          <cell r="CI161">
            <v>15</v>
          </cell>
          <cell r="CJ161">
            <v>5.454545454545455E-2</v>
          </cell>
          <cell r="CK161">
            <v>10</v>
          </cell>
          <cell r="CL161">
            <v>40</v>
          </cell>
          <cell r="CM161">
            <v>0.38521678321678315</v>
          </cell>
          <cell r="CN161">
            <v>0.38521678321678315</v>
          </cell>
          <cell r="CO161">
            <v>0</v>
          </cell>
          <cell r="CP161">
            <v>0</v>
          </cell>
          <cell r="CQ161">
            <v>5.3852167832167828</v>
          </cell>
          <cell r="CR161">
            <v>0</v>
          </cell>
          <cell r="CS161">
            <v>1</v>
          </cell>
          <cell r="CT161">
            <v>0</v>
          </cell>
          <cell r="CU161">
            <v>0</v>
          </cell>
          <cell r="CV161">
            <v>31</v>
          </cell>
          <cell r="CW161">
            <v>31</v>
          </cell>
          <cell r="CX161" t="str">
            <v/>
          </cell>
          <cell r="CY161">
            <v>2</v>
          </cell>
          <cell r="CZ161">
            <v>1.5</v>
          </cell>
          <cell r="DA161">
            <v>2</v>
          </cell>
          <cell r="DB161">
            <v>65</v>
          </cell>
          <cell r="DC161">
            <v>31</v>
          </cell>
          <cell r="DD161">
            <v>17</v>
          </cell>
          <cell r="DE161">
            <v>5</v>
          </cell>
          <cell r="DF161">
            <v>8</v>
          </cell>
          <cell r="DG161">
            <v>2</v>
          </cell>
          <cell r="DH161">
            <v>1</v>
          </cell>
          <cell r="DI161">
            <v>4</v>
          </cell>
        </row>
        <row r="162">
          <cell r="A162" t="str">
            <v>RS 393</v>
          </cell>
          <cell r="B162">
            <v>215</v>
          </cell>
          <cell r="C162" t="str">
            <v>S</v>
          </cell>
          <cell r="D162" t="str">
            <v>T</v>
          </cell>
          <cell r="E162" t="str">
            <v>M3 junction - Ndege (Air Wing)</v>
          </cell>
          <cell r="F162" t="str">
            <v>S143</v>
          </cell>
          <cell r="G162">
            <v>1</v>
          </cell>
          <cell r="H162">
            <v>3.9</v>
          </cell>
          <cell r="I162" t="str">
            <v>F</v>
          </cell>
          <cell r="J162" t="str">
            <v>ZOMBA</v>
          </cell>
          <cell r="K162">
            <v>9</v>
          </cell>
          <cell r="W162">
            <v>83</v>
          </cell>
          <cell r="X162" t="str">
            <v>ST</v>
          </cell>
          <cell r="Y162">
            <v>100</v>
          </cell>
          <cell r="Z162" t="str">
            <v>GR</v>
          </cell>
          <cell r="AA162">
            <v>100</v>
          </cell>
          <cell r="AB162" t="str">
            <v>GR</v>
          </cell>
          <cell r="AC162">
            <v>10</v>
          </cell>
          <cell r="AM162">
            <v>1</v>
          </cell>
          <cell r="AN162" t="str">
            <v>never resealed</v>
          </cell>
          <cell r="BO162" t="str">
            <v>RS 393</v>
          </cell>
          <cell r="BP162">
            <v>3.9</v>
          </cell>
          <cell r="BQ162">
            <v>6</v>
          </cell>
          <cell r="BR162" t="str">
            <v>F</v>
          </cell>
          <cell r="BT162">
            <v>0</v>
          </cell>
          <cell r="BU162" t="str">
            <v>ST</v>
          </cell>
          <cell r="BV162" t="str">
            <v/>
          </cell>
          <cell r="BW162">
            <v>1</v>
          </cell>
          <cell r="BX162">
            <v>10</v>
          </cell>
          <cell r="BY162" t="str">
            <v/>
          </cell>
          <cell r="BZ162">
            <v>1</v>
          </cell>
          <cell r="CA162">
            <v>10</v>
          </cell>
          <cell r="CB162">
            <v>0.90800000000000003</v>
          </cell>
          <cell r="CC162">
            <v>8.35</v>
          </cell>
          <cell r="CD162">
            <v>50</v>
          </cell>
          <cell r="CE162">
            <v>20</v>
          </cell>
          <cell r="CF162">
            <v>5</v>
          </cell>
          <cell r="CG162">
            <v>45</v>
          </cell>
          <cell r="CH162">
            <v>15</v>
          </cell>
          <cell r="CI162">
            <v>12</v>
          </cell>
          <cell r="CJ162">
            <v>4.0000000000000008E-2</v>
          </cell>
          <cell r="CK162">
            <v>5.04</v>
          </cell>
          <cell r="CL162">
            <v>5</v>
          </cell>
          <cell r="CM162">
            <v>9.8584615384615396E-2</v>
          </cell>
          <cell r="CN162">
            <v>9.8584615384615396E-2</v>
          </cell>
          <cell r="CO162">
            <v>0</v>
          </cell>
          <cell r="CP162">
            <v>0</v>
          </cell>
          <cell r="CQ162">
            <v>8.4485846153846147</v>
          </cell>
          <cell r="CR162">
            <v>0</v>
          </cell>
          <cell r="CS162">
            <v>1</v>
          </cell>
          <cell r="CT162">
            <v>0</v>
          </cell>
          <cell r="CU162">
            <v>0</v>
          </cell>
          <cell r="CV162">
            <v>15</v>
          </cell>
          <cell r="CW162">
            <v>15</v>
          </cell>
          <cell r="CX162" t="str">
            <v/>
          </cell>
          <cell r="CY162">
            <v>1.5</v>
          </cell>
          <cell r="CZ162">
            <v>1.5</v>
          </cell>
          <cell r="DA162">
            <v>2</v>
          </cell>
          <cell r="DB162">
            <v>80</v>
          </cell>
          <cell r="DC162">
            <v>38</v>
          </cell>
          <cell r="DD162">
            <v>21</v>
          </cell>
          <cell r="DE162">
            <v>6</v>
          </cell>
          <cell r="DF162">
            <v>10</v>
          </cell>
          <cell r="DG162">
            <v>2</v>
          </cell>
          <cell r="DH162">
            <v>1</v>
          </cell>
          <cell r="DI162">
            <v>4</v>
          </cell>
        </row>
        <row r="163">
          <cell r="A163" t="str">
            <v>RS 406</v>
          </cell>
          <cell r="B163">
            <v>228</v>
          </cell>
          <cell r="C163" t="str">
            <v>S</v>
          </cell>
          <cell r="D163" t="str">
            <v>T</v>
          </cell>
          <cell r="E163" t="str">
            <v>Chiradzulu - Walala</v>
          </cell>
          <cell r="F163" t="str">
            <v>S146</v>
          </cell>
          <cell r="G163">
            <v>3</v>
          </cell>
          <cell r="H163">
            <v>11.7</v>
          </cell>
          <cell r="I163" t="str">
            <v>R</v>
          </cell>
          <cell r="J163" t="str">
            <v>CHIRADZULU</v>
          </cell>
          <cell r="K163">
            <v>9</v>
          </cell>
          <cell r="W163">
            <v>80</v>
          </cell>
          <cell r="X163" t="str">
            <v>ST</v>
          </cell>
          <cell r="Y163">
            <v>150</v>
          </cell>
          <cell r="Z163" t="str">
            <v>GR</v>
          </cell>
          <cell r="AA163">
            <v>100</v>
          </cell>
          <cell r="AB163" t="str">
            <v>GR</v>
          </cell>
          <cell r="AC163">
            <v>5</v>
          </cell>
          <cell r="AD163" t="str">
            <v>PM</v>
          </cell>
          <cell r="AM163">
            <v>1</v>
          </cell>
          <cell r="AN163" t="str">
            <v>never resealed</v>
          </cell>
          <cell r="BO163" t="str">
            <v>RS 406</v>
          </cell>
          <cell r="BP163">
            <v>11.7</v>
          </cell>
          <cell r="BQ163">
            <v>6.7</v>
          </cell>
          <cell r="BR163" t="str">
            <v>R</v>
          </cell>
          <cell r="BT163">
            <v>0</v>
          </cell>
          <cell r="BU163" t="str">
            <v>ST</v>
          </cell>
          <cell r="BV163" t="str">
            <v/>
          </cell>
          <cell r="BW163">
            <v>1</v>
          </cell>
          <cell r="BX163">
            <v>10</v>
          </cell>
          <cell r="BY163" t="str">
            <v/>
          </cell>
          <cell r="BZ163">
            <v>1</v>
          </cell>
          <cell r="CA163">
            <v>5</v>
          </cell>
          <cell r="CB163">
            <v>0.90800000000000003</v>
          </cell>
          <cell r="CC163">
            <v>6.28</v>
          </cell>
          <cell r="CD163">
            <v>90</v>
          </cell>
          <cell r="CE163">
            <v>65</v>
          </cell>
          <cell r="CF163">
            <v>50</v>
          </cell>
          <cell r="CG163">
            <v>40</v>
          </cell>
          <cell r="CH163">
            <v>15</v>
          </cell>
          <cell r="CI163">
            <v>10</v>
          </cell>
          <cell r="CJ163">
            <v>2.9850746268656716E-2</v>
          </cell>
          <cell r="CK163">
            <v>10</v>
          </cell>
          <cell r="CL163">
            <v>50</v>
          </cell>
          <cell r="CM163">
            <v>0.44204362801377722</v>
          </cell>
          <cell r="CN163">
            <v>0.44204362801377722</v>
          </cell>
          <cell r="CO163">
            <v>0</v>
          </cell>
          <cell r="CP163">
            <v>0</v>
          </cell>
          <cell r="CQ163">
            <v>6.7220436280137772</v>
          </cell>
          <cell r="CR163">
            <v>0</v>
          </cell>
          <cell r="CS163">
            <v>1</v>
          </cell>
          <cell r="CT163">
            <v>0</v>
          </cell>
          <cell r="CU163">
            <v>0</v>
          </cell>
          <cell r="CV163">
            <v>18</v>
          </cell>
          <cell r="CW163">
            <v>18</v>
          </cell>
          <cell r="CX163" t="str">
            <v/>
          </cell>
          <cell r="CY163">
            <v>2</v>
          </cell>
          <cell r="CZ163">
            <v>2</v>
          </cell>
          <cell r="DA163">
            <v>1.5</v>
          </cell>
          <cell r="DB163">
            <v>190</v>
          </cell>
          <cell r="DC163">
            <v>90</v>
          </cell>
          <cell r="DD163">
            <v>50</v>
          </cell>
          <cell r="DE163">
            <v>15</v>
          </cell>
          <cell r="DF163">
            <v>22</v>
          </cell>
          <cell r="DG163">
            <v>4</v>
          </cell>
          <cell r="DH163">
            <v>2</v>
          </cell>
          <cell r="DI163">
            <v>10</v>
          </cell>
        </row>
        <row r="164">
          <cell r="A164" t="str">
            <v>RS 407</v>
          </cell>
          <cell r="B164">
            <v>229</v>
          </cell>
          <cell r="C164" t="str">
            <v>S</v>
          </cell>
          <cell r="D164" t="str">
            <v>T</v>
          </cell>
          <cell r="E164" t="str">
            <v>Walala - Limbe (junction M3)</v>
          </cell>
          <cell r="F164" t="str">
            <v>S146</v>
          </cell>
          <cell r="G164">
            <v>4</v>
          </cell>
          <cell r="H164">
            <v>2.5</v>
          </cell>
          <cell r="I164" t="str">
            <v>R</v>
          </cell>
          <cell r="J164" t="str">
            <v>BLANTYRE</v>
          </cell>
          <cell r="K164">
            <v>9</v>
          </cell>
          <cell r="W164">
            <v>80</v>
          </cell>
          <cell r="X164" t="str">
            <v>ST</v>
          </cell>
          <cell r="Y164">
            <v>150</v>
          </cell>
          <cell r="Z164" t="str">
            <v>GR</v>
          </cell>
          <cell r="AA164">
            <v>100</v>
          </cell>
          <cell r="AB164" t="str">
            <v>GR</v>
          </cell>
          <cell r="AC164">
            <v>5</v>
          </cell>
          <cell r="AD164" t="str">
            <v>PM</v>
          </cell>
          <cell r="AM164">
            <v>1</v>
          </cell>
          <cell r="AN164" t="str">
            <v>never resealed</v>
          </cell>
          <cell r="BO164" t="str">
            <v>RS 407</v>
          </cell>
          <cell r="BP164">
            <v>2.5</v>
          </cell>
          <cell r="BQ164">
            <v>6.7</v>
          </cell>
          <cell r="BR164" t="str">
            <v>R</v>
          </cell>
          <cell r="BT164">
            <v>0</v>
          </cell>
          <cell r="BU164" t="str">
            <v>ST</v>
          </cell>
          <cell r="BV164" t="str">
            <v/>
          </cell>
          <cell r="BW164">
            <v>1</v>
          </cell>
          <cell r="BX164">
            <v>10</v>
          </cell>
          <cell r="BY164" t="str">
            <v/>
          </cell>
          <cell r="BZ164">
            <v>1</v>
          </cell>
          <cell r="CA164">
            <v>5</v>
          </cell>
          <cell r="CB164">
            <v>0.90800000000000003</v>
          </cell>
          <cell r="CC164">
            <v>6.28</v>
          </cell>
          <cell r="CD164">
            <v>85</v>
          </cell>
          <cell r="CE164">
            <v>70</v>
          </cell>
          <cell r="CF164">
            <v>55</v>
          </cell>
          <cell r="CG164">
            <v>30</v>
          </cell>
          <cell r="CH164">
            <v>15</v>
          </cell>
          <cell r="CI164">
            <v>15</v>
          </cell>
          <cell r="CJ164">
            <v>4.4776119402985072E-2</v>
          </cell>
          <cell r="CK164">
            <v>10</v>
          </cell>
          <cell r="CL164">
            <v>55</v>
          </cell>
          <cell r="CM164">
            <v>0.48075774971297353</v>
          </cell>
          <cell r="CN164">
            <v>0.48075774971297353</v>
          </cell>
          <cell r="CO164">
            <v>0</v>
          </cell>
          <cell r="CP164">
            <v>0</v>
          </cell>
          <cell r="CQ164">
            <v>6.7607577497129734</v>
          </cell>
          <cell r="CR164">
            <v>0</v>
          </cell>
          <cell r="CS164">
            <v>1</v>
          </cell>
          <cell r="CT164">
            <v>0</v>
          </cell>
          <cell r="CU164">
            <v>0</v>
          </cell>
          <cell r="CV164">
            <v>18</v>
          </cell>
          <cell r="CW164">
            <v>18</v>
          </cell>
          <cell r="CX164" t="str">
            <v/>
          </cell>
          <cell r="CY164">
            <v>2</v>
          </cell>
          <cell r="CZ164">
            <v>2</v>
          </cell>
          <cell r="DA164">
            <v>2</v>
          </cell>
          <cell r="DB164">
            <v>200</v>
          </cell>
          <cell r="DC164">
            <v>94</v>
          </cell>
          <cell r="DD164">
            <v>52</v>
          </cell>
          <cell r="DE164">
            <v>15</v>
          </cell>
          <cell r="DF164">
            <v>23</v>
          </cell>
          <cell r="DG164">
            <v>4</v>
          </cell>
          <cell r="DH164">
            <v>2</v>
          </cell>
          <cell r="DI164">
            <v>10</v>
          </cell>
        </row>
        <row r="165">
          <cell r="A165" t="str">
            <v>RS 462</v>
          </cell>
          <cell r="B165">
            <v>284</v>
          </cell>
          <cell r="C165" t="str">
            <v>N</v>
          </cell>
          <cell r="D165" t="str">
            <v>T</v>
          </cell>
          <cell r="E165" t="str">
            <v>Kalwe - Nkhata Bay</v>
          </cell>
          <cell r="F165" t="str">
            <v>T318</v>
          </cell>
          <cell r="G165">
            <v>1</v>
          </cell>
          <cell r="H165">
            <v>5.2</v>
          </cell>
          <cell r="I165" t="str">
            <v>F</v>
          </cell>
          <cell r="J165" t="str">
            <v>NKHATA BAY</v>
          </cell>
          <cell r="K165">
            <v>3</v>
          </cell>
          <cell r="L165" t="str">
            <v>Changed from feeder to trunk as bitumen road</v>
          </cell>
          <cell r="W165">
            <v>75</v>
          </cell>
          <cell r="X165" t="str">
            <v>ST</v>
          </cell>
          <cell r="Y165">
            <v>150</v>
          </cell>
          <cell r="Z165" t="str">
            <v>SG</v>
          </cell>
          <cell r="AA165">
            <v>100</v>
          </cell>
          <cell r="AB165" t="str">
            <v>GR</v>
          </cell>
          <cell r="AC165">
            <v>7</v>
          </cell>
          <cell r="AD165" t="str">
            <v>PM</v>
          </cell>
          <cell r="AM165">
            <v>3</v>
          </cell>
          <cell r="AN165" t="str">
            <v>never resealed</v>
          </cell>
          <cell r="BO165" t="str">
            <v>RS 462</v>
          </cell>
          <cell r="BP165">
            <v>5.2</v>
          </cell>
          <cell r="BQ165">
            <v>5.5</v>
          </cell>
          <cell r="BR165" t="str">
            <v>F</v>
          </cell>
          <cell r="BS165" t="str">
            <v>C</v>
          </cell>
          <cell r="BT165">
            <v>0</v>
          </cell>
          <cell r="BU165" t="str">
            <v>ST</v>
          </cell>
          <cell r="BV165" t="str">
            <v/>
          </cell>
          <cell r="BW165">
            <v>3</v>
          </cell>
          <cell r="BX165">
            <v>10</v>
          </cell>
          <cell r="BY165" t="str">
            <v/>
          </cell>
          <cell r="BZ165">
            <v>2</v>
          </cell>
          <cell r="CA165">
            <v>7</v>
          </cell>
          <cell r="CB165">
            <v>1.36</v>
          </cell>
          <cell r="CC165">
            <v>6.560767608637696</v>
          </cell>
          <cell r="CD165">
            <v>0</v>
          </cell>
          <cell r="CE165">
            <v>0</v>
          </cell>
          <cell r="CF165">
            <v>0</v>
          </cell>
          <cell r="CG165">
            <v>0</v>
          </cell>
          <cell r="CH165">
            <v>0</v>
          </cell>
          <cell r="CI165">
            <v>27</v>
          </cell>
          <cell r="CJ165">
            <v>9.8181818181818176E-2</v>
          </cell>
          <cell r="CK165">
            <v>9.8181818181818176E-2</v>
          </cell>
          <cell r="CL165">
            <v>0</v>
          </cell>
          <cell r="CM165">
            <v>3.8064335664335661E-2</v>
          </cell>
          <cell r="CN165">
            <v>3.8064335664335661E-2</v>
          </cell>
          <cell r="CO165">
            <v>0</v>
          </cell>
          <cell r="CP165">
            <v>0</v>
          </cell>
          <cell r="CQ165">
            <v>6.5988319443020318</v>
          </cell>
          <cell r="CR165">
            <v>0</v>
          </cell>
          <cell r="CS165">
            <v>1</v>
          </cell>
          <cell r="CT165">
            <v>0</v>
          </cell>
          <cell r="CU165">
            <v>0</v>
          </cell>
          <cell r="CV165">
            <v>23</v>
          </cell>
          <cell r="CW165">
            <v>23</v>
          </cell>
          <cell r="CX165" t="str">
            <v/>
          </cell>
          <cell r="CY165">
            <v>2</v>
          </cell>
          <cell r="CZ165">
            <v>2</v>
          </cell>
          <cell r="DA165">
            <v>2</v>
          </cell>
          <cell r="DB165">
            <v>300</v>
          </cell>
          <cell r="DC165">
            <v>141</v>
          </cell>
          <cell r="DD165">
            <v>78</v>
          </cell>
          <cell r="DE165">
            <v>23</v>
          </cell>
          <cell r="DF165">
            <v>35</v>
          </cell>
          <cell r="DG165">
            <v>6</v>
          </cell>
          <cell r="DH165">
            <v>3</v>
          </cell>
          <cell r="DI165">
            <v>15</v>
          </cell>
        </row>
        <row r="166">
          <cell r="A166" t="str">
            <v>RS 235</v>
          </cell>
          <cell r="B166">
            <v>57</v>
          </cell>
          <cell r="C166" t="str">
            <v>C</v>
          </cell>
          <cell r="D166" t="str">
            <v>T</v>
          </cell>
          <cell r="E166" t="str">
            <v>Kamwendo - Matutu (junction S116)</v>
          </cell>
          <cell r="F166" t="str">
            <v>T334</v>
          </cell>
          <cell r="G166">
            <v>1</v>
          </cell>
          <cell r="H166">
            <v>16.899999999999999</v>
          </cell>
          <cell r="I166" t="str">
            <v>F</v>
          </cell>
          <cell r="J166" t="str">
            <v>MCHINJI</v>
          </cell>
          <cell r="K166">
            <v>6</v>
          </cell>
          <cell r="L166" t="str">
            <v>Changed designation from S116 to T334. Changed to trunk</v>
          </cell>
          <cell r="W166">
            <v>98</v>
          </cell>
          <cell r="X166" t="str">
            <v>DS</v>
          </cell>
          <cell r="Y166">
            <v>150</v>
          </cell>
          <cell r="Z166" t="str">
            <v>GR</v>
          </cell>
          <cell r="AA166">
            <v>150</v>
          </cell>
          <cell r="AB166" t="str">
            <v>GR</v>
          </cell>
          <cell r="AC166">
            <v>5</v>
          </cell>
          <cell r="AM166">
            <v>1</v>
          </cell>
          <cell r="AN166" t="str">
            <v>never resealed</v>
          </cell>
          <cell r="BO166" t="str">
            <v>RS 235</v>
          </cell>
          <cell r="BP166">
            <v>16.899999999999999</v>
          </cell>
          <cell r="BQ166">
            <v>6.7</v>
          </cell>
          <cell r="BR166" t="str">
            <v>F</v>
          </cell>
          <cell r="BT166">
            <v>0</v>
          </cell>
          <cell r="BU166" t="str">
            <v>DS</v>
          </cell>
          <cell r="BV166" t="str">
            <v/>
          </cell>
          <cell r="BW166">
            <v>1</v>
          </cell>
          <cell r="BX166">
            <v>15</v>
          </cell>
          <cell r="BY166" t="str">
            <v/>
          </cell>
          <cell r="BZ166">
            <v>1</v>
          </cell>
          <cell r="CA166">
            <v>5</v>
          </cell>
          <cell r="CB166">
            <v>1.5270000000000001</v>
          </cell>
          <cell r="CC166">
            <v>3.3</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3.3</v>
          </cell>
          <cell r="CR166">
            <v>0</v>
          </cell>
          <cell r="CS166">
            <v>1</v>
          </cell>
          <cell r="CT166">
            <v>0</v>
          </cell>
          <cell r="CU166">
            <v>0</v>
          </cell>
          <cell r="CV166">
            <v>0</v>
          </cell>
          <cell r="CW166">
            <v>0</v>
          </cell>
          <cell r="CX166" t="str">
            <v/>
          </cell>
          <cell r="CY166">
            <v>1</v>
          </cell>
          <cell r="CZ166">
            <v>1</v>
          </cell>
          <cell r="DA166">
            <v>1</v>
          </cell>
          <cell r="DB166">
            <v>80</v>
          </cell>
          <cell r="DC166">
            <v>38</v>
          </cell>
          <cell r="DD166">
            <v>21</v>
          </cell>
          <cell r="DE166">
            <v>6</v>
          </cell>
          <cell r="DF166">
            <v>10</v>
          </cell>
          <cell r="DG166">
            <v>2</v>
          </cell>
          <cell r="DH166">
            <v>1</v>
          </cell>
          <cell r="DI166">
            <v>4</v>
          </cell>
        </row>
        <row r="167">
          <cell r="A167" t="str">
            <v>RS 153</v>
          </cell>
          <cell r="B167">
            <v>153</v>
          </cell>
          <cell r="C167" t="str">
            <v>C</v>
          </cell>
          <cell r="D167" t="str">
            <v>U</v>
          </cell>
          <cell r="E167" t="str">
            <v>Chidzanja Road</v>
          </cell>
          <cell r="F167" t="str">
            <v>Urban</v>
          </cell>
          <cell r="G167">
            <v>1</v>
          </cell>
          <cell r="H167">
            <v>6.5</v>
          </cell>
          <cell r="I167" t="str">
            <v>R</v>
          </cell>
          <cell r="J167" t="str">
            <v>LILONGWE CITY</v>
          </cell>
          <cell r="K167" t="str">
            <v>C</v>
          </cell>
          <cell r="W167">
            <v>83</v>
          </cell>
          <cell r="X167" t="str">
            <v>SA</v>
          </cell>
          <cell r="Y167">
            <v>150</v>
          </cell>
          <cell r="Z167" t="str">
            <v>GR</v>
          </cell>
          <cell r="AA167">
            <v>100</v>
          </cell>
          <cell r="AB167" t="str">
            <v>GR</v>
          </cell>
          <cell r="AC167">
            <v>5</v>
          </cell>
          <cell r="AD167" t="str">
            <v>CC</v>
          </cell>
          <cell r="AE167">
            <v>97</v>
          </cell>
          <cell r="AF167" t="str">
            <v>SS</v>
          </cell>
          <cell r="AG167" t="str">
            <v>SS</v>
          </cell>
          <cell r="AH167">
            <v>5</v>
          </cell>
          <cell r="AM167">
            <v>3</v>
          </cell>
          <cell r="BO167" t="str">
            <v>RS 153</v>
          </cell>
          <cell r="BP167">
            <v>6.5</v>
          </cell>
          <cell r="BQ167">
            <v>6</v>
          </cell>
          <cell r="BR167" t="str">
            <v>R</v>
          </cell>
          <cell r="BS167" t="str">
            <v>S</v>
          </cell>
          <cell r="BT167">
            <v>0</v>
          </cell>
          <cell r="BU167" t="str">
            <v>SS</v>
          </cell>
          <cell r="BV167" t="str">
            <v>SA</v>
          </cell>
          <cell r="BW167">
            <v>3</v>
          </cell>
          <cell r="BX167">
            <v>5</v>
          </cell>
          <cell r="BY167">
            <v>10</v>
          </cell>
          <cell r="BZ167">
            <v>1</v>
          </cell>
          <cell r="CA167">
            <v>5</v>
          </cell>
          <cell r="CB167">
            <v>0.90800000000000003</v>
          </cell>
          <cell r="CC167">
            <v>7.78</v>
          </cell>
          <cell r="CD167">
            <v>2.5</v>
          </cell>
          <cell r="CE167">
            <v>0</v>
          </cell>
          <cell r="CF167">
            <v>0</v>
          </cell>
          <cell r="CG167">
            <v>2.5</v>
          </cell>
          <cell r="CH167">
            <v>0</v>
          </cell>
          <cell r="CI167">
            <v>1.3</v>
          </cell>
          <cell r="CJ167">
            <v>4.3333333333333331E-3</v>
          </cell>
          <cell r="CK167">
            <v>4.3333333333333331E-3</v>
          </cell>
          <cell r="CL167">
            <v>0</v>
          </cell>
          <cell r="CM167">
            <v>1.6799999999999999E-3</v>
          </cell>
          <cell r="CN167">
            <v>1.6799999999999999E-3</v>
          </cell>
          <cell r="CO167">
            <v>0</v>
          </cell>
          <cell r="CP167">
            <v>0</v>
          </cell>
          <cell r="CQ167">
            <v>7.7816800000000006</v>
          </cell>
          <cell r="CR167">
            <v>0.5</v>
          </cell>
          <cell r="CS167">
            <v>1</v>
          </cell>
          <cell r="CT167">
            <v>0</v>
          </cell>
          <cell r="CU167">
            <v>0</v>
          </cell>
          <cell r="CV167">
            <v>1</v>
          </cell>
          <cell r="CW167">
            <v>15</v>
          </cell>
          <cell r="CX167">
            <v>30</v>
          </cell>
          <cell r="CY167">
            <v>2</v>
          </cell>
          <cell r="CZ167">
            <v>2</v>
          </cell>
          <cell r="DA167">
            <v>1.5</v>
          </cell>
          <cell r="DB167">
            <v>1894</v>
          </cell>
          <cell r="DC167">
            <v>947</v>
          </cell>
          <cell r="DD167">
            <v>512</v>
          </cell>
          <cell r="DE167">
            <v>95</v>
          </cell>
          <cell r="DF167">
            <v>275</v>
          </cell>
          <cell r="DG167">
            <v>29</v>
          </cell>
          <cell r="DH167">
            <v>19</v>
          </cell>
          <cell r="DI167">
            <v>19</v>
          </cell>
        </row>
        <row r="168">
          <cell r="A168" t="str">
            <v>RS 154</v>
          </cell>
          <cell r="B168">
            <v>154</v>
          </cell>
          <cell r="C168" t="str">
            <v>C</v>
          </cell>
          <cell r="D168" t="str">
            <v>U</v>
          </cell>
          <cell r="E168" t="str">
            <v>Chendawaka Road (M1 to junction D189)</v>
          </cell>
          <cell r="F168" t="str">
            <v>Urban</v>
          </cell>
          <cell r="G168">
            <v>2</v>
          </cell>
          <cell r="H168">
            <v>5</v>
          </cell>
          <cell r="I168" t="str">
            <v>R</v>
          </cell>
          <cell r="J168" t="str">
            <v>LILONGWE CITY</v>
          </cell>
          <cell r="K168" t="str">
            <v>C</v>
          </cell>
          <cell r="W168">
            <v>75</v>
          </cell>
          <cell r="X168" t="str">
            <v>DS</v>
          </cell>
          <cell r="Y168">
            <v>150</v>
          </cell>
          <cell r="Z168" t="str">
            <v>GR</v>
          </cell>
          <cell r="AA168">
            <v>100</v>
          </cell>
          <cell r="AB168" t="str">
            <v>GR</v>
          </cell>
          <cell r="AC168">
            <v>5</v>
          </cell>
          <cell r="AE168">
            <v>97</v>
          </cell>
          <cell r="AF168" t="str">
            <v>SS</v>
          </cell>
          <cell r="AG168" t="str">
            <v>SS</v>
          </cell>
          <cell r="AH168">
            <v>5</v>
          </cell>
          <cell r="AM168">
            <v>7</v>
          </cell>
          <cell r="BO168" t="str">
            <v>RS 154</v>
          </cell>
          <cell r="BP168">
            <v>5</v>
          </cell>
          <cell r="BQ168">
            <v>6</v>
          </cell>
          <cell r="BR168" t="str">
            <v>R</v>
          </cell>
          <cell r="BT168">
            <v>0</v>
          </cell>
          <cell r="BU168" t="str">
            <v>SS</v>
          </cell>
          <cell r="BV168" t="str">
            <v>DS</v>
          </cell>
          <cell r="BW168">
            <v>7</v>
          </cell>
          <cell r="BX168">
            <v>5</v>
          </cell>
          <cell r="BY168">
            <v>15</v>
          </cell>
          <cell r="BZ168">
            <v>1</v>
          </cell>
          <cell r="CA168">
            <v>5</v>
          </cell>
          <cell r="CB168">
            <v>1.077</v>
          </cell>
          <cell r="CC168">
            <v>5.52</v>
          </cell>
          <cell r="CD168">
            <v>8</v>
          </cell>
          <cell r="CE168">
            <v>7</v>
          </cell>
          <cell r="CF168">
            <v>0</v>
          </cell>
          <cell r="CG168">
            <v>8</v>
          </cell>
          <cell r="CH168">
            <v>7</v>
          </cell>
          <cell r="CI168">
            <v>0</v>
          </cell>
          <cell r="CJ168">
            <v>0</v>
          </cell>
          <cell r="CK168">
            <v>0</v>
          </cell>
          <cell r="CL168">
            <v>0</v>
          </cell>
          <cell r="CM168">
            <v>0</v>
          </cell>
          <cell r="CN168">
            <v>0</v>
          </cell>
          <cell r="CO168">
            <v>0</v>
          </cell>
          <cell r="CP168">
            <v>0</v>
          </cell>
          <cell r="CQ168">
            <v>5.52</v>
          </cell>
          <cell r="CR168">
            <v>0</v>
          </cell>
          <cell r="CS168">
            <v>1</v>
          </cell>
          <cell r="CT168">
            <v>0</v>
          </cell>
          <cell r="CU168">
            <v>0</v>
          </cell>
          <cell r="CV168">
            <v>1</v>
          </cell>
          <cell r="CW168">
            <v>23</v>
          </cell>
          <cell r="CX168">
            <v>46</v>
          </cell>
          <cell r="CY168">
            <v>1.5</v>
          </cell>
          <cell r="CZ168">
            <v>1</v>
          </cell>
          <cell r="DA168">
            <v>1</v>
          </cell>
          <cell r="DB168">
            <v>1842</v>
          </cell>
          <cell r="DC168">
            <v>921</v>
          </cell>
          <cell r="DD168">
            <v>498</v>
          </cell>
          <cell r="DE168">
            <v>93</v>
          </cell>
          <cell r="DF168">
            <v>268</v>
          </cell>
          <cell r="DG168">
            <v>28</v>
          </cell>
          <cell r="DH168">
            <v>19</v>
          </cell>
          <cell r="DI168">
            <v>19</v>
          </cell>
        </row>
        <row r="169">
          <cell r="A169" t="str">
            <v>RS 155</v>
          </cell>
          <cell r="B169">
            <v>155</v>
          </cell>
          <cell r="C169" t="str">
            <v>C</v>
          </cell>
          <cell r="D169" t="str">
            <v>U</v>
          </cell>
          <cell r="E169" t="str">
            <v>Chilambula Road</v>
          </cell>
          <cell r="F169" t="str">
            <v>Urban</v>
          </cell>
          <cell r="G169">
            <v>3</v>
          </cell>
          <cell r="H169">
            <v>4</v>
          </cell>
          <cell r="I169" t="str">
            <v>R</v>
          </cell>
          <cell r="J169" t="str">
            <v>LILONGWE CITY</v>
          </cell>
          <cell r="K169" t="str">
            <v>C</v>
          </cell>
          <cell r="W169">
            <v>73</v>
          </cell>
          <cell r="X169" t="str">
            <v>AC</v>
          </cell>
          <cell r="Y169">
            <v>150</v>
          </cell>
          <cell r="Z169" t="str">
            <v>GR</v>
          </cell>
          <cell r="AA169">
            <v>100</v>
          </cell>
          <cell r="AB169" t="str">
            <v>GR</v>
          </cell>
          <cell r="AC169">
            <v>5</v>
          </cell>
          <cell r="AD169" t="str">
            <v>AM</v>
          </cell>
          <cell r="AE169">
            <v>98</v>
          </cell>
          <cell r="AF169" t="str">
            <v>SS</v>
          </cell>
          <cell r="AG169" t="str">
            <v>SS</v>
          </cell>
          <cell r="AH169">
            <v>5</v>
          </cell>
          <cell r="AM169">
            <v>7</v>
          </cell>
          <cell r="BO169" t="str">
            <v>RS 155</v>
          </cell>
          <cell r="BP169">
            <v>4</v>
          </cell>
          <cell r="BQ169">
            <v>6.7</v>
          </cell>
          <cell r="BR169" t="str">
            <v>R</v>
          </cell>
          <cell r="BS169" t="str">
            <v>C</v>
          </cell>
          <cell r="BT169">
            <v>0</v>
          </cell>
          <cell r="BU169" t="str">
            <v>SS</v>
          </cell>
          <cell r="BV169" t="str">
            <v>AC</v>
          </cell>
          <cell r="BW169">
            <v>2</v>
          </cell>
          <cell r="BX169">
            <v>5</v>
          </cell>
          <cell r="BY169">
            <v>40</v>
          </cell>
          <cell r="BZ169">
            <v>1</v>
          </cell>
          <cell r="CA169">
            <v>5</v>
          </cell>
          <cell r="CB169">
            <v>1.9</v>
          </cell>
          <cell r="CC169">
            <v>6</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6</v>
          </cell>
          <cell r="CR169">
            <v>0.5</v>
          </cell>
          <cell r="CS169">
            <v>1</v>
          </cell>
          <cell r="CT169">
            <v>0</v>
          </cell>
          <cell r="CU169">
            <v>0</v>
          </cell>
          <cell r="CV169">
            <v>25</v>
          </cell>
          <cell r="CW169">
            <v>25</v>
          </cell>
          <cell r="CX169">
            <v>27</v>
          </cell>
          <cell r="CY169">
            <v>3</v>
          </cell>
          <cell r="CZ169">
            <v>3</v>
          </cell>
          <cell r="DA169">
            <v>2</v>
          </cell>
          <cell r="DB169">
            <v>8793</v>
          </cell>
          <cell r="DC169">
            <v>4397</v>
          </cell>
          <cell r="DD169">
            <v>2375</v>
          </cell>
          <cell r="DE169">
            <v>440</v>
          </cell>
          <cell r="DF169">
            <v>1275</v>
          </cell>
          <cell r="DG169">
            <v>132</v>
          </cell>
          <cell r="DH169">
            <v>88</v>
          </cell>
          <cell r="DI169">
            <v>88</v>
          </cell>
        </row>
        <row r="170">
          <cell r="A170" t="str">
            <v>RS 156</v>
          </cell>
          <cell r="B170">
            <v>156</v>
          </cell>
          <cell r="C170" t="str">
            <v>C</v>
          </cell>
          <cell r="D170" t="str">
            <v>U</v>
          </cell>
          <cell r="E170" t="str">
            <v>Mzimba Street</v>
          </cell>
          <cell r="F170" t="str">
            <v>Urban</v>
          </cell>
          <cell r="G170">
            <v>4</v>
          </cell>
          <cell r="H170">
            <v>2.5</v>
          </cell>
          <cell r="I170" t="str">
            <v>R</v>
          </cell>
          <cell r="J170" t="str">
            <v>LILONGWE CITY</v>
          </cell>
          <cell r="K170" t="str">
            <v>C</v>
          </cell>
          <cell r="W170">
            <v>75</v>
          </cell>
          <cell r="X170" t="str">
            <v>SA</v>
          </cell>
          <cell r="Y170">
            <v>150</v>
          </cell>
          <cell r="Z170" t="str">
            <v>GR</v>
          </cell>
          <cell r="AA170">
            <v>100</v>
          </cell>
          <cell r="AB170" t="str">
            <v>GR</v>
          </cell>
          <cell r="AC170">
            <v>5</v>
          </cell>
          <cell r="AD170" t="str">
            <v>CC</v>
          </cell>
          <cell r="AE170">
            <v>98</v>
          </cell>
          <cell r="AF170" t="str">
            <v>SS</v>
          </cell>
          <cell r="AG170" t="str">
            <v>SS</v>
          </cell>
          <cell r="AH170">
            <v>5</v>
          </cell>
          <cell r="AM170">
            <v>7</v>
          </cell>
          <cell r="BO170" t="str">
            <v>RS 156</v>
          </cell>
          <cell r="BP170">
            <v>2.5</v>
          </cell>
          <cell r="BQ170">
            <v>6.7</v>
          </cell>
          <cell r="BR170" t="str">
            <v>R</v>
          </cell>
          <cell r="BS170" t="str">
            <v>S</v>
          </cell>
          <cell r="BT170">
            <v>0</v>
          </cell>
          <cell r="BU170" t="str">
            <v>SS</v>
          </cell>
          <cell r="BV170" t="str">
            <v>SA</v>
          </cell>
          <cell r="BW170">
            <v>7</v>
          </cell>
          <cell r="BX170">
            <v>5</v>
          </cell>
          <cell r="BY170">
            <v>10</v>
          </cell>
          <cell r="BZ170">
            <v>1</v>
          </cell>
          <cell r="CA170">
            <v>5</v>
          </cell>
          <cell r="CB170">
            <v>0.90800000000000003</v>
          </cell>
          <cell r="CC170">
            <v>7.25</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7.25</v>
          </cell>
          <cell r="CR170">
            <v>0</v>
          </cell>
          <cell r="CS170">
            <v>1</v>
          </cell>
          <cell r="CT170">
            <v>0</v>
          </cell>
          <cell r="CU170">
            <v>0</v>
          </cell>
          <cell r="CV170">
            <v>0</v>
          </cell>
          <cell r="CW170">
            <v>23</v>
          </cell>
          <cell r="CX170">
            <v>46</v>
          </cell>
          <cell r="CY170">
            <v>2</v>
          </cell>
          <cell r="CZ170">
            <v>1.5</v>
          </cell>
          <cell r="DA170">
            <v>1.5</v>
          </cell>
          <cell r="DB170">
            <v>850</v>
          </cell>
          <cell r="DC170">
            <v>425</v>
          </cell>
          <cell r="DD170">
            <v>230</v>
          </cell>
          <cell r="DE170">
            <v>43</v>
          </cell>
          <cell r="DF170">
            <v>124</v>
          </cell>
          <cell r="DG170">
            <v>13</v>
          </cell>
          <cell r="DH170">
            <v>9</v>
          </cell>
          <cell r="DI170">
            <v>9</v>
          </cell>
        </row>
        <row r="171">
          <cell r="A171" t="str">
            <v>RS 157</v>
          </cell>
          <cell r="B171">
            <v>157</v>
          </cell>
          <cell r="C171" t="str">
            <v>C</v>
          </cell>
          <cell r="D171" t="str">
            <v>U</v>
          </cell>
          <cell r="E171" t="str">
            <v>Police - Area 23</v>
          </cell>
          <cell r="F171" t="str">
            <v>Urban</v>
          </cell>
          <cell r="G171">
            <v>5</v>
          </cell>
          <cell r="H171">
            <v>7.5</v>
          </cell>
          <cell r="I171" t="str">
            <v>R</v>
          </cell>
          <cell r="J171" t="str">
            <v>LILONGWE CITY</v>
          </cell>
          <cell r="K171" t="str">
            <v>C</v>
          </cell>
          <cell r="W171">
            <v>83</v>
          </cell>
          <cell r="X171" t="str">
            <v>SA</v>
          </cell>
          <cell r="Y171">
            <v>150</v>
          </cell>
          <cell r="Z171" t="str">
            <v>GR</v>
          </cell>
          <cell r="AA171">
            <v>100</v>
          </cell>
          <cell r="AB171" t="str">
            <v>GR</v>
          </cell>
          <cell r="AC171">
            <v>5</v>
          </cell>
          <cell r="AD171" t="str">
            <v>CC</v>
          </cell>
          <cell r="AE171">
            <v>98</v>
          </cell>
          <cell r="AF171" t="str">
            <v>SS</v>
          </cell>
          <cell r="AG171" t="str">
            <v>SS</v>
          </cell>
          <cell r="AH171">
            <v>5</v>
          </cell>
          <cell r="AM171">
            <v>7</v>
          </cell>
          <cell r="BO171" t="str">
            <v>RS 157</v>
          </cell>
          <cell r="BP171">
            <v>7.5</v>
          </cell>
          <cell r="BQ171">
            <v>5.5</v>
          </cell>
          <cell r="BR171" t="str">
            <v>R</v>
          </cell>
          <cell r="BS171" t="str">
            <v>C</v>
          </cell>
          <cell r="BT171">
            <v>16</v>
          </cell>
          <cell r="BU171" t="str">
            <v>SS</v>
          </cell>
          <cell r="BV171" t="str">
            <v>SA</v>
          </cell>
          <cell r="BW171">
            <v>7</v>
          </cell>
          <cell r="BX171">
            <v>5</v>
          </cell>
          <cell r="BY171">
            <v>10</v>
          </cell>
          <cell r="BZ171">
            <v>1</v>
          </cell>
          <cell r="CA171">
            <v>5</v>
          </cell>
          <cell r="CB171">
            <v>0.90800000000000003</v>
          </cell>
          <cell r="CC171">
            <v>5</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5</v>
          </cell>
          <cell r="CR171">
            <v>0</v>
          </cell>
          <cell r="CS171">
            <v>1</v>
          </cell>
          <cell r="CT171">
            <v>0</v>
          </cell>
          <cell r="CU171">
            <v>0</v>
          </cell>
          <cell r="CV171">
            <v>0</v>
          </cell>
          <cell r="CW171">
            <v>15</v>
          </cell>
          <cell r="CX171">
            <v>50</v>
          </cell>
          <cell r="CY171">
            <v>3</v>
          </cell>
          <cell r="CZ171">
            <v>2.5</v>
          </cell>
          <cell r="DA171">
            <v>2</v>
          </cell>
          <cell r="DB171">
            <v>14065</v>
          </cell>
          <cell r="DC171">
            <v>7033</v>
          </cell>
          <cell r="DD171">
            <v>3798</v>
          </cell>
          <cell r="DE171">
            <v>704</v>
          </cell>
          <cell r="DF171">
            <v>2040</v>
          </cell>
          <cell r="DG171">
            <v>211</v>
          </cell>
          <cell r="DH171">
            <v>141</v>
          </cell>
          <cell r="DI171">
            <v>141</v>
          </cell>
        </row>
        <row r="172">
          <cell r="A172" t="str">
            <v>RS 158</v>
          </cell>
          <cell r="B172">
            <v>158</v>
          </cell>
          <cell r="C172" t="str">
            <v>C</v>
          </cell>
          <cell r="D172" t="str">
            <v>U</v>
          </cell>
          <cell r="E172" t="str">
            <v>Youth Drive</v>
          </cell>
          <cell r="F172" t="str">
            <v>Urban</v>
          </cell>
          <cell r="G172">
            <v>6</v>
          </cell>
          <cell r="H172">
            <v>3.2</v>
          </cell>
          <cell r="I172" t="str">
            <v>R</v>
          </cell>
          <cell r="J172" t="str">
            <v>LILONGWE CITY</v>
          </cell>
          <cell r="K172" t="str">
            <v>C</v>
          </cell>
          <cell r="W172">
            <v>75</v>
          </cell>
          <cell r="X172" t="str">
            <v>SA</v>
          </cell>
          <cell r="Y172">
            <v>150</v>
          </cell>
          <cell r="Z172" t="str">
            <v>GR</v>
          </cell>
          <cell r="AA172">
            <v>100</v>
          </cell>
          <cell r="AB172" t="str">
            <v>GR</v>
          </cell>
          <cell r="AC172">
            <v>5</v>
          </cell>
          <cell r="AD172" t="str">
            <v>CC</v>
          </cell>
          <cell r="AE172">
            <v>97</v>
          </cell>
          <cell r="AF172" t="str">
            <v>SS</v>
          </cell>
          <cell r="AG172" t="str">
            <v>SS</v>
          </cell>
          <cell r="AH172">
            <v>5</v>
          </cell>
          <cell r="AM172">
            <v>7</v>
          </cell>
          <cell r="BO172" t="str">
            <v>RS 158</v>
          </cell>
          <cell r="BP172">
            <v>3.2</v>
          </cell>
          <cell r="BQ172">
            <v>5.5</v>
          </cell>
          <cell r="BR172" t="str">
            <v>R</v>
          </cell>
          <cell r="BS172" t="str">
            <v>S</v>
          </cell>
          <cell r="BT172">
            <v>0</v>
          </cell>
          <cell r="BU172" t="str">
            <v>SS</v>
          </cell>
          <cell r="BV172" t="str">
            <v>SA</v>
          </cell>
          <cell r="BW172">
            <v>7</v>
          </cell>
          <cell r="BX172">
            <v>5</v>
          </cell>
          <cell r="BY172">
            <v>10</v>
          </cell>
          <cell r="BZ172">
            <v>1</v>
          </cell>
          <cell r="CA172">
            <v>5</v>
          </cell>
          <cell r="CB172">
            <v>0.90800000000000003</v>
          </cell>
          <cell r="CC172">
            <v>7.51</v>
          </cell>
          <cell r="CD172">
            <v>5</v>
          </cell>
          <cell r="CE172">
            <v>0</v>
          </cell>
          <cell r="CF172">
            <v>0</v>
          </cell>
          <cell r="CG172">
            <v>5</v>
          </cell>
          <cell r="CH172">
            <v>0</v>
          </cell>
          <cell r="CI172">
            <v>2.6</v>
          </cell>
          <cell r="CJ172">
            <v>9.4545454545454551E-3</v>
          </cell>
          <cell r="CK172">
            <v>9.4545454545454551E-3</v>
          </cell>
          <cell r="CL172">
            <v>0</v>
          </cell>
          <cell r="CM172">
            <v>3.665454545454546E-3</v>
          </cell>
          <cell r="CN172">
            <v>3.665454545454546E-3</v>
          </cell>
          <cell r="CO172">
            <v>0</v>
          </cell>
          <cell r="CP172">
            <v>0</v>
          </cell>
          <cell r="CQ172">
            <v>7.5136654545454542</v>
          </cell>
          <cell r="CR172">
            <v>0</v>
          </cell>
          <cell r="CS172">
            <v>1</v>
          </cell>
          <cell r="CT172">
            <v>0</v>
          </cell>
          <cell r="CU172">
            <v>0</v>
          </cell>
          <cell r="CV172">
            <v>1</v>
          </cell>
          <cell r="CW172">
            <v>23</v>
          </cell>
          <cell r="CX172">
            <v>46</v>
          </cell>
          <cell r="CY172">
            <v>1.5</v>
          </cell>
          <cell r="CZ172">
            <v>1.5</v>
          </cell>
          <cell r="DA172">
            <v>1.5</v>
          </cell>
          <cell r="DB172">
            <v>3074</v>
          </cell>
          <cell r="DC172">
            <v>1537</v>
          </cell>
          <cell r="DD172">
            <v>830</v>
          </cell>
          <cell r="DE172">
            <v>154</v>
          </cell>
          <cell r="DF172">
            <v>446</v>
          </cell>
          <cell r="DG172">
            <v>47</v>
          </cell>
          <cell r="DH172">
            <v>31</v>
          </cell>
          <cell r="DI172">
            <v>31</v>
          </cell>
        </row>
        <row r="173">
          <cell r="A173" t="str">
            <v>RS 159</v>
          </cell>
          <cell r="B173">
            <v>159</v>
          </cell>
          <cell r="C173" t="str">
            <v>C</v>
          </cell>
          <cell r="D173" t="str">
            <v>U</v>
          </cell>
          <cell r="E173" t="str">
            <v>Area 13 Road</v>
          </cell>
          <cell r="F173" t="str">
            <v>Urban</v>
          </cell>
          <cell r="G173">
            <v>7</v>
          </cell>
          <cell r="H173">
            <v>1.4</v>
          </cell>
          <cell r="I173" t="str">
            <v>R</v>
          </cell>
          <cell r="J173" t="str">
            <v>LILONGWE CITY</v>
          </cell>
          <cell r="K173" t="str">
            <v>C</v>
          </cell>
          <cell r="W173">
            <v>75</v>
          </cell>
          <cell r="X173" t="str">
            <v>SA</v>
          </cell>
          <cell r="Y173">
            <v>150</v>
          </cell>
          <cell r="Z173" t="str">
            <v>GR</v>
          </cell>
          <cell r="AA173">
            <v>100</v>
          </cell>
          <cell r="AB173" t="str">
            <v>GR</v>
          </cell>
          <cell r="AC173">
            <v>5</v>
          </cell>
          <cell r="AD173" t="str">
            <v>CC</v>
          </cell>
          <cell r="AE173">
            <v>97</v>
          </cell>
          <cell r="AF173" t="str">
            <v>SS</v>
          </cell>
          <cell r="AG173" t="str">
            <v>SS</v>
          </cell>
          <cell r="AH173">
            <v>5</v>
          </cell>
          <cell r="AM173">
            <v>3</v>
          </cell>
          <cell r="BO173" t="str">
            <v>RS 159</v>
          </cell>
          <cell r="BP173">
            <v>1.4</v>
          </cell>
          <cell r="BQ173">
            <v>5.5</v>
          </cell>
          <cell r="BR173" t="str">
            <v>R</v>
          </cell>
          <cell r="BS173" t="str">
            <v>S</v>
          </cell>
          <cell r="BT173">
            <v>0</v>
          </cell>
          <cell r="BU173" t="str">
            <v>SS</v>
          </cell>
          <cell r="BV173" t="str">
            <v>SA</v>
          </cell>
          <cell r="BW173">
            <v>3</v>
          </cell>
          <cell r="BX173">
            <v>5</v>
          </cell>
          <cell r="BY173">
            <v>10</v>
          </cell>
          <cell r="BZ173">
            <v>1</v>
          </cell>
          <cell r="CA173">
            <v>5</v>
          </cell>
          <cell r="CB173">
            <v>0.90800000000000003</v>
          </cell>
          <cell r="CC173">
            <v>6</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6</v>
          </cell>
          <cell r="CR173">
            <v>0</v>
          </cell>
          <cell r="CS173">
            <v>1</v>
          </cell>
          <cell r="CT173">
            <v>0</v>
          </cell>
          <cell r="CU173">
            <v>0</v>
          </cell>
          <cell r="CV173">
            <v>1</v>
          </cell>
          <cell r="CW173">
            <v>23</v>
          </cell>
          <cell r="CX173">
            <v>46</v>
          </cell>
          <cell r="CY173">
            <v>2</v>
          </cell>
          <cell r="CZ173">
            <v>2</v>
          </cell>
          <cell r="DA173">
            <v>2</v>
          </cell>
          <cell r="DB173">
            <v>351</v>
          </cell>
          <cell r="DC173">
            <v>176</v>
          </cell>
          <cell r="DD173">
            <v>95</v>
          </cell>
          <cell r="DE173">
            <v>18</v>
          </cell>
          <cell r="DF173">
            <v>51</v>
          </cell>
          <cell r="DG173">
            <v>6</v>
          </cell>
          <cell r="DH173">
            <v>4</v>
          </cell>
          <cell r="DI173">
            <v>4</v>
          </cell>
        </row>
        <row r="174">
          <cell r="A174" t="str">
            <v>RS 162</v>
          </cell>
          <cell r="B174">
            <v>162</v>
          </cell>
          <cell r="C174" t="str">
            <v>C</v>
          </cell>
          <cell r="D174" t="str">
            <v>U</v>
          </cell>
          <cell r="E174" t="str">
            <v>Kaunda Road (M12 to junction D189)</v>
          </cell>
          <cell r="F174" t="str">
            <v>Urban</v>
          </cell>
          <cell r="G174">
            <v>8</v>
          </cell>
          <cell r="H174">
            <v>7</v>
          </cell>
          <cell r="I174" t="str">
            <v>R</v>
          </cell>
          <cell r="J174" t="str">
            <v>LILONGWE CITY</v>
          </cell>
          <cell r="K174" t="str">
            <v>C</v>
          </cell>
          <cell r="W174">
            <v>75</v>
          </cell>
          <cell r="X174" t="str">
            <v>DS</v>
          </cell>
          <cell r="Y174">
            <v>150</v>
          </cell>
          <cell r="Z174" t="str">
            <v>GR</v>
          </cell>
          <cell r="AA174">
            <v>100</v>
          </cell>
          <cell r="AB174" t="str">
            <v>GR</v>
          </cell>
          <cell r="AC174">
            <v>5</v>
          </cell>
          <cell r="AM174">
            <v>3</v>
          </cell>
          <cell r="AN174" t="str">
            <v>never resealed</v>
          </cell>
          <cell r="BO174" t="str">
            <v>RS 162</v>
          </cell>
          <cell r="BP174">
            <v>7</v>
          </cell>
          <cell r="BQ174">
            <v>6</v>
          </cell>
          <cell r="BR174" t="str">
            <v>R</v>
          </cell>
          <cell r="BS174" t="str">
            <v>S</v>
          </cell>
          <cell r="BT174">
            <v>0</v>
          </cell>
          <cell r="BU174" t="str">
            <v>DS</v>
          </cell>
          <cell r="BV174" t="str">
            <v/>
          </cell>
          <cell r="BW174">
            <v>3</v>
          </cell>
          <cell r="BX174">
            <v>15</v>
          </cell>
          <cell r="BY174" t="str">
            <v/>
          </cell>
          <cell r="BZ174">
            <v>1</v>
          </cell>
          <cell r="CA174">
            <v>5</v>
          </cell>
          <cell r="CB174">
            <v>1.077</v>
          </cell>
          <cell r="CC174">
            <v>3.92</v>
          </cell>
          <cell r="CD174">
            <v>4</v>
          </cell>
          <cell r="CE174">
            <v>3.5</v>
          </cell>
          <cell r="CF174">
            <v>0</v>
          </cell>
          <cell r="CG174">
            <v>4</v>
          </cell>
          <cell r="CH174">
            <v>3.5</v>
          </cell>
          <cell r="CI174">
            <v>17.899999999999999</v>
          </cell>
          <cell r="CJ174">
            <v>5.9666666666666666E-2</v>
          </cell>
          <cell r="CK174">
            <v>5.9666666666666666E-2</v>
          </cell>
          <cell r="CL174">
            <v>0</v>
          </cell>
          <cell r="CM174">
            <v>2.3132307692307695E-2</v>
          </cell>
          <cell r="CN174">
            <v>2.3132307692307695E-2</v>
          </cell>
          <cell r="CO174">
            <v>0</v>
          </cell>
          <cell r="CP174">
            <v>0</v>
          </cell>
          <cell r="CQ174">
            <v>3.9431323076923075</v>
          </cell>
          <cell r="CR174">
            <v>0</v>
          </cell>
          <cell r="CS174">
            <v>1</v>
          </cell>
          <cell r="CT174">
            <v>0</v>
          </cell>
          <cell r="CU174">
            <v>0</v>
          </cell>
          <cell r="CV174">
            <v>23</v>
          </cell>
          <cell r="CW174">
            <v>23</v>
          </cell>
          <cell r="CX174" t="str">
            <v/>
          </cell>
          <cell r="CY174">
            <v>2</v>
          </cell>
          <cell r="CZ174">
            <v>1.2</v>
          </cell>
          <cell r="DA174">
            <v>1.1000000000000001</v>
          </cell>
          <cell r="DB174">
            <v>850</v>
          </cell>
          <cell r="DC174">
            <v>425</v>
          </cell>
          <cell r="DD174">
            <v>230</v>
          </cell>
          <cell r="DE174">
            <v>43</v>
          </cell>
          <cell r="DF174">
            <v>124</v>
          </cell>
          <cell r="DG174">
            <v>13</v>
          </cell>
          <cell r="DH174">
            <v>9</v>
          </cell>
          <cell r="DI174">
            <v>9</v>
          </cell>
        </row>
        <row r="175">
          <cell r="A175" t="str">
            <v>RS 164</v>
          </cell>
          <cell r="B175">
            <v>164</v>
          </cell>
          <cell r="C175" t="str">
            <v>S</v>
          </cell>
          <cell r="D175" t="str">
            <v>U</v>
          </cell>
          <cell r="E175" t="str">
            <v>Kenyatta Drive</v>
          </cell>
          <cell r="F175" t="str">
            <v>Urban</v>
          </cell>
          <cell r="G175">
            <v>10</v>
          </cell>
          <cell r="H175">
            <v>4.0999999999999996</v>
          </cell>
          <cell r="I175" t="str">
            <v>R</v>
          </cell>
          <cell r="J175" t="str">
            <v>IN BLANTYRE CITY</v>
          </cell>
          <cell r="K175" t="str">
            <v>C</v>
          </cell>
          <cell r="W175">
            <v>65</v>
          </cell>
          <cell r="X175" t="str">
            <v>AC</v>
          </cell>
          <cell r="Y175">
            <v>150</v>
          </cell>
          <cell r="Z175" t="str">
            <v>SB</v>
          </cell>
          <cell r="AA175">
            <v>100</v>
          </cell>
          <cell r="AB175" t="str">
            <v>GR</v>
          </cell>
          <cell r="AC175">
            <v>5</v>
          </cell>
          <cell r="AE175">
            <v>96</v>
          </cell>
          <cell r="AF175" t="str">
            <v>SR</v>
          </cell>
          <cell r="AG175" t="str">
            <v>ST</v>
          </cell>
          <cell r="AH175">
            <v>10</v>
          </cell>
          <cell r="AM175">
            <v>5</v>
          </cell>
          <cell r="BO175" t="str">
            <v>RS 164</v>
          </cell>
          <cell r="BP175">
            <v>4.0999999999999996</v>
          </cell>
          <cell r="BQ175">
            <v>6</v>
          </cell>
          <cell r="BR175" t="str">
            <v>R</v>
          </cell>
          <cell r="BS175" t="str">
            <v>C</v>
          </cell>
          <cell r="BT175">
            <v>0</v>
          </cell>
          <cell r="BU175" t="str">
            <v>ST</v>
          </cell>
          <cell r="BV175" t="str">
            <v>AC</v>
          </cell>
          <cell r="BW175">
            <v>5</v>
          </cell>
          <cell r="BX175">
            <v>10</v>
          </cell>
          <cell r="BY175">
            <v>40</v>
          </cell>
          <cell r="BZ175">
            <v>1</v>
          </cell>
          <cell r="CA175">
            <v>5</v>
          </cell>
          <cell r="CB175">
            <v>1.7290000000000001</v>
          </cell>
          <cell r="CC175">
            <v>6.9663737327188944</v>
          </cell>
          <cell r="CD175">
            <v>90</v>
          </cell>
          <cell r="CE175">
            <v>55</v>
          </cell>
          <cell r="CF175">
            <v>40</v>
          </cell>
          <cell r="CG175">
            <v>50</v>
          </cell>
          <cell r="CH175">
            <v>15</v>
          </cell>
          <cell r="CI175">
            <v>6.5</v>
          </cell>
          <cell r="CJ175">
            <v>2.1666666666666667E-2</v>
          </cell>
          <cell r="CK175">
            <v>10</v>
          </cell>
          <cell r="CL175">
            <v>40</v>
          </cell>
          <cell r="CM175">
            <v>0.37279871794871788</v>
          </cell>
          <cell r="CN175">
            <v>0.37279871794871788</v>
          </cell>
          <cell r="CO175">
            <v>0</v>
          </cell>
          <cell r="CP175">
            <v>0</v>
          </cell>
          <cell r="CQ175">
            <v>7.3391724506676121</v>
          </cell>
          <cell r="CR175">
            <v>50</v>
          </cell>
          <cell r="CS175">
            <v>1</v>
          </cell>
          <cell r="CT175">
            <v>0</v>
          </cell>
          <cell r="CU175">
            <v>0</v>
          </cell>
          <cell r="CV175">
            <v>2</v>
          </cell>
          <cell r="CW175">
            <v>33</v>
          </cell>
          <cell r="CX175">
            <v>66</v>
          </cell>
          <cell r="CY175">
            <v>2</v>
          </cell>
          <cell r="CZ175">
            <v>3</v>
          </cell>
          <cell r="DA175">
            <v>1.5</v>
          </cell>
          <cell r="DB175">
            <v>1167</v>
          </cell>
          <cell r="DC175">
            <v>584</v>
          </cell>
          <cell r="DD175">
            <v>316</v>
          </cell>
          <cell r="DE175">
            <v>59</v>
          </cell>
          <cell r="DF175">
            <v>170</v>
          </cell>
          <cell r="DG175">
            <v>18</v>
          </cell>
          <cell r="DH175">
            <v>12</v>
          </cell>
          <cell r="DI175">
            <v>12</v>
          </cell>
        </row>
        <row r="176">
          <cell r="A176" t="str">
            <v>RS 165</v>
          </cell>
          <cell r="B176">
            <v>165</v>
          </cell>
          <cell r="C176" t="str">
            <v>S</v>
          </cell>
          <cell r="D176" t="str">
            <v>U</v>
          </cell>
          <cell r="E176" t="str">
            <v>Kwacha Road</v>
          </cell>
          <cell r="F176" t="str">
            <v>Urban</v>
          </cell>
          <cell r="G176">
            <v>11</v>
          </cell>
          <cell r="H176">
            <v>1.4</v>
          </cell>
          <cell r="I176" t="str">
            <v>R</v>
          </cell>
          <cell r="J176" t="str">
            <v>IN BLANTYRE CITY</v>
          </cell>
          <cell r="K176" t="str">
            <v>C</v>
          </cell>
          <cell r="L176" t="str">
            <v>Name changed from Kwacha Rd - Marhattma</v>
          </cell>
          <cell r="W176">
            <v>71</v>
          </cell>
          <cell r="X176" t="str">
            <v>AC</v>
          </cell>
          <cell r="Y176">
            <v>150</v>
          </cell>
          <cell r="Z176" t="str">
            <v>SB</v>
          </cell>
          <cell r="AA176">
            <v>100</v>
          </cell>
          <cell r="AB176" t="str">
            <v>GR</v>
          </cell>
          <cell r="AC176">
            <v>5</v>
          </cell>
          <cell r="AM176">
            <v>2</v>
          </cell>
          <cell r="AN176" t="str">
            <v>never resealed</v>
          </cell>
          <cell r="BO176" t="str">
            <v>RS 165</v>
          </cell>
          <cell r="BP176">
            <v>1.4</v>
          </cell>
          <cell r="BQ176">
            <v>6</v>
          </cell>
          <cell r="BR176" t="str">
            <v>R</v>
          </cell>
          <cell r="BS176" t="str">
            <v>C</v>
          </cell>
          <cell r="BT176">
            <v>0</v>
          </cell>
          <cell r="BU176" t="str">
            <v>AC</v>
          </cell>
          <cell r="BV176" t="str">
            <v/>
          </cell>
          <cell r="BW176">
            <v>2</v>
          </cell>
          <cell r="BX176">
            <v>40</v>
          </cell>
          <cell r="BY176" t="str">
            <v/>
          </cell>
          <cell r="BZ176">
            <v>1</v>
          </cell>
          <cell r="CA176">
            <v>5</v>
          </cell>
          <cell r="CB176">
            <v>1.552</v>
          </cell>
          <cell r="CC176">
            <v>8.1996372434017601</v>
          </cell>
          <cell r="CD176">
            <v>90</v>
          </cell>
          <cell r="CE176">
            <v>72</v>
          </cell>
          <cell r="CF176">
            <v>57</v>
          </cell>
          <cell r="CG176">
            <v>33</v>
          </cell>
          <cell r="CH176">
            <v>15</v>
          </cell>
          <cell r="CI176">
            <v>184</v>
          </cell>
          <cell r="CJ176">
            <v>0.6133333333333334</v>
          </cell>
          <cell r="CK176">
            <v>10</v>
          </cell>
          <cell r="CL176">
            <v>57</v>
          </cell>
          <cell r="CM176">
            <v>0.708728205128205</v>
          </cell>
          <cell r="CN176">
            <v>0.708728205128205</v>
          </cell>
          <cell r="CO176">
            <v>0</v>
          </cell>
          <cell r="CP176">
            <v>0</v>
          </cell>
          <cell r="CQ176">
            <v>8.908365448529965</v>
          </cell>
          <cell r="CR176">
            <v>70</v>
          </cell>
          <cell r="CS176">
            <v>1</v>
          </cell>
          <cell r="CT176">
            <v>0</v>
          </cell>
          <cell r="CU176">
            <v>0</v>
          </cell>
          <cell r="CV176">
            <v>27</v>
          </cell>
          <cell r="CW176">
            <v>27</v>
          </cell>
          <cell r="CX176" t="str">
            <v/>
          </cell>
          <cell r="CY176">
            <v>3</v>
          </cell>
          <cell r="CZ176">
            <v>2</v>
          </cell>
          <cell r="DA176">
            <v>2</v>
          </cell>
          <cell r="DB176">
            <v>1331</v>
          </cell>
          <cell r="DC176">
            <v>666</v>
          </cell>
          <cell r="DD176">
            <v>360</v>
          </cell>
          <cell r="DE176">
            <v>67</v>
          </cell>
          <cell r="DF176">
            <v>193</v>
          </cell>
          <cell r="DG176">
            <v>20</v>
          </cell>
          <cell r="DH176">
            <v>14</v>
          </cell>
          <cell r="DI176">
            <v>14</v>
          </cell>
        </row>
        <row r="177">
          <cell r="A177" t="str">
            <v>RS 166</v>
          </cell>
          <cell r="B177">
            <v>166</v>
          </cell>
          <cell r="C177" t="str">
            <v>S</v>
          </cell>
          <cell r="D177" t="str">
            <v>U</v>
          </cell>
          <cell r="E177" t="str">
            <v>Zingwagwa Rd (Chikwawa Rd - Kapeni Rd)</v>
          </cell>
          <cell r="F177" t="str">
            <v>Urban</v>
          </cell>
          <cell r="G177">
            <v>12</v>
          </cell>
          <cell r="H177">
            <v>7.7</v>
          </cell>
          <cell r="I177" t="str">
            <v>R</v>
          </cell>
          <cell r="J177" t="str">
            <v>IN BLANTYRE CITY</v>
          </cell>
          <cell r="K177" t="str">
            <v>C</v>
          </cell>
          <cell r="L177" t="str">
            <v>Name modified by City Council</v>
          </cell>
          <cell r="W177">
            <v>78</v>
          </cell>
          <cell r="X177" t="str">
            <v>DS</v>
          </cell>
          <cell r="Y177">
            <v>150</v>
          </cell>
          <cell r="Z177" t="str">
            <v>GR</v>
          </cell>
          <cell r="AA177">
            <v>100</v>
          </cell>
          <cell r="AB177" t="str">
            <v>GR</v>
          </cell>
          <cell r="AC177">
            <v>5</v>
          </cell>
          <cell r="AD177" t="str">
            <v>JW</v>
          </cell>
          <cell r="AM177">
            <v>2</v>
          </cell>
          <cell r="AN177" t="str">
            <v>never resealed</v>
          </cell>
          <cell r="BO177" t="str">
            <v>RS 166</v>
          </cell>
          <cell r="BP177">
            <v>1</v>
          </cell>
          <cell r="BQ177">
            <v>6</v>
          </cell>
          <cell r="BR177" t="str">
            <v>R</v>
          </cell>
          <cell r="BS177" t="str">
            <v>C</v>
          </cell>
          <cell r="BT177">
            <v>0</v>
          </cell>
          <cell r="BU177" t="str">
            <v>DS</v>
          </cell>
          <cell r="BV177" t="str">
            <v/>
          </cell>
          <cell r="BW177">
            <v>2</v>
          </cell>
          <cell r="BX177">
            <v>15</v>
          </cell>
          <cell r="BY177" t="str">
            <v/>
          </cell>
          <cell r="BZ177">
            <v>1</v>
          </cell>
          <cell r="CA177">
            <v>5</v>
          </cell>
          <cell r="CB177">
            <v>1.077</v>
          </cell>
          <cell r="CC177">
            <v>6.5</v>
          </cell>
          <cell r="CD177">
            <v>90</v>
          </cell>
          <cell r="CE177">
            <v>65</v>
          </cell>
          <cell r="CF177">
            <v>50</v>
          </cell>
          <cell r="CG177">
            <v>40</v>
          </cell>
          <cell r="CH177">
            <v>15</v>
          </cell>
          <cell r="CI177">
            <v>57</v>
          </cell>
          <cell r="CJ177">
            <v>0.19</v>
          </cell>
          <cell r="CK177">
            <v>10</v>
          </cell>
          <cell r="CL177">
            <v>50</v>
          </cell>
          <cell r="CM177">
            <v>0.50253076923076923</v>
          </cell>
          <cell r="CN177">
            <v>0.50253076923076923</v>
          </cell>
          <cell r="CO177">
            <v>0</v>
          </cell>
          <cell r="CP177">
            <v>0</v>
          </cell>
          <cell r="CQ177">
            <v>7.002530769230769</v>
          </cell>
          <cell r="CR177">
            <v>4</v>
          </cell>
          <cell r="CS177">
            <v>1</v>
          </cell>
          <cell r="CT177">
            <v>0</v>
          </cell>
          <cell r="CU177">
            <v>0</v>
          </cell>
          <cell r="CV177">
            <v>20</v>
          </cell>
          <cell r="CW177">
            <v>20</v>
          </cell>
          <cell r="CX177" t="str">
            <v/>
          </cell>
          <cell r="CY177">
            <v>1.5</v>
          </cell>
          <cell r="CZ177">
            <v>1.5</v>
          </cell>
          <cell r="DA177">
            <v>1.5</v>
          </cell>
          <cell r="DB177">
            <v>2500</v>
          </cell>
          <cell r="DC177">
            <v>1250</v>
          </cell>
          <cell r="DD177">
            <v>675</v>
          </cell>
          <cell r="DE177">
            <v>125</v>
          </cell>
          <cell r="DF177">
            <v>363</v>
          </cell>
          <cell r="DG177">
            <v>38</v>
          </cell>
          <cell r="DH177">
            <v>25</v>
          </cell>
          <cell r="DI177">
            <v>25</v>
          </cell>
        </row>
        <row r="178">
          <cell r="A178" t="str">
            <v>RS 167</v>
          </cell>
          <cell r="B178">
            <v>167</v>
          </cell>
          <cell r="C178" t="str">
            <v>S</v>
          </cell>
          <cell r="D178" t="str">
            <v>U</v>
          </cell>
          <cell r="E178" t="str">
            <v>Chilomoni Road (Ring Road)</v>
          </cell>
          <cell r="F178" t="str">
            <v>Urban</v>
          </cell>
          <cell r="G178">
            <v>13</v>
          </cell>
          <cell r="H178">
            <v>6.3</v>
          </cell>
          <cell r="I178" t="str">
            <v>R</v>
          </cell>
          <cell r="J178" t="str">
            <v>IN BLANTYRE CITY</v>
          </cell>
          <cell r="K178" t="str">
            <v>C</v>
          </cell>
          <cell r="L178" t="str">
            <v>Name modified</v>
          </cell>
          <cell r="W178">
            <v>65</v>
          </cell>
          <cell r="X178" t="str">
            <v>AC</v>
          </cell>
          <cell r="Y178">
            <v>150</v>
          </cell>
          <cell r="Z178" t="str">
            <v>SB</v>
          </cell>
          <cell r="AA178">
            <v>100</v>
          </cell>
          <cell r="AB178" t="str">
            <v>GR</v>
          </cell>
          <cell r="AC178">
            <v>5</v>
          </cell>
          <cell r="AM178">
            <v>2</v>
          </cell>
          <cell r="AN178" t="str">
            <v>never resealed</v>
          </cell>
          <cell r="BO178" t="str">
            <v>RS 167</v>
          </cell>
          <cell r="BP178">
            <v>6.3</v>
          </cell>
          <cell r="BQ178">
            <v>4</v>
          </cell>
          <cell r="BR178" t="str">
            <v>R</v>
          </cell>
          <cell r="BS178" t="str">
            <v>C</v>
          </cell>
          <cell r="BT178">
            <v>0</v>
          </cell>
          <cell r="BU178" t="str">
            <v>AC</v>
          </cell>
          <cell r="BV178" t="str">
            <v/>
          </cell>
          <cell r="BW178">
            <v>2</v>
          </cell>
          <cell r="BX178">
            <v>40</v>
          </cell>
          <cell r="BY178" t="str">
            <v/>
          </cell>
          <cell r="BZ178">
            <v>1</v>
          </cell>
          <cell r="CA178">
            <v>5</v>
          </cell>
          <cell r="CB178">
            <v>1.552</v>
          </cell>
          <cell r="CC178">
            <v>8.0321199288700313</v>
          </cell>
          <cell r="CD178">
            <v>90</v>
          </cell>
          <cell r="CE178">
            <v>75</v>
          </cell>
          <cell r="CF178">
            <v>60</v>
          </cell>
          <cell r="CG178">
            <v>30</v>
          </cell>
          <cell r="CH178">
            <v>15</v>
          </cell>
          <cell r="CI178">
            <v>90</v>
          </cell>
          <cell r="CJ178">
            <v>0.44999999999999996</v>
          </cell>
          <cell r="CK178">
            <v>10</v>
          </cell>
          <cell r="CL178">
            <v>60</v>
          </cell>
          <cell r="CM178">
            <v>0.6668846153846153</v>
          </cell>
          <cell r="CN178">
            <v>0.6668846153846153</v>
          </cell>
          <cell r="CO178">
            <v>0</v>
          </cell>
          <cell r="CP178">
            <v>0</v>
          </cell>
          <cell r="CQ178">
            <v>8.6990045442546471</v>
          </cell>
          <cell r="CR178">
            <v>35</v>
          </cell>
          <cell r="CS178">
            <v>1</v>
          </cell>
          <cell r="CT178">
            <v>0</v>
          </cell>
          <cell r="CU178">
            <v>0</v>
          </cell>
          <cell r="CV178">
            <v>33</v>
          </cell>
          <cell r="CW178">
            <v>33</v>
          </cell>
          <cell r="CX178" t="str">
            <v/>
          </cell>
          <cell r="CY178">
            <v>3</v>
          </cell>
          <cell r="CZ178">
            <v>2.5</v>
          </cell>
          <cell r="DA178">
            <v>2.5</v>
          </cell>
          <cell r="DB178">
            <v>7463</v>
          </cell>
          <cell r="DC178">
            <v>3732</v>
          </cell>
          <cell r="DD178">
            <v>2016</v>
          </cell>
          <cell r="DE178">
            <v>374</v>
          </cell>
          <cell r="DF178">
            <v>1083</v>
          </cell>
          <cell r="DG178">
            <v>112</v>
          </cell>
          <cell r="DH178">
            <v>75</v>
          </cell>
          <cell r="DI178">
            <v>75</v>
          </cell>
        </row>
        <row r="179">
          <cell r="A179" t="str">
            <v>RS 168</v>
          </cell>
          <cell r="B179">
            <v>168</v>
          </cell>
          <cell r="C179" t="str">
            <v>S</v>
          </cell>
          <cell r="D179" t="str">
            <v>U</v>
          </cell>
          <cell r="E179" t="str">
            <v>Makata Road</v>
          </cell>
          <cell r="F179" t="str">
            <v>Urban</v>
          </cell>
          <cell r="G179">
            <v>14</v>
          </cell>
          <cell r="H179">
            <v>2.7</v>
          </cell>
          <cell r="I179" t="str">
            <v>R</v>
          </cell>
          <cell r="J179" t="str">
            <v>IN BLANTYRE CITY</v>
          </cell>
          <cell r="K179" t="str">
            <v>C</v>
          </cell>
          <cell r="W179">
            <v>65</v>
          </cell>
          <cell r="X179" t="str">
            <v>AC</v>
          </cell>
          <cell r="Y179">
            <v>150</v>
          </cell>
          <cell r="Z179" t="str">
            <v>SB</v>
          </cell>
          <cell r="AA179">
            <v>100</v>
          </cell>
          <cell r="AB179" t="str">
            <v>GR</v>
          </cell>
          <cell r="AC179">
            <v>5</v>
          </cell>
          <cell r="AE179">
            <v>98</v>
          </cell>
          <cell r="AF179" t="str">
            <v>RC</v>
          </cell>
          <cell r="AG179" t="str">
            <v>AC</v>
          </cell>
          <cell r="AH179">
            <v>40</v>
          </cell>
          <cell r="AM179">
            <v>2</v>
          </cell>
          <cell r="AN179" t="str">
            <v>reconstruction in progress</v>
          </cell>
          <cell r="BO179" t="str">
            <v>RS 168</v>
          </cell>
          <cell r="BP179">
            <v>2.7</v>
          </cell>
          <cell r="BQ179">
            <v>5.5</v>
          </cell>
          <cell r="BR179" t="str">
            <v>R</v>
          </cell>
          <cell r="BS179" t="str">
            <v>C</v>
          </cell>
          <cell r="BT179">
            <v>0</v>
          </cell>
          <cell r="BU179" t="str">
            <v>AC</v>
          </cell>
          <cell r="BV179" t="str">
            <v/>
          </cell>
          <cell r="BW179">
            <v>2</v>
          </cell>
          <cell r="BX179">
            <v>40</v>
          </cell>
          <cell r="BY179" t="str">
            <v/>
          </cell>
          <cell r="BZ179">
            <v>1</v>
          </cell>
          <cell r="CA179">
            <v>5</v>
          </cell>
          <cell r="CB179">
            <v>1.7290000000000001</v>
          </cell>
          <cell r="CC179">
            <v>2.5027728175050754</v>
          </cell>
          <cell r="CD179" t="str">
            <v>being overlaid 1998</v>
          </cell>
          <cell r="CO179">
            <v>0</v>
          </cell>
          <cell r="CP179">
            <v>0</v>
          </cell>
          <cell r="CV179">
            <v>0</v>
          </cell>
          <cell r="CW179">
            <v>0</v>
          </cell>
          <cell r="CX179" t="str">
            <v/>
          </cell>
          <cell r="CY179">
            <v>1</v>
          </cell>
          <cell r="CZ179">
            <v>1</v>
          </cell>
          <cell r="DA179">
            <v>1</v>
          </cell>
          <cell r="DB179">
            <v>10550</v>
          </cell>
          <cell r="DC179">
            <v>5275</v>
          </cell>
          <cell r="DD179">
            <v>2849</v>
          </cell>
          <cell r="DE179">
            <v>528</v>
          </cell>
          <cell r="DF179">
            <v>1530</v>
          </cell>
          <cell r="DG179">
            <v>159</v>
          </cell>
          <cell r="DH179">
            <v>106</v>
          </cell>
          <cell r="DI179">
            <v>106</v>
          </cell>
        </row>
        <row r="180">
          <cell r="A180" t="str">
            <v>RS 169</v>
          </cell>
          <cell r="B180">
            <v>169</v>
          </cell>
          <cell r="C180" t="str">
            <v>S</v>
          </cell>
          <cell r="D180" t="str">
            <v>U</v>
          </cell>
          <cell r="E180" t="str">
            <v>Ndirande Ring Road</v>
          </cell>
          <cell r="F180" t="str">
            <v>Urban</v>
          </cell>
          <cell r="G180">
            <v>15</v>
          </cell>
          <cell r="H180">
            <v>3.3</v>
          </cell>
          <cell r="I180" t="str">
            <v>R</v>
          </cell>
          <cell r="J180" t="str">
            <v>IN BLANTYRE CITY</v>
          </cell>
          <cell r="K180" t="str">
            <v>C</v>
          </cell>
          <cell r="L180" t="str">
            <v>name changed from HHI - David Whitehead Via Ndirande Market</v>
          </cell>
          <cell r="W180">
            <v>77</v>
          </cell>
          <cell r="X180" t="str">
            <v>AC</v>
          </cell>
          <cell r="Y180">
            <v>150</v>
          </cell>
          <cell r="Z180" t="str">
            <v>SB</v>
          </cell>
          <cell r="AA180">
            <v>100</v>
          </cell>
          <cell r="AB180" t="str">
            <v>GR</v>
          </cell>
          <cell r="AC180">
            <v>5</v>
          </cell>
          <cell r="AM180">
            <v>2</v>
          </cell>
          <cell r="AN180" t="str">
            <v>never resealed</v>
          </cell>
          <cell r="BO180" t="str">
            <v>RS 169</v>
          </cell>
          <cell r="BP180">
            <v>3.3</v>
          </cell>
          <cell r="BQ180">
            <v>6</v>
          </cell>
          <cell r="BR180" t="str">
            <v>R</v>
          </cell>
          <cell r="BS180" t="str">
            <v>C</v>
          </cell>
          <cell r="BT180">
            <v>0</v>
          </cell>
          <cell r="BU180" t="str">
            <v>AC</v>
          </cell>
          <cell r="BV180" t="str">
            <v/>
          </cell>
          <cell r="BW180">
            <v>2</v>
          </cell>
          <cell r="BX180">
            <v>40</v>
          </cell>
          <cell r="BY180" t="str">
            <v/>
          </cell>
          <cell r="BZ180">
            <v>1</v>
          </cell>
          <cell r="CA180">
            <v>5</v>
          </cell>
          <cell r="CB180">
            <v>1.552</v>
          </cell>
          <cell r="CC180">
            <v>7.5591680351906154</v>
          </cell>
          <cell r="CD180">
            <v>90</v>
          </cell>
          <cell r="CE180">
            <v>70</v>
          </cell>
          <cell r="CF180">
            <v>55</v>
          </cell>
          <cell r="CG180">
            <v>35</v>
          </cell>
          <cell r="CH180">
            <v>15</v>
          </cell>
          <cell r="CI180">
            <v>84.3</v>
          </cell>
          <cell r="CJ180">
            <v>0.28100000000000003</v>
          </cell>
          <cell r="CK180">
            <v>10</v>
          </cell>
          <cell r="CL180">
            <v>55</v>
          </cell>
          <cell r="CM180">
            <v>0.56997769230769224</v>
          </cell>
          <cell r="CN180">
            <v>0.56997769230769224</v>
          </cell>
          <cell r="CO180">
            <v>0</v>
          </cell>
          <cell r="CP180">
            <v>0</v>
          </cell>
          <cell r="CQ180">
            <v>8.1291457274983081</v>
          </cell>
          <cell r="CR180">
            <v>64</v>
          </cell>
          <cell r="CS180">
            <v>1</v>
          </cell>
          <cell r="CT180">
            <v>0</v>
          </cell>
          <cell r="CU180">
            <v>0</v>
          </cell>
          <cell r="CV180">
            <v>21</v>
          </cell>
          <cell r="CW180">
            <v>21</v>
          </cell>
          <cell r="CX180" t="str">
            <v/>
          </cell>
          <cell r="CY180">
            <v>2</v>
          </cell>
          <cell r="CZ180">
            <v>1.3</v>
          </cell>
          <cell r="DA180">
            <v>1.5</v>
          </cell>
          <cell r="DB180">
            <v>2203</v>
          </cell>
          <cell r="DC180">
            <v>1102</v>
          </cell>
          <cell r="DD180">
            <v>595</v>
          </cell>
          <cell r="DE180">
            <v>111</v>
          </cell>
          <cell r="DF180">
            <v>320</v>
          </cell>
          <cell r="DG180">
            <v>34</v>
          </cell>
          <cell r="DH180">
            <v>23</v>
          </cell>
          <cell r="DI180">
            <v>23</v>
          </cell>
        </row>
        <row r="181">
          <cell r="A181" t="str">
            <v>RS 174</v>
          </cell>
          <cell r="B181">
            <v>174</v>
          </cell>
          <cell r="C181" t="str">
            <v>S</v>
          </cell>
          <cell r="D181" t="str">
            <v>U</v>
          </cell>
          <cell r="E181" t="str">
            <v>Chipembere Highway (M2, Blantyre - Limbe)</v>
          </cell>
          <cell r="F181" t="str">
            <v>Urban</v>
          </cell>
          <cell r="G181">
            <v>16</v>
          </cell>
          <cell r="H181">
            <v>9</v>
          </cell>
          <cell r="I181" t="str">
            <v>R</v>
          </cell>
          <cell r="J181" t="str">
            <v>IN BLANTYRE CITY</v>
          </cell>
          <cell r="K181" t="str">
            <v>C</v>
          </cell>
          <cell r="W181">
            <v>56</v>
          </cell>
          <cell r="X181" t="str">
            <v>AC</v>
          </cell>
          <cell r="Y181">
            <v>150</v>
          </cell>
          <cell r="Z181" t="str">
            <v>SB</v>
          </cell>
          <cell r="AA181">
            <v>100</v>
          </cell>
          <cell r="AB181" t="str">
            <v>GR</v>
          </cell>
          <cell r="AC181">
            <v>5</v>
          </cell>
          <cell r="AE181">
            <v>98</v>
          </cell>
          <cell r="AF181" t="str">
            <v>AO</v>
          </cell>
          <cell r="AG181" t="str">
            <v>AC</v>
          </cell>
          <cell r="AH181">
            <v>25</v>
          </cell>
          <cell r="AM181">
            <v>6</v>
          </cell>
          <cell r="BO181" t="str">
            <v>RS 174</v>
          </cell>
          <cell r="BP181">
            <v>9</v>
          </cell>
          <cell r="BQ181">
            <v>12</v>
          </cell>
          <cell r="BR181" t="str">
            <v>R</v>
          </cell>
          <cell r="BS181" t="str">
            <v>C</v>
          </cell>
          <cell r="BT181">
            <v>0</v>
          </cell>
          <cell r="BU181" t="str">
            <v>AC</v>
          </cell>
          <cell r="BV181" t="str">
            <v>AC</v>
          </cell>
          <cell r="BW181">
            <v>6</v>
          </cell>
          <cell r="BX181">
            <v>40</v>
          </cell>
          <cell r="BY181">
            <v>40</v>
          </cell>
          <cell r="BZ181">
            <v>1</v>
          </cell>
          <cell r="CA181">
            <v>5</v>
          </cell>
          <cell r="CB181">
            <v>2.1040000000000001</v>
          </cell>
          <cell r="CC181">
            <v>5.14</v>
          </cell>
          <cell r="CD181" t="str">
            <v>being overlaid 1998</v>
          </cell>
          <cell r="CV181">
            <v>0</v>
          </cell>
          <cell r="CW181">
            <v>42</v>
          </cell>
          <cell r="CX181">
            <v>84</v>
          </cell>
          <cell r="CY181">
            <v>1.1000000000000001</v>
          </cell>
          <cell r="CZ181">
            <v>1.1000000000000001</v>
          </cell>
          <cell r="DA181">
            <v>1.1000000000000001</v>
          </cell>
          <cell r="DB181">
            <v>14065</v>
          </cell>
          <cell r="DC181">
            <v>7033</v>
          </cell>
          <cell r="DD181">
            <v>3798</v>
          </cell>
          <cell r="DE181">
            <v>704</v>
          </cell>
          <cell r="DF181">
            <v>2040</v>
          </cell>
          <cell r="DG181">
            <v>211</v>
          </cell>
          <cell r="DH181">
            <v>141</v>
          </cell>
          <cell r="DI181">
            <v>141</v>
          </cell>
        </row>
        <row r="182">
          <cell r="A182" t="str">
            <v>RS 846</v>
          </cell>
          <cell r="B182" t="str">
            <v>n.a.</v>
          </cell>
          <cell r="C182" t="str">
            <v>S</v>
          </cell>
          <cell r="D182" t="str">
            <v>U</v>
          </cell>
          <cell r="E182" t="str">
            <v>Clock Tower - junction M1 (via road S137)</v>
          </cell>
          <cell r="F182" t="str">
            <v>Urban</v>
          </cell>
          <cell r="G182">
            <v>17</v>
          </cell>
          <cell r="H182">
            <v>10.4</v>
          </cell>
          <cell r="I182" t="str">
            <v>R</v>
          </cell>
          <cell r="J182" t="str">
            <v>BLANTYRE CITY</v>
          </cell>
          <cell r="K182">
            <v>9</v>
          </cell>
          <cell r="L182" t="str">
            <v>New section part original RS 175</v>
          </cell>
          <cell r="W182">
            <v>56</v>
          </cell>
          <cell r="X182" t="str">
            <v>AC</v>
          </cell>
          <cell r="Y182">
            <v>150</v>
          </cell>
          <cell r="Z182" t="str">
            <v>SB</v>
          </cell>
          <cell r="AA182">
            <v>100</v>
          </cell>
          <cell r="AB182" t="str">
            <v>GR</v>
          </cell>
          <cell r="AC182">
            <v>5</v>
          </cell>
          <cell r="AE182">
            <v>98</v>
          </cell>
          <cell r="AF182" t="str">
            <v>AO</v>
          </cell>
          <cell r="AG182" t="str">
            <v>AC</v>
          </cell>
          <cell r="AH182">
            <v>25</v>
          </cell>
          <cell r="AM182">
            <v>6</v>
          </cell>
          <cell r="BO182" t="str">
            <v>RS 846</v>
          </cell>
          <cell r="BP182">
            <v>10.4</v>
          </cell>
          <cell r="BQ182">
            <v>12</v>
          </cell>
          <cell r="BR182" t="str">
            <v>R</v>
          </cell>
          <cell r="BS182" t="str">
            <v>C</v>
          </cell>
          <cell r="BT182">
            <v>0</v>
          </cell>
          <cell r="BU182" t="str">
            <v>AC</v>
          </cell>
          <cell r="BV182" t="str">
            <v>AC</v>
          </cell>
          <cell r="BW182">
            <v>6</v>
          </cell>
          <cell r="BX182">
            <v>40</v>
          </cell>
          <cell r="BY182">
            <v>40</v>
          </cell>
          <cell r="BZ182">
            <v>1</v>
          </cell>
          <cell r="CA182">
            <v>5</v>
          </cell>
          <cell r="CB182">
            <v>2.1040000000000001</v>
          </cell>
          <cell r="CC182">
            <v>11.5</v>
          </cell>
          <cell r="CD182" t="str">
            <v>being overlaid 1998</v>
          </cell>
          <cell r="CO182">
            <v>0</v>
          </cell>
          <cell r="CP182">
            <v>0</v>
          </cell>
          <cell r="CV182">
            <v>0</v>
          </cell>
          <cell r="CW182">
            <v>42</v>
          </cell>
          <cell r="CX182">
            <v>84</v>
          </cell>
          <cell r="CY182">
            <v>2.5</v>
          </cell>
          <cell r="CZ182">
            <v>3</v>
          </cell>
          <cell r="DA182">
            <v>2</v>
          </cell>
          <cell r="DB182">
            <v>14000</v>
          </cell>
          <cell r="DC182">
            <v>7000</v>
          </cell>
          <cell r="DD182">
            <v>3780</v>
          </cell>
          <cell r="DE182">
            <v>700</v>
          </cell>
          <cell r="DF182">
            <v>2030</v>
          </cell>
          <cell r="DG182">
            <v>210</v>
          </cell>
          <cell r="DH182">
            <v>140</v>
          </cell>
          <cell r="DI182">
            <v>140</v>
          </cell>
        </row>
        <row r="183">
          <cell r="A183" t="str">
            <v>RS 841</v>
          </cell>
          <cell r="B183">
            <v>170</v>
          </cell>
          <cell r="C183" t="str">
            <v>S</v>
          </cell>
          <cell r="D183" t="str">
            <v>U</v>
          </cell>
          <cell r="E183" t="str">
            <v>Zomba - Chikanda (M1 to end bitumen)</v>
          </cell>
          <cell r="F183" t="str">
            <v>Urban</v>
          </cell>
          <cell r="G183">
            <v>18</v>
          </cell>
          <cell r="H183">
            <v>0.9</v>
          </cell>
          <cell r="I183" t="str">
            <v>R</v>
          </cell>
          <cell r="J183" t="str">
            <v>ZOMBA CITY</v>
          </cell>
          <cell r="K183" t="str">
            <v>C</v>
          </cell>
          <cell r="W183">
            <v>67</v>
          </cell>
          <cell r="X183" t="str">
            <v>SA</v>
          </cell>
          <cell r="Y183">
            <v>150</v>
          </cell>
          <cell r="Z183" t="str">
            <v>GR</v>
          </cell>
          <cell r="AA183">
            <v>100</v>
          </cell>
          <cell r="AB183" t="str">
            <v>GR</v>
          </cell>
          <cell r="AC183">
            <v>5</v>
          </cell>
          <cell r="AM183">
            <v>2</v>
          </cell>
          <cell r="AN183" t="str">
            <v>never resealed</v>
          </cell>
          <cell r="BO183" t="str">
            <v>RS 841</v>
          </cell>
          <cell r="BP183">
            <v>0.9</v>
          </cell>
          <cell r="BQ183">
            <v>3</v>
          </cell>
          <cell r="BR183" t="str">
            <v>R</v>
          </cell>
          <cell r="BS183" t="str">
            <v>C</v>
          </cell>
          <cell r="BT183">
            <v>0</v>
          </cell>
          <cell r="BU183" t="str">
            <v>SA</v>
          </cell>
          <cell r="BV183" t="str">
            <v/>
          </cell>
          <cell r="BW183">
            <v>2</v>
          </cell>
          <cell r="BX183">
            <v>10</v>
          </cell>
          <cell r="BY183" t="str">
            <v/>
          </cell>
          <cell r="BZ183">
            <v>1</v>
          </cell>
          <cell r="CA183">
            <v>5</v>
          </cell>
          <cell r="CB183">
            <v>0.90800000000000003</v>
          </cell>
          <cell r="CC183">
            <v>8.3099011730205277</v>
          </cell>
          <cell r="CD183">
            <v>95</v>
          </cell>
          <cell r="CE183">
            <v>67</v>
          </cell>
          <cell r="CF183">
            <v>52</v>
          </cell>
          <cell r="CG183">
            <v>43</v>
          </cell>
          <cell r="CH183">
            <v>15</v>
          </cell>
          <cell r="CI183">
            <v>14.5</v>
          </cell>
          <cell r="CJ183">
            <v>9.6666666666666679E-2</v>
          </cell>
          <cell r="CK183">
            <v>10</v>
          </cell>
          <cell r="CL183">
            <v>52</v>
          </cell>
          <cell r="CM183">
            <v>0.48051025641025635</v>
          </cell>
          <cell r="CN183">
            <v>0.48051025641025635</v>
          </cell>
          <cell r="CO183">
            <v>0</v>
          </cell>
          <cell r="CP183">
            <v>0</v>
          </cell>
          <cell r="CQ183">
            <v>8.7904114294307831</v>
          </cell>
          <cell r="CR183">
            <v>25</v>
          </cell>
          <cell r="CS183">
            <v>1</v>
          </cell>
          <cell r="CT183">
            <v>0</v>
          </cell>
          <cell r="CU183">
            <v>0</v>
          </cell>
          <cell r="CV183">
            <v>31</v>
          </cell>
          <cell r="CW183">
            <v>31</v>
          </cell>
          <cell r="CX183" t="str">
            <v/>
          </cell>
          <cell r="CY183">
            <v>2</v>
          </cell>
          <cell r="DB183">
            <v>118</v>
          </cell>
          <cell r="DC183">
            <v>59</v>
          </cell>
          <cell r="DD183">
            <v>32</v>
          </cell>
          <cell r="DE183">
            <v>6</v>
          </cell>
          <cell r="DF183">
            <v>18</v>
          </cell>
          <cell r="DG183">
            <v>2</v>
          </cell>
          <cell r="DH183">
            <v>2</v>
          </cell>
          <cell r="DI183">
            <v>2</v>
          </cell>
        </row>
        <row r="184">
          <cell r="A184" t="str">
            <v>RS 171</v>
          </cell>
          <cell r="B184">
            <v>171</v>
          </cell>
          <cell r="C184" t="str">
            <v>S</v>
          </cell>
          <cell r="D184" t="str">
            <v>U</v>
          </cell>
          <cell r="E184" t="str">
            <v>St Mary's Road (Cheonga Road)</v>
          </cell>
          <cell r="F184" t="str">
            <v>Urban</v>
          </cell>
          <cell r="G184">
            <v>19</v>
          </cell>
          <cell r="H184">
            <v>2</v>
          </cell>
          <cell r="I184" t="str">
            <v>R</v>
          </cell>
          <cell r="J184" t="str">
            <v>ZOMBA CITY</v>
          </cell>
          <cell r="K184" t="str">
            <v>C</v>
          </cell>
          <cell r="W184">
            <v>65</v>
          </cell>
          <cell r="X184" t="str">
            <v>SA</v>
          </cell>
          <cell r="Y184">
            <v>150</v>
          </cell>
          <cell r="Z184" t="str">
            <v>GR</v>
          </cell>
          <cell r="AA184">
            <v>150</v>
          </cell>
          <cell r="AB184" t="str">
            <v>GR</v>
          </cell>
          <cell r="AC184">
            <v>7</v>
          </cell>
          <cell r="AD184" t="str">
            <v>MC</v>
          </cell>
          <cell r="AM184">
            <v>2</v>
          </cell>
          <cell r="AN184" t="str">
            <v>never resealed</v>
          </cell>
          <cell r="BO184" t="str">
            <v>RS 171</v>
          </cell>
          <cell r="BP184">
            <v>2</v>
          </cell>
          <cell r="BQ184">
            <v>3</v>
          </cell>
          <cell r="BR184" t="str">
            <v>R</v>
          </cell>
          <cell r="BS184" t="str">
            <v>C</v>
          </cell>
          <cell r="BT184">
            <v>0</v>
          </cell>
          <cell r="BU184" t="str">
            <v>SA</v>
          </cell>
          <cell r="BV184" t="str">
            <v/>
          </cell>
          <cell r="BW184">
            <v>2</v>
          </cell>
          <cell r="BX184">
            <v>10</v>
          </cell>
          <cell r="BY184" t="str">
            <v/>
          </cell>
          <cell r="BZ184">
            <v>1</v>
          </cell>
          <cell r="CA184">
            <v>7</v>
          </cell>
          <cell r="CB184">
            <v>1.3580000000000001</v>
          </cell>
          <cell r="CC184">
            <v>7.6195440917716066</v>
          </cell>
          <cell r="CD184">
            <v>95</v>
          </cell>
          <cell r="CE184">
            <v>57</v>
          </cell>
          <cell r="CF184">
            <v>42</v>
          </cell>
          <cell r="CG184">
            <v>53</v>
          </cell>
          <cell r="CH184">
            <v>15</v>
          </cell>
          <cell r="CI184">
            <v>34.5</v>
          </cell>
          <cell r="CJ184">
            <v>0.22999999999999998</v>
          </cell>
          <cell r="CK184">
            <v>10</v>
          </cell>
          <cell r="CL184">
            <v>42</v>
          </cell>
          <cell r="CM184">
            <v>0.46471538461538459</v>
          </cell>
          <cell r="CN184">
            <v>0.46471538461538459</v>
          </cell>
          <cell r="CO184">
            <v>0</v>
          </cell>
          <cell r="CP184">
            <v>0</v>
          </cell>
          <cell r="CQ184">
            <v>8.0842594763869915</v>
          </cell>
          <cell r="CR184">
            <v>50</v>
          </cell>
          <cell r="CS184">
            <v>1</v>
          </cell>
          <cell r="CT184">
            <v>0</v>
          </cell>
          <cell r="CU184">
            <v>0</v>
          </cell>
          <cell r="CV184">
            <v>33</v>
          </cell>
          <cell r="CW184">
            <v>33</v>
          </cell>
          <cell r="CX184" t="str">
            <v/>
          </cell>
          <cell r="CY184">
            <v>3</v>
          </cell>
          <cell r="CZ184">
            <v>3</v>
          </cell>
          <cell r="DA184">
            <v>2</v>
          </cell>
          <cell r="DB184">
            <v>134</v>
          </cell>
          <cell r="DC184">
            <v>67</v>
          </cell>
          <cell r="DD184">
            <v>37</v>
          </cell>
          <cell r="DE184">
            <v>7</v>
          </cell>
          <cell r="DF184">
            <v>20</v>
          </cell>
          <cell r="DG184">
            <v>3</v>
          </cell>
          <cell r="DH184">
            <v>2</v>
          </cell>
          <cell r="DI184">
            <v>2</v>
          </cell>
        </row>
        <row r="185">
          <cell r="A185" t="str">
            <v>RS 843</v>
          </cell>
          <cell r="B185">
            <v>172</v>
          </cell>
          <cell r="C185" t="str">
            <v>S</v>
          </cell>
          <cell r="D185" t="str">
            <v>U</v>
          </cell>
          <cell r="E185" t="str">
            <v>Chancellor College Road (M1 to end bitumen)</v>
          </cell>
          <cell r="F185" t="str">
            <v>Urban</v>
          </cell>
          <cell r="G185">
            <v>20</v>
          </cell>
          <cell r="H185">
            <v>2.6</v>
          </cell>
          <cell r="I185" t="str">
            <v>R</v>
          </cell>
          <cell r="J185" t="str">
            <v>ZOMBA CITY</v>
          </cell>
          <cell r="K185" t="str">
            <v>C</v>
          </cell>
          <cell r="W185">
            <v>60</v>
          </cell>
          <cell r="X185" t="str">
            <v>SA</v>
          </cell>
          <cell r="Y185">
            <v>150</v>
          </cell>
          <cell r="Z185" t="str">
            <v>GR</v>
          </cell>
          <cell r="AA185">
            <v>150</v>
          </cell>
          <cell r="AB185" t="str">
            <v>GR</v>
          </cell>
          <cell r="AC185">
            <v>7</v>
          </cell>
          <cell r="AD185" t="str">
            <v>MC</v>
          </cell>
          <cell r="AM185">
            <v>2</v>
          </cell>
          <cell r="AN185" t="str">
            <v>never resealed</v>
          </cell>
          <cell r="BO185" t="str">
            <v>RS 843</v>
          </cell>
          <cell r="BP185">
            <v>2.6</v>
          </cell>
          <cell r="BQ185">
            <v>6</v>
          </cell>
          <cell r="BR185" t="str">
            <v>R</v>
          </cell>
          <cell r="BS185" t="str">
            <v>C</v>
          </cell>
          <cell r="BT185">
            <v>0</v>
          </cell>
          <cell r="BU185" t="str">
            <v>SA</v>
          </cell>
          <cell r="BV185" t="str">
            <v/>
          </cell>
          <cell r="BW185">
            <v>2</v>
          </cell>
          <cell r="BX185">
            <v>10</v>
          </cell>
          <cell r="BY185" t="str">
            <v/>
          </cell>
          <cell r="BZ185">
            <v>1</v>
          </cell>
          <cell r="CA185">
            <v>7</v>
          </cell>
          <cell r="CB185">
            <v>1.3580000000000001</v>
          </cell>
          <cell r="CC185">
            <v>6.8274964809384171</v>
          </cell>
          <cell r="CD185">
            <v>50</v>
          </cell>
          <cell r="CE185">
            <v>5</v>
          </cell>
          <cell r="CF185">
            <v>0</v>
          </cell>
          <cell r="CG185">
            <v>50</v>
          </cell>
          <cell r="CH185">
            <v>5</v>
          </cell>
          <cell r="CI185">
            <v>1.3</v>
          </cell>
          <cell r="CJ185">
            <v>4.3333333333333331E-3</v>
          </cell>
          <cell r="CK185">
            <v>4.3333333333333331E-3</v>
          </cell>
          <cell r="CL185">
            <v>0</v>
          </cell>
          <cell r="CM185">
            <v>1.6799999999999999E-3</v>
          </cell>
          <cell r="CN185">
            <v>1.6799999999999999E-3</v>
          </cell>
          <cell r="CO185">
            <v>0</v>
          </cell>
          <cell r="CP185">
            <v>0</v>
          </cell>
          <cell r="CQ185">
            <v>6.8291764809384174</v>
          </cell>
          <cell r="CR185">
            <v>0</v>
          </cell>
          <cell r="CS185">
            <v>1</v>
          </cell>
          <cell r="CT185">
            <v>0</v>
          </cell>
          <cell r="CU185">
            <v>0</v>
          </cell>
          <cell r="CV185">
            <v>38</v>
          </cell>
          <cell r="CW185">
            <v>38</v>
          </cell>
          <cell r="CX185" t="str">
            <v/>
          </cell>
          <cell r="CY185">
            <v>1.2</v>
          </cell>
          <cell r="CZ185">
            <v>1.3</v>
          </cell>
          <cell r="DA185">
            <v>1.2</v>
          </cell>
          <cell r="DB185">
            <v>141</v>
          </cell>
          <cell r="DC185">
            <v>71</v>
          </cell>
          <cell r="DD185">
            <v>39</v>
          </cell>
          <cell r="DE185">
            <v>8</v>
          </cell>
          <cell r="DF185">
            <v>21</v>
          </cell>
          <cell r="DG185">
            <v>3</v>
          </cell>
          <cell r="DH185">
            <v>2</v>
          </cell>
          <cell r="DI185">
            <v>2</v>
          </cell>
        </row>
        <row r="186">
          <cell r="A186" t="str">
            <v>RS 173</v>
          </cell>
          <cell r="B186">
            <v>173</v>
          </cell>
          <cell r="C186" t="str">
            <v>S</v>
          </cell>
          <cell r="D186" t="str">
            <v>U</v>
          </cell>
          <cell r="E186" t="str">
            <v>Parliament Road</v>
          </cell>
          <cell r="F186" t="str">
            <v>Urban</v>
          </cell>
          <cell r="G186">
            <v>21</v>
          </cell>
          <cell r="H186">
            <v>2</v>
          </cell>
          <cell r="I186" t="str">
            <v>R</v>
          </cell>
          <cell r="J186" t="str">
            <v>ZOMBA CITY</v>
          </cell>
          <cell r="K186" t="str">
            <v>C</v>
          </cell>
          <cell r="W186">
            <v>58</v>
          </cell>
          <cell r="X186" t="str">
            <v>SA</v>
          </cell>
          <cell r="Y186">
            <v>150</v>
          </cell>
          <cell r="Z186" t="str">
            <v>GR</v>
          </cell>
          <cell r="AA186">
            <v>150</v>
          </cell>
          <cell r="AB186" t="str">
            <v>GR</v>
          </cell>
          <cell r="AC186">
            <v>7</v>
          </cell>
          <cell r="AD186" t="str">
            <v>MC</v>
          </cell>
          <cell r="AE186">
            <v>98</v>
          </cell>
          <cell r="AF186" t="str">
            <v>AO</v>
          </cell>
          <cell r="AG186" t="str">
            <v>AC</v>
          </cell>
          <cell r="AH186">
            <v>25</v>
          </cell>
          <cell r="AM186">
            <v>6</v>
          </cell>
          <cell r="AN186" t="str">
            <v>AO 1998</v>
          </cell>
          <cell r="BO186" t="str">
            <v>RS 173</v>
          </cell>
          <cell r="BP186">
            <v>2</v>
          </cell>
          <cell r="BQ186">
            <v>6</v>
          </cell>
          <cell r="BR186" t="str">
            <v>R</v>
          </cell>
          <cell r="BS186" t="str">
            <v>A</v>
          </cell>
          <cell r="BT186">
            <v>0</v>
          </cell>
          <cell r="BU186" t="str">
            <v>AC</v>
          </cell>
          <cell r="BV186" t="str">
            <v>SA</v>
          </cell>
          <cell r="BW186">
            <v>6</v>
          </cell>
          <cell r="BX186">
            <v>40</v>
          </cell>
          <cell r="BY186">
            <v>10</v>
          </cell>
          <cell r="BZ186">
            <v>1</v>
          </cell>
          <cell r="CA186">
            <v>7</v>
          </cell>
          <cell r="CB186">
            <v>1.9100000000000001</v>
          </cell>
          <cell r="CC186">
            <v>7.3099011730205294</v>
          </cell>
          <cell r="CD186" t="str">
            <v>being overlaid 1998</v>
          </cell>
          <cell r="CO186">
            <v>0</v>
          </cell>
          <cell r="CP186">
            <v>0</v>
          </cell>
          <cell r="CV186">
            <v>0</v>
          </cell>
          <cell r="CW186">
            <v>40</v>
          </cell>
          <cell r="CX186">
            <v>80</v>
          </cell>
          <cell r="CY186">
            <v>1</v>
          </cell>
          <cell r="CZ186">
            <v>1</v>
          </cell>
          <cell r="DA186">
            <v>1</v>
          </cell>
          <cell r="DB186">
            <v>179</v>
          </cell>
          <cell r="DC186">
            <v>90</v>
          </cell>
          <cell r="DD186">
            <v>49</v>
          </cell>
          <cell r="DE186">
            <v>9</v>
          </cell>
          <cell r="DF186">
            <v>26</v>
          </cell>
          <cell r="DG186">
            <v>3</v>
          </cell>
          <cell r="DH186">
            <v>2</v>
          </cell>
          <cell r="DI186">
            <v>2</v>
          </cell>
        </row>
        <row r="187">
          <cell r="A187" t="str">
            <v>RS 176</v>
          </cell>
          <cell r="B187">
            <v>176</v>
          </cell>
          <cell r="C187" t="str">
            <v>S</v>
          </cell>
          <cell r="D187" t="str">
            <v>U</v>
          </cell>
          <cell r="E187" t="str">
            <v>Kuchawe Road (up road)</v>
          </cell>
          <cell r="F187" t="str">
            <v>Urban</v>
          </cell>
          <cell r="G187">
            <v>22</v>
          </cell>
          <cell r="H187">
            <v>15</v>
          </cell>
          <cell r="I187" t="str">
            <v>H</v>
          </cell>
          <cell r="J187" t="str">
            <v>ZOMBA CITY &amp; ZOMBA</v>
          </cell>
          <cell r="K187" t="str">
            <v>C</v>
          </cell>
          <cell r="W187">
            <v>68</v>
          </cell>
          <cell r="X187" t="str">
            <v>SA</v>
          </cell>
          <cell r="Y187">
            <v>150</v>
          </cell>
          <cell r="Z187" t="str">
            <v>SB</v>
          </cell>
          <cell r="AA187">
            <v>150</v>
          </cell>
          <cell r="AB187" t="str">
            <v>GR</v>
          </cell>
          <cell r="AC187">
            <v>15</v>
          </cell>
          <cell r="AD187" t="str">
            <v>VR</v>
          </cell>
          <cell r="AM187">
            <v>2</v>
          </cell>
          <cell r="AN187" t="str">
            <v>reseal 1998</v>
          </cell>
          <cell r="BO187" t="str">
            <v>RS 176</v>
          </cell>
          <cell r="BP187">
            <v>15</v>
          </cell>
          <cell r="BQ187">
            <v>5.5</v>
          </cell>
          <cell r="BR187" t="str">
            <v>H</v>
          </cell>
          <cell r="BS187" t="str">
            <v>C</v>
          </cell>
          <cell r="BT187">
            <v>0</v>
          </cell>
          <cell r="BU187" t="str">
            <v>SA</v>
          </cell>
          <cell r="BV187" t="str">
            <v/>
          </cell>
          <cell r="BW187">
            <v>2</v>
          </cell>
          <cell r="BX187">
            <v>10</v>
          </cell>
          <cell r="BY187" t="str">
            <v/>
          </cell>
          <cell r="BZ187">
            <v>1</v>
          </cell>
          <cell r="CA187">
            <v>15</v>
          </cell>
          <cell r="CB187">
            <v>1.508</v>
          </cell>
          <cell r="CC187">
            <v>9.5457000217226007</v>
          </cell>
          <cell r="CD187">
            <v>90</v>
          </cell>
          <cell r="CE187">
            <v>60</v>
          </cell>
          <cell r="CF187">
            <v>45</v>
          </cell>
          <cell r="CG187">
            <v>45</v>
          </cell>
          <cell r="CH187">
            <v>15</v>
          </cell>
          <cell r="CI187">
            <v>4.5</v>
          </cell>
          <cell r="CJ187">
            <v>1.6363636363636365E-2</v>
          </cell>
          <cell r="CK187">
            <v>10</v>
          </cell>
          <cell r="CL187">
            <v>45</v>
          </cell>
          <cell r="CM187">
            <v>0.40387272727272727</v>
          </cell>
          <cell r="CN187">
            <v>0.40387272727272727</v>
          </cell>
          <cell r="CO187">
            <v>0</v>
          </cell>
          <cell r="CP187">
            <v>0</v>
          </cell>
          <cell r="CQ187">
            <v>9.9495727489953278</v>
          </cell>
          <cell r="CR187">
            <v>25</v>
          </cell>
          <cell r="CS187">
            <v>1</v>
          </cell>
          <cell r="CT187">
            <v>0</v>
          </cell>
          <cell r="CU187">
            <v>0</v>
          </cell>
          <cell r="CV187">
            <v>30</v>
          </cell>
          <cell r="CW187">
            <v>30</v>
          </cell>
          <cell r="CX187" t="str">
            <v/>
          </cell>
          <cell r="CY187">
            <v>2</v>
          </cell>
          <cell r="CZ187">
            <v>2</v>
          </cell>
          <cell r="DA187">
            <v>1.5</v>
          </cell>
          <cell r="DB187">
            <v>200</v>
          </cell>
          <cell r="DC187">
            <v>103</v>
          </cell>
          <cell r="DD187">
            <v>8</v>
          </cell>
          <cell r="DE187">
            <v>5</v>
          </cell>
          <cell r="DF187">
            <v>9</v>
          </cell>
          <cell r="DG187">
            <v>5</v>
          </cell>
          <cell r="DH187">
            <v>3</v>
          </cell>
          <cell r="DI187">
            <v>11</v>
          </cell>
        </row>
        <row r="188">
          <cell r="A188" t="str">
            <v>RS 146</v>
          </cell>
          <cell r="B188">
            <v>146</v>
          </cell>
          <cell r="C188" t="str">
            <v>N</v>
          </cell>
          <cell r="D188" t="str">
            <v>U</v>
          </cell>
          <cell r="E188" t="str">
            <v>Chimaliro Road</v>
          </cell>
          <cell r="F188" t="str">
            <v>Urban</v>
          </cell>
          <cell r="G188">
            <v>25</v>
          </cell>
          <cell r="H188">
            <v>10</v>
          </cell>
          <cell r="I188" t="str">
            <v>R</v>
          </cell>
          <cell r="J188" t="str">
            <v>MZUZU CITY</v>
          </cell>
          <cell r="K188" t="str">
            <v>C</v>
          </cell>
          <cell r="W188">
            <v>85</v>
          </cell>
          <cell r="X188" t="str">
            <v>DS</v>
          </cell>
          <cell r="Y188">
            <v>150</v>
          </cell>
          <cell r="Z188" t="str">
            <v>GR</v>
          </cell>
          <cell r="AA188">
            <v>100</v>
          </cell>
          <cell r="AB188" t="str">
            <v>GR</v>
          </cell>
          <cell r="AC188">
            <v>5</v>
          </cell>
          <cell r="AD188" t="str">
            <v>AM</v>
          </cell>
          <cell r="AM188">
            <v>1</v>
          </cell>
          <cell r="AN188" t="str">
            <v>never resealed</v>
          </cell>
          <cell r="BO188" t="str">
            <v>RS 146</v>
          </cell>
          <cell r="BP188">
            <v>10</v>
          </cell>
          <cell r="BQ188">
            <v>6.7</v>
          </cell>
          <cell r="BR188" t="str">
            <v>R</v>
          </cell>
          <cell r="BS188" t="str">
            <v>C</v>
          </cell>
          <cell r="BT188">
            <v>0</v>
          </cell>
          <cell r="BU188" t="str">
            <v>DS</v>
          </cell>
          <cell r="BV188" t="str">
            <v/>
          </cell>
          <cell r="BW188">
            <v>1</v>
          </cell>
          <cell r="BX188">
            <v>15</v>
          </cell>
          <cell r="BY188" t="str">
            <v/>
          </cell>
          <cell r="BZ188">
            <v>1</v>
          </cell>
          <cell r="CA188">
            <v>5</v>
          </cell>
          <cell r="CB188">
            <v>1.077</v>
          </cell>
          <cell r="CC188">
            <v>3.5</v>
          </cell>
          <cell r="CD188">
            <v>0</v>
          </cell>
          <cell r="CE188">
            <v>0</v>
          </cell>
          <cell r="CF188">
            <v>0</v>
          </cell>
          <cell r="CG188">
            <v>0</v>
          </cell>
          <cell r="CH188">
            <v>0</v>
          </cell>
          <cell r="CI188">
            <v>30</v>
          </cell>
          <cell r="CJ188">
            <v>8.9552238805970144E-2</v>
          </cell>
          <cell r="CK188">
            <v>8.9552238805970144E-2</v>
          </cell>
          <cell r="CL188">
            <v>0</v>
          </cell>
          <cell r="CM188">
            <v>3.4718714121699197E-2</v>
          </cell>
          <cell r="CN188">
            <v>3.4718714121699197E-2</v>
          </cell>
          <cell r="CO188">
            <v>0</v>
          </cell>
          <cell r="CP188">
            <v>0</v>
          </cell>
          <cell r="CQ188">
            <v>3.5347187141216994</v>
          </cell>
          <cell r="CR188">
            <v>0</v>
          </cell>
          <cell r="CS188">
            <v>1</v>
          </cell>
          <cell r="CT188">
            <v>0</v>
          </cell>
          <cell r="CU188">
            <v>0</v>
          </cell>
          <cell r="CV188">
            <v>13</v>
          </cell>
          <cell r="CW188">
            <v>13</v>
          </cell>
          <cell r="CX188" t="str">
            <v/>
          </cell>
          <cell r="CY188">
            <v>2</v>
          </cell>
          <cell r="CZ188">
            <v>2</v>
          </cell>
          <cell r="DA188">
            <v>2</v>
          </cell>
          <cell r="DB188">
            <v>780</v>
          </cell>
          <cell r="DC188">
            <v>390</v>
          </cell>
          <cell r="DD188">
            <v>211</v>
          </cell>
          <cell r="DE188">
            <v>39</v>
          </cell>
          <cell r="DF188">
            <v>114</v>
          </cell>
          <cell r="DG188">
            <v>12</v>
          </cell>
          <cell r="DH188">
            <v>8</v>
          </cell>
          <cell r="DI188">
            <v>8</v>
          </cell>
        </row>
        <row r="189">
          <cell r="A189" t="str">
            <v>RS 147</v>
          </cell>
          <cell r="B189">
            <v>147</v>
          </cell>
          <cell r="C189" t="str">
            <v>N</v>
          </cell>
          <cell r="D189" t="str">
            <v>U</v>
          </cell>
          <cell r="E189" t="str">
            <v>Roundabout (Kamuzu Ave.) - Mzirawaingwe</v>
          </cell>
          <cell r="F189" t="str">
            <v>Urban</v>
          </cell>
          <cell r="G189">
            <v>26</v>
          </cell>
          <cell r="H189">
            <v>2.5</v>
          </cell>
          <cell r="I189" t="str">
            <v>R</v>
          </cell>
          <cell r="J189" t="str">
            <v>MZUZU CITY</v>
          </cell>
          <cell r="K189" t="str">
            <v>C</v>
          </cell>
          <cell r="L189" t="str">
            <v xml:space="preserve">Length changed </v>
          </cell>
          <cell r="W189">
            <v>73</v>
          </cell>
          <cell r="X189" t="str">
            <v>DS</v>
          </cell>
          <cell r="Y189">
            <v>150</v>
          </cell>
          <cell r="Z189" t="str">
            <v>GR</v>
          </cell>
          <cell r="AA189">
            <v>100</v>
          </cell>
          <cell r="AB189" t="str">
            <v>GR</v>
          </cell>
          <cell r="AC189">
            <v>5</v>
          </cell>
          <cell r="AD189" t="str">
            <v>AM</v>
          </cell>
          <cell r="AM189">
            <v>1</v>
          </cell>
          <cell r="AN189" t="str">
            <v>never resealed</v>
          </cell>
          <cell r="BO189" t="str">
            <v>RS 147</v>
          </cell>
          <cell r="BP189">
            <v>2.5</v>
          </cell>
          <cell r="BQ189">
            <v>6.7</v>
          </cell>
          <cell r="BR189" t="str">
            <v>R</v>
          </cell>
          <cell r="BS189" t="str">
            <v>C</v>
          </cell>
          <cell r="BT189">
            <v>0</v>
          </cell>
          <cell r="BU189" t="str">
            <v>DS</v>
          </cell>
          <cell r="BV189" t="str">
            <v/>
          </cell>
          <cell r="BW189">
            <v>1</v>
          </cell>
          <cell r="BX189">
            <v>15</v>
          </cell>
          <cell r="BY189" t="str">
            <v/>
          </cell>
          <cell r="BZ189">
            <v>1</v>
          </cell>
          <cell r="CA189">
            <v>5</v>
          </cell>
          <cell r="CB189">
            <v>1.077</v>
          </cell>
          <cell r="CC189">
            <v>3.6</v>
          </cell>
          <cell r="CD189">
            <v>90</v>
          </cell>
          <cell r="CE189">
            <v>72</v>
          </cell>
          <cell r="CF189">
            <v>57</v>
          </cell>
          <cell r="CG189">
            <v>33</v>
          </cell>
          <cell r="CH189">
            <v>15</v>
          </cell>
          <cell r="CI189">
            <v>0.4</v>
          </cell>
          <cell r="CJ189">
            <v>1.1940298507462689E-3</v>
          </cell>
          <cell r="CK189">
            <v>10</v>
          </cell>
          <cell r="CL189">
            <v>57</v>
          </cell>
          <cell r="CM189">
            <v>0.47752789896670489</v>
          </cell>
          <cell r="CN189">
            <v>0.47752789896670489</v>
          </cell>
          <cell r="CO189">
            <v>0</v>
          </cell>
          <cell r="CP189">
            <v>0</v>
          </cell>
          <cell r="CQ189">
            <v>4.0775278989667054</v>
          </cell>
          <cell r="CR189">
            <v>0</v>
          </cell>
          <cell r="CS189">
            <v>1</v>
          </cell>
          <cell r="CT189">
            <v>0</v>
          </cell>
          <cell r="CU189">
            <v>0</v>
          </cell>
          <cell r="CV189">
            <v>25</v>
          </cell>
          <cell r="CW189">
            <v>25</v>
          </cell>
          <cell r="CX189" t="str">
            <v/>
          </cell>
          <cell r="CY189">
            <v>2.5</v>
          </cell>
          <cell r="CZ189">
            <v>2</v>
          </cell>
          <cell r="DA189">
            <v>2.5</v>
          </cell>
          <cell r="DB189">
            <v>1117</v>
          </cell>
          <cell r="DC189">
            <v>559</v>
          </cell>
          <cell r="DD189">
            <v>302</v>
          </cell>
          <cell r="DE189">
            <v>56</v>
          </cell>
          <cell r="DF189">
            <v>162</v>
          </cell>
          <cell r="DG189">
            <v>17</v>
          </cell>
          <cell r="DH189">
            <v>12</v>
          </cell>
          <cell r="DI189">
            <v>12</v>
          </cell>
        </row>
        <row r="190">
          <cell r="A190" t="str">
            <v>RS 849</v>
          </cell>
          <cell r="B190" t="str">
            <v>n.a.</v>
          </cell>
          <cell r="C190" t="str">
            <v>N</v>
          </cell>
          <cell r="D190" t="str">
            <v>U</v>
          </cell>
          <cell r="E190" t="str">
            <v>Viphya Drive (Kamuzu Ave. to Mazuzu Hotel)</v>
          </cell>
          <cell r="F190" t="str">
            <v>Urban</v>
          </cell>
          <cell r="G190">
            <v>27</v>
          </cell>
          <cell r="H190">
            <v>0.5</v>
          </cell>
          <cell r="J190" t="str">
            <v>MZUZU CITY</v>
          </cell>
          <cell r="K190" t="str">
            <v>C</v>
          </cell>
          <cell r="L190" t="str">
            <v>New section part of origional RS 148</v>
          </cell>
          <cell r="W190">
            <v>73</v>
          </cell>
          <cell r="X190" t="str">
            <v>DS</v>
          </cell>
          <cell r="Y190">
            <v>150</v>
          </cell>
          <cell r="Z190" t="str">
            <v>GR</v>
          </cell>
          <cell r="AA190">
            <v>100</v>
          </cell>
          <cell r="AB190" t="str">
            <v>GR</v>
          </cell>
          <cell r="AC190">
            <v>5</v>
          </cell>
          <cell r="AD190" t="str">
            <v>AM</v>
          </cell>
          <cell r="AM190">
            <v>1</v>
          </cell>
          <cell r="AN190" t="str">
            <v>never resealed</v>
          </cell>
          <cell r="BO190" t="str">
            <v>RS 849</v>
          </cell>
          <cell r="BP190">
            <v>0.5</v>
          </cell>
          <cell r="BQ190">
            <v>4</v>
          </cell>
          <cell r="BR190" t="str">
            <v>R</v>
          </cell>
          <cell r="BS190" t="str">
            <v>C</v>
          </cell>
          <cell r="BT190">
            <v>0</v>
          </cell>
          <cell r="BU190" t="str">
            <v>DS</v>
          </cell>
          <cell r="BV190" t="str">
            <v/>
          </cell>
          <cell r="BW190">
            <v>1</v>
          </cell>
          <cell r="BX190">
            <v>15</v>
          </cell>
          <cell r="BY190" t="str">
            <v/>
          </cell>
          <cell r="BZ190">
            <v>1</v>
          </cell>
          <cell r="CA190">
            <v>5</v>
          </cell>
          <cell r="CB190">
            <v>1.077</v>
          </cell>
          <cell r="CC190">
            <v>3.7</v>
          </cell>
          <cell r="CD190">
            <v>70</v>
          </cell>
          <cell r="CE190">
            <v>45</v>
          </cell>
          <cell r="CF190">
            <v>30</v>
          </cell>
          <cell r="CG190">
            <v>40</v>
          </cell>
          <cell r="CH190">
            <v>15</v>
          </cell>
          <cell r="CI190">
            <v>8</v>
          </cell>
          <cell r="CJ190">
            <v>0.04</v>
          </cell>
          <cell r="CK190">
            <v>10</v>
          </cell>
          <cell r="CL190">
            <v>30</v>
          </cell>
          <cell r="CM190">
            <v>0.31356923076923071</v>
          </cell>
          <cell r="CN190">
            <v>0.31356923076923071</v>
          </cell>
          <cell r="CO190">
            <v>0</v>
          </cell>
          <cell r="CP190">
            <v>0</v>
          </cell>
          <cell r="CQ190">
            <v>4.0135692307692308</v>
          </cell>
          <cell r="CR190">
            <v>0</v>
          </cell>
          <cell r="CS190">
            <v>1</v>
          </cell>
          <cell r="CT190">
            <v>0</v>
          </cell>
          <cell r="CU190">
            <v>0</v>
          </cell>
          <cell r="CV190">
            <v>25</v>
          </cell>
          <cell r="CW190">
            <v>25</v>
          </cell>
          <cell r="CX190" t="str">
            <v/>
          </cell>
          <cell r="CY190">
            <v>1</v>
          </cell>
          <cell r="CZ190">
            <v>1</v>
          </cell>
          <cell r="DA190">
            <v>3</v>
          </cell>
          <cell r="DB190">
            <v>184</v>
          </cell>
          <cell r="DC190">
            <v>92</v>
          </cell>
          <cell r="DD190">
            <v>50</v>
          </cell>
          <cell r="DE190">
            <v>10</v>
          </cell>
          <cell r="DF190">
            <v>27</v>
          </cell>
          <cell r="DG190">
            <v>3</v>
          </cell>
          <cell r="DH190">
            <v>2</v>
          </cell>
          <cell r="DI190">
            <v>2</v>
          </cell>
        </row>
        <row r="191">
          <cell r="A191" t="str">
            <v>RS 149</v>
          </cell>
          <cell r="B191">
            <v>149</v>
          </cell>
          <cell r="C191" t="str">
            <v>N</v>
          </cell>
          <cell r="D191" t="str">
            <v>U</v>
          </cell>
          <cell r="E191" t="str">
            <v>Airport Road (Mzuzu)</v>
          </cell>
          <cell r="F191" t="str">
            <v>Urban</v>
          </cell>
          <cell r="G191">
            <v>28</v>
          </cell>
          <cell r="H191">
            <v>3</v>
          </cell>
          <cell r="I191" t="str">
            <v>R</v>
          </cell>
          <cell r="J191" t="str">
            <v>MZUZU CITY</v>
          </cell>
          <cell r="K191" t="str">
            <v>C</v>
          </cell>
          <cell r="W191">
            <v>73</v>
          </cell>
          <cell r="X191" t="str">
            <v>DS</v>
          </cell>
          <cell r="Y191">
            <v>150</v>
          </cell>
          <cell r="Z191" t="str">
            <v>GR</v>
          </cell>
          <cell r="AA191">
            <v>100</v>
          </cell>
          <cell r="AB191" t="str">
            <v>GR</v>
          </cell>
          <cell r="AC191">
            <v>5</v>
          </cell>
          <cell r="AD191" t="str">
            <v>AM</v>
          </cell>
          <cell r="AM191">
            <v>1</v>
          </cell>
          <cell r="AN191" t="str">
            <v>never resealed</v>
          </cell>
          <cell r="BO191" t="str">
            <v>RS 149</v>
          </cell>
          <cell r="BP191">
            <v>3</v>
          </cell>
          <cell r="BQ191">
            <v>5.5</v>
          </cell>
          <cell r="BR191" t="str">
            <v>R</v>
          </cell>
          <cell r="BS191" t="str">
            <v>C</v>
          </cell>
          <cell r="BT191">
            <v>0</v>
          </cell>
          <cell r="BU191" t="str">
            <v>DS</v>
          </cell>
          <cell r="BV191" t="str">
            <v/>
          </cell>
          <cell r="BW191">
            <v>1</v>
          </cell>
          <cell r="BX191">
            <v>15</v>
          </cell>
          <cell r="BY191" t="str">
            <v/>
          </cell>
          <cell r="BZ191">
            <v>1</v>
          </cell>
          <cell r="CA191">
            <v>5</v>
          </cell>
          <cell r="CB191">
            <v>1.077</v>
          </cell>
          <cell r="CC191">
            <v>3.5</v>
          </cell>
          <cell r="CD191">
            <v>0</v>
          </cell>
          <cell r="CE191">
            <v>0</v>
          </cell>
          <cell r="CF191">
            <v>0</v>
          </cell>
          <cell r="CG191">
            <v>0</v>
          </cell>
          <cell r="CH191">
            <v>0</v>
          </cell>
          <cell r="CI191">
            <v>30</v>
          </cell>
          <cell r="CJ191">
            <v>0.1090909090909091</v>
          </cell>
          <cell r="CK191">
            <v>0.1090909090909091</v>
          </cell>
          <cell r="CL191">
            <v>0</v>
          </cell>
          <cell r="CM191">
            <v>4.2293706293706296E-2</v>
          </cell>
          <cell r="CN191">
            <v>4.2293706293706296E-2</v>
          </cell>
          <cell r="CO191">
            <v>0</v>
          </cell>
          <cell r="CP191">
            <v>0</v>
          </cell>
          <cell r="CQ191">
            <v>3.5422937062937061</v>
          </cell>
          <cell r="CR191">
            <v>0</v>
          </cell>
          <cell r="CS191">
            <v>2</v>
          </cell>
          <cell r="CT191">
            <v>5</v>
          </cell>
          <cell r="CU191">
            <v>2</v>
          </cell>
          <cell r="CV191">
            <v>25</v>
          </cell>
          <cell r="CW191">
            <v>25</v>
          </cell>
          <cell r="CX191" t="str">
            <v/>
          </cell>
          <cell r="CY191">
            <v>1</v>
          </cell>
          <cell r="CZ191">
            <v>2</v>
          </cell>
          <cell r="DA191">
            <v>2</v>
          </cell>
          <cell r="DB191">
            <v>300</v>
          </cell>
          <cell r="DC191">
            <v>150</v>
          </cell>
          <cell r="DD191">
            <v>81</v>
          </cell>
          <cell r="DE191">
            <v>15</v>
          </cell>
          <cell r="DF191">
            <v>44</v>
          </cell>
          <cell r="DG191">
            <v>5</v>
          </cell>
          <cell r="DH191">
            <v>3</v>
          </cell>
          <cell r="DI191">
            <v>3</v>
          </cell>
        </row>
        <row r="192">
          <cell r="A192" t="str">
            <v>RS 151</v>
          </cell>
          <cell r="B192">
            <v>151</v>
          </cell>
          <cell r="C192" t="str">
            <v>N</v>
          </cell>
          <cell r="D192" t="str">
            <v>U</v>
          </cell>
          <cell r="E192" t="str">
            <v>Marine-Works</v>
          </cell>
          <cell r="F192" t="str">
            <v>Urban</v>
          </cell>
          <cell r="G192">
            <v>29</v>
          </cell>
          <cell r="H192">
            <v>2</v>
          </cell>
          <cell r="I192" t="str">
            <v>F</v>
          </cell>
          <cell r="J192" t="str">
            <v>KARONGA TOWN</v>
          </cell>
          <cell r="K192" t="str">
            <v>C</v>
          </cell>
          <cell r="W192">
            <v>73</v>
          </cell>
          <cell r="X192" t="str">
            <v>ST</v>
          </cell>
          <cell r="Y192">
            <v>150</v>
          </cell>
          <cell r="Z192" t="str">
            <v>GR</v>
          </cell>
          <cell r="AA192">
            <v>100</v>
          </cell>
          <cell r="AB192" t="str">
            <v>GR</v>
          </cell>
          <cell r="AC192">
            <v>5</v>
          </cell>
          <cell r="AD192" t="str">
            <v>JW</v>
          </cell>
          <cell r="AM192">
            <v>1</v>
          </cell>
          <cell r="AN192" t="str">
            <v>never resealed</v>
          </cell>
          <cell r="BO192" t="str">
            <v>RS 151</v>
          </cell>
          <cell r="BP192">
            <v>2</v>
          </cell>
          <cell r="BQ192" t="str">
            <v>n.a.</v>
          </cell>
          <cell r="BR192" t="str">
            <v>F</v>
          </cell>
          <cell r="BS192" t="str">
            <v>X</v>
          </cell>
          <cell r="BT192">
            <v>90</v>
          </cell>
          <cell r="BU192" t="str">
            <v>ST</v>
          </cell>
          <cell r="BV192" t="str">
            <v/>
          </cell>
          <cell r="BW192">
            <v>1</v>
          </cell>
          <cell r="BX192">
            <v>10</v>
          </cell>
          <cell r="BY192" t="str">
            <v/>
          </cell>
          <cell r="BZ192">
            <v>1</v>
          </cell>
          <cell r="CA192">
            <v>5</v>
          </cell>
          <cell r="CB192">
            <v>0.90800000000000003</v>
          </cell>
          <cell r="CC192" t="str">
            <v>bitumen surface removed</v>
          </cell>
          <cell r="CV192" t="str">
            <v>n.a</v>
          </cell>
          <cell r="CW192" t="str">
            <v>n.a.</v>
          </cell>
          <cell r="CY192" t="str">
            <v>n.a.</v>
          </cell>
          <cell r="CZ192" t="str">
            <v>n.a.</v>
          </cell>
          <cell r="DA192">
            <v>1</v>
          </cell>
          <cell r="DB192">
            <v>171</v>
          </cell>
          <cell r="DC192">
            <v>86</v>
          </cell>
          <cell r="DD192">
            <v>47</v>
          </cell>
          <cell r="DE192">
            <v>9</v>
          </cell>
          <cell r="DF192">
            <v>25</v>
          </cell>
          <cell r="DG192">
            <v>3</v>
          </cell>
          <cell r="DH192">
            <v>2</v>
          </cell>
          <cell r="DI192">
            <v>2</v>
          </cell>
        </row>
        <row r="193">
          <cell r="A193" t="str">
            <v>RS 152</v>
          </cell>
          <cell r="B193">
            <v>152</v>
          </cell>
          <cell r="C193" t="str">
            <v>N</v>
          </cell>
          <cell r="D193" t="str">
            <v>U</v>
          </cell>
          <cell r="E193" t="str">
            <v>D.C. Office - Old Market - Hall - Mufwa</v>
          </cell>
          <cell r="F193" t="str">
            <v>Urban</v>
          </cell>
          <cell r="G193">
            <v>30</v>
          </cell>
          <cell r="H193">
            <v>3</v>
          </cell>
          <cell r="I193" t="str">
            <v>F</v>
          </cell>
          <cell r="J193" t="str">
            <v>KARONGA TOWN</v>
          </cell>
          <cell r="K193" t="str">
            <v>C</v>
          </cell>
          <cell r="W193">
            <v>75</v>
          </cell>
          <cell r="X193" t="str">
            <v>DS</v>
          </cell>
          <cell r="Y193">
            <v>150</v>
          </cell>
          <cell r="Z193" t="str">
            <v>GR</v>
          </cell>
          <cell r="AA193">
            <v>100</v>
          </cell>
          <cell r="AB193" t="str">
            <v>GR</v>
          </cell>
          <cell r="AC193">
            <v>5</v>
          </cell>
          <cell r="AD193" t="str">
            <v>AM</v>
          </cell>
          <cell r="AE193">
            <v>98</v>
          </cell>
          <cell r="AF193" t="str">
            <v>RC</v>
          </cell>
          <cell r="AG193" t="str">
            <v>ST</v>
          </cell>
          <cell r="AH193">
            <v>10</v>
          </cell>
          <cell r="AM193">
            <v>1</v>
          </cell>
          <cell r="BO193" t="str">
            <v>RS 152</v>
          </cell>
          <cell r="BP193">
            <v>3</v>
          </cell>
          <cell r="BQ193" t="str">
            <v>n.a.</v>
          </cell>
          <cell r="BR193" t="str">
            <v>F</v>
          </cell>
          <cell r="BS193" t="str">
            <v>C</v>
          </cell>
          <cell r="BT193">
            <v>0</v>
          </cell>
          <cell r="BU193" t="str">
            <v>ST</v>
          </cell>
          <cell r="BV193" t="str">
            <v/>
          </cell>
          <cell r="BW193">
            <v>1</v>
          </cell>
          <cell r="BX193">
            <v>10</v>
          </cell>
          <cell r="BY193" t="str">
            <v/>
          </cell>
          <cell r="BZ193">
            <v>1</v>
          </cell>
          <cell r="CA193">
            <v>5</v>
          </cell>
          <cell r="CB193">
            <v>1.254</v>
          </cell>
          <cell r="CC193" t="str">
            <v>being reconstructed 1998</v>
          </cell>
          <cell r="CV193" t="str">
            <v>n.a</v>
          </cell>
          <cell r="CW193" t="str">
            <v>n.a.</v>
          </cell>
          <cell r="CY193" t="str">
            <v>n.a.</v>
          </cell>
          <cell r="CZ193" t="str">
            <v>n.a.</v>
          </cell>
          <cell r="DA193">
            <v>1</v>
          </cell>
          <cell r="DB193">
            <v>294</v>
          </cell>
          <cell r="DC193">
            <v>147</v>
          </cell>
          <cell r="DD193">
            <v>80</v>
          </cell>
          <cell r="DE193">
            <v>15</v>
          </cell>
          <cell r="DF193">
            <v>43</v>
          </cell>
          <cell r="DG193">
            <v>5</v>
          </cell>
          <cell r="DH193">
            <v>3</v>
          </cell>
          <cell r="DI193">
            <v>3</v>
          </cell>
        </row>
        <row r="194">
          <cell r="A194" t="str">
            <v>RS 139</v>
          </cell>
          <cell r="B194">
            <v>139</v>
          </cell>
          <cell r="C194" t="str">
            <v>S</v>
          </cell>
          <cell r="D194" t="str">
            <v>T</v>
          </cell>
          <cell r="E194" t="str">
            <v xml:space="preserve">Balaka Loop </v>
          </cell>
          <cell r="F194" t="str">
            <v>Urban</v>
          </cell>
          <cell r="G194">
            <v>31</v>
          </cell>
          <cell r="H194">
            <v>1.5</v>
          </cell>
          <cell r="I194" t="str">
            <v>F</v>
          </cell>
          <cell r="J194" t="str">
            <v>BALAKA TOWN</v>
          </cell>
          <cell r="K194">
            <v>8</v>
          </cell>
          <cell r="W194">
            <v>71</v>
          </cell>
          <cell r="X194" t="str">
            <v>SA</v>
          </cell>
          <cell r="Y194">
            <v>125</v>
          </cell>
          <cell r="Z194" t="str">
            <v>SB</v>
          </cell>
          <cell r="AA194">
            <v>150</v>
          </cell>
          <cell r="AB194" t="str">
            <v>GR</v>
          </cell>
          <cell r="AC194">
            <v>14</v>
          </cell>
          <cell r="AD194" t="str">
            <v>VR</v>
          </cell>
          <cell r="AE194">
            <v>98</v>
          </cell>
          <cell r="AF194" t="str">
            <v>RC</v>
          </cell>
          <cell r="AG194" t="str">
            <v>ST</v>
          </cell>
          <cell r="AH194">
            <v>10</v>
          </cell>
          <cell r="AM194">
            <v>1</v>
          </cell>
          <cell r="BO194" t="str">
            <v>RS 139</v>
          </cell>
          <cell r="BP194">
            <v>1.5</v>
          </cell>
          <cell r="BQ194" t="str">
            <v>n.a.</v>
          </cell>
          <cell r="BR194" t="str">
            <v>F</v>
          </cell>
          <cell r="BS194" t="str">
            <v>C</v>
          </cell>
          <cell r="BT194">
            <v>0</v>
          </cell>
          <cell r="BU194" t="str">
            <v>ST</v>
          </cell>
          <cell r="BV194" t="str">
            <v/>
          </cell>
          <cell r="BW194">
            <v>1</v>
          </cell>
          <cell r="BX194">
            <v>10</v>
          </cell>
          <cell r="BY194" t="str">
            <v/>
          </cell>
          <cell r="BZ194">
            <v>1</v>
          </cell>
          <cell r="CA194">
            <v>14</v>
          </cell>
          <cell r="CB194">
            <v>1.6850000000000001</v>
          </cell>
          <cell r="CC194" t="str">
            <v>being reconstructed 1998</v>
          </cell>
          <cell r="CV194" t="str">
            <v>n.a</v>
          </cell>
          <cell r="CW194" t="str">
            <v>n.a.</v>
          </cell>
          <cell r="CY194" t="str">
            <v>n.a.</v>
          </cell>
          <cell r="CZ194" t="str">
            <v>n.a.</v>
          </cell>
          <cell r="DA194">
            <v>1</v>
          </cell>
          <cell r="DB194">
            <v>600</v>
          </cell>
          <cell r="DC194">
            <v>282</v>
          </cell>
          <cell r="DD194">
            <v>156</v>
          </cell>
          <cell r="DE194">
            <v>45</v>
          </cell>
          <cell r="DF194">
            <v>69</v>
          </cell>
          <cell r="DG194">
            <v>12</v>
          </cell>
          <cell r="DH194">
            <v>6</v>
          </cell>
          <cell r="DI194">
            <v>30</v>
          </cell>
        </row>
        <row r="195">
          <cell r="A195" t="str">
            <v>RS 160</v>
          </cell>
          <cell r="B195">
            <v>160</v>
          </cell>
          <cell r="C195" t="str">
            <v>C</v>
          </cell>
          <cell r="D195" t="str">
            <v>U</v>
          </cell>
          <cell r="E195" t="str">
            <v>Dedza Loop (M1 to Dedza)</v>
          </cell>
          <cell r="F195" t="str">
            <v>Urban</v>
          </cell>
          <cell r="G195">
            <v>32</v>
          </cell>
          <cell r="H195">
            <v>5.4</v>
          </cell>
          <cell r="I195" t="str">
            <v>R</v>
          </cell>
          <cell r="J195" t="str">
            <v>DEDZA TOWN</v>
          </cell>
          <cell r="K195">
            <v>7</v>
          </cell>
          <cell r="W195">
            <v>78</v>
          </cell>
          <cell r="X195" t="str">
            <v>SA</v>
          </cell>
          <cell r="Y195">
            <v>125</v>
          </cell>
          <cell r="Z195" t="str">
            <v>SB</v>
          </cell>
          <cell r="AA195">
            <v>150</v>
          </cell>
          <cell r="AB195" t="str">
            <v>GR</v>
          </cell>
          <cell r="AC195">
            <v>4</v>
          </cell>
          <cell r="AD195" t="str">
            <v>VR</v>
          </cell>
          <cell r="AM195">
            <v>2</v>
          </cell>
          <cell r="AN195" t="str">
            <v>never resealed</v>
          </cell>
          <cell r="BO195" t="str">
            <v>RS 160</v>
          </cell>
          <cell r="BP195">
            <v>5.4</v>
          </cell>
          <cell r="BQ195">
            <v>5.5</v>
          </cell>
          <cell r="BR195" t="str">
            <v>R</v>
          </cell>
          <cell r="BS195" t="str">
            <v>C</v>
          </cell>
          <cell r="BT195">
            <v>0</v>
          </cell>
          <cell r="BU195" t="str">
            <v>SA</v>
          </cell>
          <cell r="BV195" t="str">
            <v/>
          </cell>
          <cell r="BW195">
            <v>2</v>
          </cell>
          <cell r="BX195">
            <v>10</v>
          </cell>
          <cell r="BY195" t="str">
            <v/>
          </cell>
          <cell r="BZ195">
            <v>1</v>
          </cell>
          <cell r="CA195">
            <v>4</v>
          </cell>
          <cell r="CB195">
            <v>1.508</v>
          </cell>
          <cell r="CC195">
            <v>5</v>
          </cell>
          <cell r="CD195">
            <v>95</v>
          </cell>
          <cell r="CE195">
            <v>63</v>
          </cell>
          <cell r="CF195">
            <v>48</v>
          </cell>
          <cell r="CG195">
            <v>47</v>
          </cell>
          <cell r="CH195">
            <v>15</v>
          </cell>
          <cell r="CI195">
            <v>750</v>
          </cell>
          <cell r="CJ195">
            <v>2.7272727272727271</v>
          </cell>
          <cell r="CK195">
            <v>10</v>
          </cell>
          <cell r="CL195">
            <v>48</v>
          </cell>
          <cell r="CM195">
            <v>1.4476083916083917</v>
          </cell>
          <cell r="CN195">
            <v>1.4476083916083917</v>
          </cell>
          <cell r="CO195">
            <v>0</v>
          </cell>
          <cell r="CP195">
            <v>0</v>
          </cell>
          <cell r="CQ195">
            <v>6.4476083916083917</v>
          </cell>
          <cell r="CR195">
            <v>40</v>
          </cell>
          <cell r="CS195">
            <v>1</v>
          </cell>
          <cell r="CT195">
            <v>0</v>
          </cell>
          <cell r="CU195">
            <v>0</v>
          </cell>
          <cell r="CV195">
            <v>20</v>
          </cell>
          <cell r="CW195">
            <v>20</v>
          </cell>
          <cell r="CX195" t="str">
            <v/>
          </cell>
          <cell r="CY195">
            <v>3</v>
          </cell>
          <cell r="CZ195">
            <v>3</v>
          </cell>
          <cell r="DA195">
            <v>2.2999999999999998</v>
          </cell>
          <cell r="DB195">
            <v>134</v>
          </cell>
          <cell r="DC195">
            <v>67</v>
          </cell>
          <cell r="DD195">
            <v>37</v>
          </cell>
          <cell r="DE195">
            <v>7</v>
          </cell>
          <cell r="DF195">
            <v>20</v>
          </cell>
          <cell r="DG195">
            <v>3</v>
          </cell>
          <cell r="DH195">
            <v>2</v>
          </cell>
          <cell r="DI195">
            <v>2</v>
          </cell>
        </row>
        <row r="196">
          <cell r="A196" t="str">
            <v>RS 611</v>
          </cell>
          <cell r="B196">
            <v>433</v>
          </cell>
          <cell r="C196" t="str">
            <v>C</v>
          </cell>
          <cell r="D196" t="str">
            <v>T</v>
          </cell>
          <cell r="E196" t="str">
            <v>Dedza - Kapesi</v>
          </cell>
          <cell r="F196" t="str">
            <v>Urban</v>
          </cell>
          <cell r="G196">
            <v>33</v>
          </cell>
          <cell r="H196">
            <v>5.4</v>
          </cell>
          <cell r="I196" t="str">
            <v>H</v>
          </cell>
          <cell r="J196" t="str">
            <v>DEDZA TOWN</v>
          </cell>
          <cell r="K196">
            <v>6</v>
          </cell>
          <cell r="L196" t="str">
            <v>Changed from T372 to Urban, to Trunk &amp; to Kepiri</v>
          </cell>
          <cell r="W196">
            <v>78</v>
          </cell>
          <cell r="X196" t="str">
            <v>SA</v>
          </cell>
          <cell r="Y196">
            <v>125</v>
          </cell>
          <cell r="Z196" t="str">
            <v>SB</v>
          </cell>
          <cell r="AA196">
            <v>150</v>
          </cell>
          <cell r="AB196" t="str">
            <v>GR</v>
          </cell>
          <cell r="AC196">
            <v>4</v>
          </cell>
          <cell r="AD196" t="str">
            <v>VR</v>
          </cell>
          <cell r="AM196">
            <v>2</v>
          </cell>
          <cell r="AN196" t="str">
            <v>never resealed</v>
          </cell>
          <cell r="BO196" t="str">
            <v>RS 611</v>
          </cell>
          <cell r="BP196">
            <v>5.4</v>
          </cell>
          <cell r="BQ196">
            <v>5.5</v>
          </cell>
          <cell r="BR196" t="str">
            <v>R</v>
          </cell>
          <cell r="BS196" t="str">
            <v>C</v>
          </cell>
          <cell r="BT196">
            <v>0</v>
          </cell>
          <cell r="BU196" t="str">
            <v>SA</v>
          </cell>
          <cell r="BV196" t="str">
            <v/>
          </cell>
          <cell r="BW196">
            <v>2</v>
          </cell>
          <cell r="BX196">
            <v>10</v>
          </cell>
          <cell r="BY196" t="str">
            <v/>
          </cell>
          <cell r="BZ196">
            <v>1</v>
          </cell>
          <cell r="CA196">
            <v>4</v>
          </cell>
          <cell r="CB196">
            <v>1.508</v>
          </cell>
          <cell r="CC196">
            <v>5</v>
          </cell>
          <cell r="CD196">
            <v>95</v>
          </cell>
          <cell r="CE196">
            <v>63</v>
          </cell>
          <cell r="CF196">
            <v>48</v>
          </cell>
          <cell r="CG196">
            <v>47</v>
          </cell>
          <cell r="CH196">
            <v>15</v>
          </cell>
          <cell r="CI196">
            <v>600</v>
          </cell>
          <cell r="CJ196">
            <v>2.1818181818181821</v>
          </cell>
          <cell r="CK196">
            <v>10</v>
          </cell>
          <cell r="CL196">
            <v>48</v>
          </cell>
          <cell r="CM196">
            <v>1.2415944055944057</v>
          </cell>
          <cell r="CN196">
            <v>1.2415944055944057</v>
          </cell>
          <cell r="CO196">
            <v>0</v>
          </cell>
          <cell r="CP196">
            <v>0</v>
          </cell>
          <cell r="CQ196">
            <v>6.2415944055944053</v>
          </cell>
          <cell r="CR196">
            <v>40</v>
          </cell>
          <cell r="CS196">
            <v>1</v>
          </cell>
          <cell r="CT196">
            <v>0</v>
          </cell>
          <cell r="CU196">
            <v>0</v>
          </cell>
          <cell r="CV196">
            <v>20</v>
          </cell>
          <cell r="CW196">
            <v>20</v>
          </cell>
          <cell r="CX196" t="str">
            <v/>
          </cell>
          <cell r="CY196">
            <v>3</v>
          </cell>
          <cell r="CZ196">
            <v>3</v>
          </cell>
          <cell r="DA196">
            <v>2.2999999999999998</v>
          </cell>
          <cell r="DB196">
            <v>500</v>
          </cell>
          <cell r="DC196">
            <v>235</v>
          </cell>
          <cell r="DD196">
            <v>130</v>
          </cell>
          <cell r="DE196">
            <v>38</v>
          </cell>
          <cell r="DF196">
            <v>58</v>
          </cell>
          <cell r="DG196">
            <v>10</v>
          </cell>
          <cell r="DH196">
            <v>5</v>
          </cell>
          <cell r="DI196">
            <v>25</v>
          </cell>
        </row>
        <row r="198">
          <cell r="A198" t="str">
            <v>Count</v>
          </cell>
          <cell r="B198">
            <v>194</v>
          </cell>
          <cell r="E198" t="str">
            <v>Total length</v>
          </cell>
          <cell r="F198">
            <v>2520.1000000000004</v>
          </cell>
          <cell r="I198" t="str">
            <v>km</v>
          </cell>
          <cell r="J198" t="str">
            <v>km</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mm Lead"/>
      <sheetName val="kmm data"/>
      <sheetName val="34 col"/>
      <sheetName val="Cover page"/>
      <sheetName val="check slip"/>
      <sheetName val="Report"/>
      <sheetName val="General Abstract"/>
      <sheetName val="Silt abs"/>
      <sheetName val="Silt det"/>
      <sheetName val="Silt calc"/>
      <sheetName val="Silt calc (2)"/>
      <sheetName val="bund abs"/>
      <sheetName val="bund det"/>
      <sheetName val="final sluice abs"/>
      <sheetName val="final sluice"/>
      <sheetName val="Final Weir abs"/>
      <sheetName val="final weir"/>
      <sheetName val="CC Road Ab"/>
      <sheetName val="CC Road DET"/>
      <sheetName val="MINItb aBS"/>
      <sheetName val="MINI t.b DETAILED"/>
      <sheetName val="final DLRB Abs"/>
      <sheetName val="fINAL dlrb dET"/>
      <sheetName val="Input Data"/>
      <sheetName val="Rainfall Data"/>
      <sheetName val="Cal.Eff.Rainfall"/>
      <sheetName val="Capacity"/>
      <sheetName val="DLRB detailed"/>
      <sheetName val="Data"/>
      <sheetName val="Dlrb abs"/>
      <sheetName val="wEIR &amp; sLUICE DET"/>
      <sheetName val="weir &amp; SLUICEabs "/>
      <sheetName val=" nu weir abs "/>
      <sheetName val="weirdet"/>
      <sheetName val="weir abs"/>
      <sheetName val="new slu Drawing"/>
      <sheetName val="sluice det"/>
      <sheetName val="sluice abs"/>
      <sheetName val="BC Ratio."/>
      <sheetName val="Statement-iv"/>
      <sheetName val="IR"/>
      <sheetName val="Weir  Design"/>
      <sheetName val="EQ Statement"/>
      <sheetName val="Data-14-15"/>
      <sheetName val="Shutter data"/>
      <sheetName val="Drwg"/>
      <sheetName val="Sheet3"/>
      <sheetName val="Road ESt"/>
      <sheetName val="Lead"/>
      <sheetName val="Data-Road "/>
      <sheetName val="Sheet1"/>
      <sheetName val="MINI t.b DETAILED (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6">
          <cell r="E6">
            <v>84.82</v>
          </cell>
        </row>
        <row r="8">
          <cell r="E8">
            <v>294.82</v>
          </cell>
        </row>
        <row r="9">
          <cell r="E9">
            <v>151.13999999999999</v>
          </cell>
        </row>
        <row r="14">
          <cell r="E14">
            <v>151.13999999999999</v>
          </cell>
        </row>
        <row r="21">
          <cell r="E21">
            <v>1225.0899999999999</v>
          </cell>
        </row>
        <row r="22">
          <cell r="E22">
            <v>151.13999999999999</v>
          </cell>
        </row>
      </sheetData>
      <sheetData sheetId="49" refreshError="1"/>
      <sheetData sheetId="50" refreshError="1"/>
      <sheetData sheetId="5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X"/>
      <sheetName val="XXXXXXXXXXXXX"/>
      <sheetName val="User-Instructions"/>
      <sheetName val="INPUT-SHEET"/>
      <sheetName val="COVER"/>
      <sheetName val="SPR"/>
      <sheetName val="TRAFF-Count-ESAL-Cal"/>
      <sheetName val="SP-72 DESIGN"/>
      <sheetName val="SP-72-CHART"/>
      <sheetName val="Gen Abs"/>
      <sheetName val="CD Abs"/>
      <sheetName val="2v_900_PC"/>
      <sheetName val="1v_900_PC"/>
      <sheetName val="Det esti"/>
      <sheetName val="Road-furniture"/>
      <sheetName val="MTC-ABS"/>
      <sheetName val="MTC-estimate"/>
      <sheetName val="Data-Road "/>
      <sheetName val="DATA-CD"/>
      <sheetName val="Seig_Cal"/>
      <sheetName val="LEAD"/>
      <sheetName val="Road Furniture-Data"/>
      <sheetName val="Mtc-data"/>
      <sheetName val="1v_600_PC"/>
      <sheetName val="1v_1000_PC"/>
      <sheetName val="2v_600_PC"/>
      <sheetName val="2v_1000_PC"/>
      <sheetName val="sc_1v_2m"/>
      <sheetName val="sc_1v_3m"/>
      <sheetName val="sc_2v_3m"/>
      <sheetName val="sc_2v_5m"/>
      <sheetName val="RD"/>
      <sheetName val="3v_600_RDVENTS"/>
      <sheetName val="CC_WC"/>
      <sheetName val="Retaining-wall"/>
      <sheetName val="Drains"/>
      <sheetName val="Schedule-A"/>
      <sheetName val="temp-ws"/>
      <sheetName val="other rates"/>
      <sheetName val="Hire"/>
      <sheetName val="Conv"/>
      <sheetName val="NP3 pipes"/>
      <sheetName val="NP3 collars"/>
      <sheetName val="MTC-Table"/>
      <sheetName val="Cd-qty-ws-temp"/>
      <sheetName val="BUND ABS"/>
      <sheetName val="BUND Det"/>
      <sheetName val="C.S.Bundkistalur(3)"/>
      <sheetName val="apprach abs"/>
      <sheetName val="approach road"/>
      <sheetName val="chut drains abs"/>
      <sheetName val="chute drains"/>
      <sheetName val="fenc abs"/>
      <sheetName val="FENCING"/>
      <sheetName val="H Pipes"/>
      <sheetName val="sluice detail (2)"/>
      <sheetName val="Sluice abstract (2)"/>
      <sheetName val="Chek Slip"/>
      <sheetName val="Tiles"/>
      <sheetName val="Earth Work"/>
      <sheetName val="CAW 8-4"/>
      <sheetName val="data guide lines"/>
      <sheetName val="Lead Chart"/>
      <sheetName val="Gen.Abstract"/>
      <sheetName val="slit abs"/>
      <sheetName val="silt qty"/>
      <sheetName val="IC Abstract"/>
      <sheetName val="IC detial"/>
      <sheetName val="bund abstract"/>
      <sheetName val="bund detail"/>
      <sheetName val="wier abstract"/>
      <sheetName val="Weir detail"/>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XXXXXXXXX"/>
      <sheetName val="User-Instructions"/>
      <sheetName val="INPUT-SHEET"/>
      <sheetName val="COVER"/>
      <sheetName val="SPR"/>
      <sheetName val="TRAFF-Count-ESAL-Cal"/>
      <sheetName val="SP-72 DESIGN"/>
      <sheetName val="SP-72-CHART"/>
      <sheetName val="Gen Abs"/>
      <sheetName val="CD Abs"/>
      <sheetName val="Det esti"/>
      <sheetName val="Road-furniture"/>
      <sheetName val="MTC-ABS"/>
      <sheetName val="MTC-estimate"/>
      <sheetName val="LEAD"/>
      <sheetName val="Data-Road "/>
      <sheetName val="DATA-CD"/>
      <sheetName val="Road Furniture-Data"/>
      <sheetName val="Mtc-data"/>
      <sheetName val="1v_600_PC"/>
      <sheetName val="1v_900_PC"/>
      <sheetName val="2v_600_PC"/>
      <sheetName val="2v_900_PC"/>
      <sheetName val="1v_1000_PC"/>
      <sheetName val="2v_1000_PC"/>
      <sheetName val="sc_1v_2m"/>
      <sheetName val="sc_1v_3m"/>
      <sheetName val="sc_2v_3m"/>
      <sheetName val="Guard"/>
      <sheetName val="RD"/>
      <sheetName val="3v_600_RDVENTS"/>
      <sheetName val="CC_WC"/>
      <sheetName val="Retaining-wall"/>
      <sheetName val="Drains"/>
      <sheetName val="Seig_Cal"/>
      <sheetName val="Schedule-A"/>
      <sheetName val="temp-ws"/>
      <sheetName val="other rates"/>
      <sheetName val="Hire"/>
      <sheetName val="Conv"/>
      <sheetName val="NP3 pipes"/>
      <sheetName val="NP3 collars"/>
      <sheetName val="MTC-Table"/>
      <sheetName val="Cd-qty-ws-temp"/>
    </sheetNames>
    <sheetDataSet>
      <sheetData sheetId="0"/>
      <sheetData sheetId="1"/>
      <sheetData sheetId="2"/>
      <sheetData sheetId="3"/>
      <sheetData sheetId="4"/>
      <sheetData sheetId="5"/>
      <sheetData sheetId="6"/>
      <sheetData sheetId="7"/>
      <sheetData sheetId="8"/>
      <sheetData sheetId="9">
        <row r="5">
          <cell r="D5">
            <v>46</v>
          </cell>
        </row>
      </sheetData>
      <sheetData sheetId="10"/>
      <sheetData sheetId="11"/>
      <sheetData sheetId="12"/>
      <sheetData sheetId="13"/>
      <sheetData sheetId="14">
        <row r="6">
          <cell r="C6">
            <v>950</v>
          </cell>
          <cell r="I6">
            <v>0</v>
          </cell>
        </row>
        <row r="7">
          <cell r="C7">
            <v>800</v>
          </cell>
          <cell r="I7">
            <v>0.9</v>
          </cell>
        </row>
        <row r="8">
          <cell r="C8">
            <v>150</v>
          </cell>
          <cell r="I8">
            <v>0</v>
          </cell>
        </row>
        <row r="9">
          <cell r="C9">
            <v>0</v>
          </cell>
          <cell r="I9">
            <v>0</v>
          </cell>
        </row>
      </sheetData>
      <sheetData sheetId="15">
        <row r="2">
          <cell r="C2" t="str">
            <v>Rangasamudram Mini Tank Bund</v>
          </cell>
        </row>
        <row r="47">
          <cell r="K47">
            <v>0.13614999999999999</v>
          </cell>
        </row>
        <row r="53">
          <cell r="B53" t="str">
            <v>Warangal</v>
          </cell>
          <cell r="D53" t="str">
            <v>Warangal</v>
          </cell>
          <cell r="H53" t="str">
            <v>Warangal</v>
          </cell>
          <cell r="K53" t="str">
            <v>Warangal</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7">
          <cell r="H27">
            <v>0.05</v>
          </cell>
        </row>
      </sheetData>
      <sheetData sheetId="39"/>
      <sheetData sheetId="40"/>
      <sheetData sheetId="41"/>
      <sheetData sheetId="42"/>
      <sheetData sheetId="43"/>
      <sheetData sheetId="44"/>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Spn report"/>
      <sheetName val="abs road"/>
      <sheetName val="R_Det"/>
      <sheetName val="Road data"/>
      <sheetName val="BTR"/>
      <sheetName val="RMR"/>
      <sheetName val="Certificates"/>
      <sheetName val="m lead"/>
      <sheetName val="xls"/>
      <sheetName val="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Spn report"/>
      <sheetName val="abs road"/>
      <sheetName val="R_Det"/>
      <sheetName val="Road data"/>
      <sheetName val="BTR"/>
      <sheetName val="RMR"/>
      <sheetName val="Certificates"/>
      <sheetName val="m lead"/>
      <sheetName val="xls"/>
      <sheetName val="EW"/>
      <sheetName val="C.D.Abs.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A"/>
      <sheetName val="ABSRACT"/>
      <sheetName val="DATAS"/>
      <sheetName val="LEAD &amp; LB"/>
      <sheetName val="QUARY MAP"/>
      <sheetName val="Details"/>
    </sheetNames>
    <sheetDataSet>
      <sheetData sheetId="0"/>
      <sheetData sheetId="1"/>
      <sheetData sheetId="2"/>
      <sheetData sheetId="3"/>
      <sheetData sheetId="4"/>
      <sheetData sheetId="5"/>
      <sheetData sheetId="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PP11"/>
      <sheetName val="PP12"/>
      <sheetName val="CC.Run."/>
      <sheetName val="Part"/>
      <sheetName val="CC.Fin"/>
      <sheetName val="Final"/>
      <sheetName val="Cert."/>
      <sheetName val="VAT"/>
      <sheetName val="NAC"/>
      <sheetName val="Com.Rpt"/>
      <sheetName val="SC"/>
      <sheetName val="Workslip"/>
      <sheetName val="QC letter"/>
      <sheetName val="QC check slip"/>
      <sheetName val="QC check slip (2)"/>
      <sheetName val="VAT,IT,NAC,LC"/>
      <sheetName val="WD com.stt."/>
      <sheetName val="Proforma-I."/>
      <sheetName val="Proforma-II."/>
      <sheetName val="Proforma-III."/>
      <sheetName val="Proforma-IV."/>
      <sheetName val="Programme of work"/>
      <sheetName val="QC chckslip"/>
      <sheetName val="Cert. (2)"/>
      <sheetName val="PD for Red,BC soils"/>
      <sheetName val="PD for Grave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m1"/>
      <sheetName val="est"/>
      <sheetName val="she"/>
      <sheetName val="m4"/>
      <sheetName val="maya"/>
      <sheetName val="abs road"/>
      <sheetName val="RMR"/>
      <sheetName val="R_Det"/>
      <sheetName val="Road data"/>
      <sheetName val="LEAD"/>
      <sheetName val="r"/>
      <sheetName val="MRATES"/>
      <sheetName val="scour depth"/>
      <sheetName val="Bitumen trunk"/>
      <sheetName val="Feeder"/>
      <sheetName val="R99 etc"/>
      <sheetName val="Trunk unpaved"/>
      <sheetName val="Lead statement ss5"/>
      <sheetName val="GF SB Ok "/>
      <sheetName val="Habcodes"/>
      <sheetName val="mlead"/>
      <sheetName val="Plant &amp;  Machinery"/>
      <sheetName val="coverpage"/>
      <sheetName val="GEN_abstrct"/>
      <sheetName val="data existing_do not delete"/>
    </sheetNames>
    <sheetDataSet>
      <sheetData sheetId="0">
        <row r="2">
          <cell r="A2" t="str">
            <v>Name of work: BT to road from Chennavaram to Mallavaram (via) Vutukuru.</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 val="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QC chckslip"/>
      <sheetName val="QC check slip"/>
      <sheetName val="QC check slip (2)"/>
      <sheetName val="PP11"/>
      <sheetName val="PP12"/>
      <sheetName val="CC.Run."/>
      <sheetName val="Part"/>
      <sheetName val="CC.Fin"/>
      <sheetName val="Final"/>
      <sheetName val="Cert."/>
      <sheetName val="Cert. (2)"/>
      <sheetName val="SC"/>
      <sheetName val="VAT,IT,NAC,LC"/>
      <sheetName val="Com.Rpt"/>
      <sheetName val="Workslip"/>
      <sheetName val="WD com.stt."/>
      <sheetName val="PD for Red,BC soils"/>
      <sheetName val="PD for Gravel"/>
      <sheetName val="Proforma-I."/>
      <sheetName val="Proforma-II."/>
      <sheetName val="Proforma-III."/>
      <sheetName val="Proforma-IV."/>
      <sheetName val="Programme of work"/>
      <sheetName val="VAT"/>
      <sheetName val="NA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PP11"/>
      <sheetName val="PP12"/>
      <sheetName val="CC.Run."/>
      <sheetName val="Part"/>
      <sheetName val="CC.Fin"/>
      <sheetName val="Final"/>
      <sheetName val="Cert."/>
      <sheetName val="VAT"/>
      <sheetName val="NAC"/>
      <sheetName val="Com.Rpt"/>
      <sheetName val="SC"/>
      <sheetName val="Workslip"/>
      <sheetName val="QC letter"/>
      <sheetName val="QC check slip"/>
      <sheetName val="QC check slip (2)"/>
      <sheetName val="VAT,IT,NAC,LC"/>
      <sheetName val="WD com.stt."/>
      <sheetName val="Proforma-I."/>
      <sheetName val="Proforma-II."/>
      <sheetName val="Proforma-III."/>
      <sheetName val="Proforma-IV."/>
      <sheetName val="Programme of work"/>
      <sheetName val="QC chckslip"/>
      <sheetName val="Cert. (2)"/>
      <sheetName val="PD for Red,BC soils"/>
      <sheetName val="PD for Grave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yence charges "/>
      <sheetName val="desig cd works"/>
      <sheetName val="drawings1"/>
      <sheetName val="CHECK SLIP"/>
      <sheetName val="Covar"/>
      <sheetName val="report "/>
      <sheetName val="abst"/>
      <sheetName val="proposal"/>
      <sheetName val="report (2)"/>
      <sheetName val="report  Feasible "/>
      <sheetName val="weir"/>
      <sheetName val="DATA 2 (2)"/>
      <sheetName val="Lead 1"/>
      <sheetName val="Data"/>
      <sheetName val="DATA 2"/>
      <sheetName val="Drawings"/>
      <sheetName val="DE"/>
      <sheetName val="DATA  ###"/>
      <sheetName val="data analysis"/>
      <sheetName val="DATA ANALYSI S"/>
      <sheetName val="STD DATA"/>
      <sheetName val="DATA -2010-11"/>
      <sheetName val="DATA 10-11"/>
      <sheetName val="L.S"/>
      <sheetName val="  Feasible  report"/>
      <sheetName val="Compatibility Repor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9">
          <cell r="E9">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 Earthwork New"/>
      <sheetName val="Mea - Earthwork"/>
      <sheetName val="Abs - Lining"/>
      <sheetName val="Mea - Lining New"/>
      <sheetName val="Lead"/>
      <sheetName val="DATA"/>
      <sheetName val="Data.R"/>
      <sheetName val="structures"/>
      <sheetName val="civ data"/>
      <sheetName val="ewst"/>
      <sheetName val="select items_PMW"/>
      <sheetName val="MRATES"/>
      <sheetName val="scour depth"/>
      <sheetName val="GEN_abstrct"/>
      <sheetName val="leads"/>
      <sheetName val="r"/>
      <sheetName val="UT Without Drop"/>
    </sheetNames>
    <sheetDataSet>
      <sheetData sheetId="0"/>
      <sheetData sheetId="1"/>
      <sheetData sheetId="2"/>
      <sheetData sheetId="3"/>
      <sheetData sheetId="4">
        <row r="4">
          <cell r="F4">
            <v>151</v>
          </cell>
        </row>
      </sheetData>
      <sheetData sheetId="5">
        <row r="4">
          <cell r="F4">
            <v>151</v>
          </cell>
        </row>
        <row r="87">
          <cell r="F87">
            <v>49</v>
          </cell>
        </row>
        <row r="88">
          <cell r="F88">
            <v>35</v>
          </cell>
        </row>
        <row r="89">
          <cell r="F89">
            <v>11</v>
          </cell>
        </row>
        <row r="90">
          <cell r="F90">
            <v>11</v>
          </cell>
        </row>
        <row r="91">
          <cell r="F91">
            <v>3</v>
          </cell>
        </row>
        <row r="92">
          <cell r="F92">
            <v>3</v>
          </cell>
        </row>
      </sheetData>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_demand"/>
    </sheetNames>
    <sheetDataSet>
      <sheetData sheetId="0"/>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_demand"/>
    </sheetNames>
    <sheetDataSet>
      <sheetData sheetId="0"/>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_demand"/>
      <sheetName val="index"/>
      <sheetName val="index (2)"/>
      <sheetName val="NABPRFR"/>
      <sheetName val="slntftrs"/>
      <sheetName val="bcratio"/>
      <sheetName val="GEN_ABSTRT"/>
      <sheetName val="bundabstrt"/>
      <sheetName val="abstratsluice"/>
      <sheetName val="Est of sluice"/>
      <sheetName val="abstrtweir"/>
      <sheetName val="Est of weir"/>
      <sheetName val="abstrtcanals"/>
      <sheetName val="abstrCNLEW"/>
      <sheetName val="prosheet"/>
      <sheetName val="MFDcal"/>
      <sheetName val="strngtbl"/>
      <sheetName val="captab"/>
      <sheetName val="ewstbnd"/>
      <sheetName val="bund"/>
      <sheetName val="rainfall"/>
      <sheetName val="gnut"/>
      <sheetName val="yielddist"/>
      <sheetName val="RGMTBL"/>
      <sheetName val="canal_design"/>
      <sheetName val="Canal_ewest lf"/>
      <sheetName val="Canal_ewestRF"/>
      <sheetName val="AB1mdrp"/>
      <sheetName val="Est of 1MTdrp"/>
      <sheetName val="dropdesign"/>
      <sheetName val="AB2vput"/>
      <sheetName val="AB2SLBUT"/>
      <sheetName val="ABDLRCLVRT"/>
      <sheetName val="ctbridgedesignest"/>
      <sheetName val="datas kondamp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_demand"/>
      <sheetName val="index"/>
      <sheetName val="index (2)"/>
      <sheetName val="NABPRFR"/>
      <sheetName val="slntftrs"/>
      <sheetName val="bcratio"/>
      <sheetName val="GEN_ABSTRT"/>
      <sheetName val="bundabstrt"/>
      <sheetName val="abstratsluice"/>
      <sheetName val="Est of sluice"/>
      <sheetName val="abstrtweir"/>
      <sheetName val="Est of weir"/>
      <sheetName val="abstrtcanals"/>
      <sheetName val="abstrCNLEW"/>
      <sheetName val="prosheet"/>
      <sheetName val="MFDcal"/>
      <sheetName val="strngtbl"/>
      <sheetName val="captab"/>
      <sheetName val="ewstbnd"/>
      <sheetName val="bund"/>
      <sheetName val="rainfall"/>
      <sheetName val="gnut"/>
      <sheetName val="yielddist"/>
      <sheetName val="RGMTBL"/>
      <sheetName val="canal_design"/>
      <sheetName val="Canal_ewest lf"/>
      <sheetName val="Canal_ewestRF"/>
      <sheetName val="AB1mdrp"/>
      <sheetName val="Est of 1MTdrp"/>
      <sheetName val="dropdesign"/>
      <sheetName val="AB2vput"/>
      <sheetName val="AB2SLBUT"/>
      <sheetName val="ABDLRCLVRT"/>
      <sheetName val="ctbridgedesignest"/>
      <sheetName val="datas kondamp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nabardprfrm"/>
      <sheetName val="slntftrs"/>
      <sheetName val="prosheet"/>
      <sheetName val="MFD_weir"/>
      <sheetName val="strngtbl"/>
      <sheetName val="captab"/>
      <sheetName val="gnut"/>
      <sheetName val="PADDY"/>
      <sheetName val="total_demand"/>
      <sheetName val="yielddist"/>
      <sheetName val="RGMTBL"/>
      <sheetName val="rainfall "/>
      <sheetName val="ewstbnd"/>
      <sheetName val="bund"/>
      <sheetName val="canal_design"/>
      <sheetName val="Canal_ewest RF"/>
      <sheetName val="Canal_ewest lf"/>
      <sheetName val="bcratio"/>
      <sheetName val="GEN_ABSTRT"/>
      <sheetName val="abstrtbund"/>
      <sheetName val="abstratsluice"/>
      <sheetName val="abstrtweir"/>
      <sheetName val="Est of weir"/>
      <sheetName val="wrdata"/>
      <sheetName val="abstrtcanals"/>
      <sheetName val="abstrcanalews"/>
      <sheetName val="AB1mdrp"/>
      <sheetName val="AB2vput"/>
      <sheetName val="AB2SLBUT"/>
      <sheetName val="ABDLRCLVRT"/>
      <sheetName val="ABDLRCLVRT_major"/>
      <sheetName val="DATA"/>
      <sheetName val="Material_Cost"/>
      <sheetName val="Labour_Charge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6">
          <cell r="B6">
            <v>0.6</v>
          </cell>
          <cell r="C6">
            <v>0.6</v>
          </cell>
          <cell r="D6">
            <v>0.6</v>
          </cell>
          <cell r="E6">
            <v>0.45</v>
          </cell>
          <cell r="F6">
            <v>3</v>
          </cell>
          <cell r="G6">
            <v>2.15</v>
          </cell>
          <cell r="H6">
            <v>1.2</v>
          </cell>
          <cell r="I6">
            <v>1.5</v>
          </cell>
          <cell r="J6">
            <v>2.25</v>
          </cell>
        </row>
        <row r="7">
          <cell r="B7">
            <v>0.8</v>
          </cell>
          <cell r="C7">
            <v>1</v>
          </cell>
          <cell r="D7">
            <v>0.6</v>
          </cell>
          <cell r="E7">
            <v>0.45</v>
          </cell>
          <cell r="F7">
            <v>3.3</v>
          </cell>
          <cell r="G7">
            <v>2.2999999999999998</v>
          </cell>
          <cell r="H7">
            <v>1.2</v>
          </cell>
          <cell r="I7">
            <v>1.5</v>
          </cell>
          <cell r="J7">
            <v>2.25</v>
          </cell>
        </row>
        <row r="8">
          <cell r="B8">
            <v>1</v>
          </cell>
          <cell r="C8">
            <v>1.2</v>
          </cell>
          <cell r="D8">
            <v>0.6</v>
          </cell>
          <cell r="E8">
            <v>0.45</v>
          </cell>
          <cell r="F8">
            <v>3.4</v>
          </cell>
          <cell r="G8">
            <v>2.5</v>
          </cell>
          <cell r="H8">
            <v>1.2</v>
          </cell>
          <cell r="I8">
            <v>1.5</v>
          </cell>
          <cell r="J8">
            <v>2.25</v>
          </cell>
        </row>
        <row r="9">
          <cell r="B9">
            <v>1.2</v>
          </cell>
          <cell r="C9">
            <v>1.4</v>
          </cell>
          <cell r="D9">
            <v>0.6</v>
          </cell>
          <cell r="E9">
            <v>0.45</v>
          </cell>
          <cell r="F9">
            <v>3.5</v>
          </cell>
          <cell r="G9">
            <v>2.75</v>
          </cell>
          <cell r="H9">
            <v>1.2</v>
          </cell>
          <cell r="I9">
            <v>1.5</v>
          </cell>
          <cell r="J9">
            <v>2.25</v>
          </cell>
        </row>
        <row r="10">
          <cell r="B10">
            <v>1.4</v>
          </cell>
          <cell r="C10">
            <v>1.5999999999999999</v>
          </cell>
          <cell r="D10">
            <v>0.6</v>
          </cell>
          <cell r="E10">
            <v>0.45</v>
          </cell>
          <cell r="F10">
            <v>3.6</v>
          </cell>
          <cell r="G10">
            <v>2.9</v>
          </cell>
          <cell r="H10">
            <v>1.2</v>
          </cell>
          <cell r="I10">
            <v>1.5</v>
          </cell>
          <cell r="J10">
            <v>2.25</v>
          </cell>
        </row>
        <row r="11">
          <cell r="B11">
            <v>1.5999999999999999</v>
          </cell>
          <cell r="C11">
            <v>1.7999999999999998</v>
          </cell>
          <cell r="D11">
            <v>0.6</v>
          </cell>
          <cell r="E11">
            <v>0.45</v>
          </cell>
          <cell r="F11">
            <v>4</v>
          </cell>
          <cell r="G11">
            <v>2.7</v>
          </cell>
          <cell r="H11">
            <v>1.2</v>
          </cell>
          <cell r="I11">
            <v>1.5</v>
          </cell>
          <cell r="J11">
            <v>2.25</v>
          </cell>
        </row>
        <row r="12">
          <cell r="B12">
            <v>1.7999999999999998</v>
          </cell>
          <cell r="C12">
            <v>1.9999999999999998</v>
          </cell>
          <cell r="D12">
            <v>0.7</v>
          </cell>
          <cell r="E12">
            <v>0.55000000000000004</v>
          </cell>
          <cell r="F12">
            <v>4</v>
          </cell>
          <cell r="G12">
            <v>3</v>
          </cell>
          <cell r="H12">
            <v>1.2</v>
          </cell>
          <cell r="I12">
            <v>1.5</v>
          </cell>
          <cell r="J12">
            <v>2.25</v>
          </cell>
        </row>
        <row r="13">
          <cell r="B13">
            <v>1.9999999999999998</v>
          </cell>
          <cell r="C13">
            <v>2.1999999999999997</v>
          </cell>
          <cell r="D13">
            <v>0.8</v>
          </cell>
          <cell r="E13">
            <v>0.6</v>
          </cell>
          <cell r="F13">
            <v>4</v>
          </cell>
          <cell r="G13">
            <v>3.1</v>
          </cell>
          <cell r="H13">
            <v>1.2</v>
          </cell>
          <cell r="I13">
            <v>1.5</v>
          </cell>
          <cell r="J13">
            <v>2.25</v>
          </cell>
        </row>
        <row r="14">
          <cell r="B14">
            <v>2.1999999999999997</v>
          </cell>
          <cell r="C14">
            <v>2.4</v>
          </cell>
          <cell r="D14">
            <v>0.85</v>
          </cell>
          <cell r="E14">
            <v>0.65</v>
          </cell>
          <cell r="F14">
            <v>4</v>
          </cell>
          <cell r="G14">
            <v>3.3</v>
          </cell>
          <cell r="H14">
            <v>1.2</v>
          </cell>
          <cell r="I14">
            <v>1.5</v>
          </cell>
          <cell r="J14">
            <v>2.25</v>
          </cell>
        </row>
        <row r="15">
          <cell r="B15">
            <v>1</v>
          </cell>
          <cell r="C15">
            <v>1.2</v>
          </cell>
          <cell r="D15">
            <v>0.6</v>
          </cell>
          <cell r="E15">
            <v>0.45</v>
          </cell>
          <cell r="F15">
            <v>4.3</v>
          </cell>
          <cell r="G15">
            <v>3.7</v>
          </cell>
          <cell r="H15">
            <v>1.8</v>
          </cell>
          <cell r="I15">
            <v>2.2000000000000002</v>
          </cell>
          <cell r="J15">
            <v>3.3</v>
          </cell>
        </row>
        <row r="16">
          <cell r="B16">
            <v>1.2</v>
          </cell>
          <cell r="C16">
            <v>1.4</v>
          </cell>
          <cell r="D16">
            <v>0.6</v>
          </cell>
          <cell r="E16">
            <v>0.45</v>
          </cell>
          <cell r="F16">
            <v>4.5</v>
          </cell>
          <cell r="G16">
            <v>3.9</v>
          </cell>
          <cell r="H16">
            <v>1.8</v>
          </cell>
          <cell r="I16">
            <v>2.2000000000000002</v>
          </cell>
          <cell r="J16">
            <v>3.3</v>
          </cell>
        </row>
        <row r="17">
          <cell r="B17">
            <v>1.4</v>
          </cell>
          <cell r="C17">
            <v>1.5999999999999999</v>
          </cell>
          <cell r="D17">
            <v>0.6</v>
          </cell>
          <cell r="E17">
            <v>0.45</v>
          </cell>
          <cell r="F17">
            <v>4.5999999999999996</v>
          </cell>
          <cell r="G17">
            <v>4.2</v>
          </cell>
          <cell r="H17">
            <v>1.8</v>
          </cell>
          <cell r="I17">
            <v>2.2000000000000002</v>
          </cell>
          <cell r="J17">
            <v>3.3</v>
          </cell>
        </row>
        <row r="18">
          <cell r="B18">
            <v>1.5999999999999999</v>
          </cell>
          <cell r="C18">
            <v>1.7999999999999998</v>
          </cell>
          <cell r="D18">
            <v>0.6</v>
          </cell>
          <cell r="E18">
            <v>0.45</v>
          </cell>
          <cell r="F18">
            <v>4.7</v>
          </cell>
          <cell r="G18">
            <v>4.3</v>
          </cell>
          <cell r="H18">
            <v>1.8</v>
          </cell>
          <cell r="I18">
            <v>2.2000000000000002</v>
          </cell>
          <cell r="J18">
            <v>3.3</v>
          </cell>
        </row>
        <row r="19">
          <cell r="B19">
            <v>1.7999999999999998</v>
          </cell>
          <cell r="C19">
            <v>1.9999999999999998</v>
          </cell>
          <cell r="D19">
            <v>0.65</v>
          </cell>
          <cell r="E19">
            <v>0.55000000000000004</v>
          </cell>
          <cell r="F19">
            <v>4.8</v>
          </cell>
          <cell r="G19">
            <v>4.5999999999999996</v>
          </cell>
          <cell r="H19">
            <v>1.8</v>
          </cell>
          <cell r="I19">
            <v>2.2000000000000002</v>
          </cell>
          <cell r="J19">
            <v>3.3</v>
          </cell>
        </row>
        <row r="20">
          <cell r="B20">
            <v>1.9999999999999998</v>
          </cell>
          <cell r="C20">
            <v>2.1999999999999997</v>
          </cell>
          <cell r="D20">
            <v>0.75</v>
          </cell>
          <cell r="E20">
            <v>0.65</v>
          </cell>
          <cell r="F20">
            <v>4.9000000000000004</v>
          </cell>
          <cell r="G20">
            <v>4.7</v>
          </cell>
          <cell r="H20">
            <v>1.8</v>
          </cell>
          <cell r="I20">
            <v>2.2000000000000002</v>
          </cell>
          <cell r="J20">
            <v>3.3</v>
          </cell>
        </row>
        <row r="21">
          <cell r="B21">
            <v>2.1999999999999997</v>
          </cell>
          <cell r="C21">
            <v>2.4</v>
          </cell>
          <cell r="D21">
            <v>0.8</v>
          </cell>
          <cell r="E21">
            <v>0.65</v>
          </cell>
          <cell r="F21">
            <v>5</v>
          </cell>
          <cell r="G21">
            <v>4.8499999999999996</v>
          </cell>
          <cell r="H21">
            <v>1.8</v>
          </cell>
          <cell r="I21">
            <v>2.2000000000000002</v>
          </cell>
          <cell r="J21">
            <v>3.3</v>
          </cell>
        </row>
        <row r="22">
          <cell r="B22">
            <v>2.4</v>
          </cell>
          <cell r="C22">
            <v>2.6</v>
          </cell>
          <cell r="D22">
            <v>0.9</v>
          </cell>
          <cell r="E22">
            <v>0.7</v>
          </cell>
          <cell r="F22">
            <v>5.2</v>
          </cell>
          <cell r="G22">
            <v>4.9000000000000004</v>
          </cell>
          <cell r="H22">
            <v>1.8</v>
          </cell>
          <cell r="I22">
            <v>2.2000000000000002</v>
          </cell>
          <cell r="J22">
            <v>3.3</v>
          </cell>
        </row>
        <row r="23">
          <cell r="B23">
            <v>2.6</v>
          </cell>
          <cell r="C23">
            <v>2.8000000000000003</v>
          </cell>
          <cell r="D23">
            <v>1</v>
          </cell>
          <cell r="E23">
            <v>0.75</v>
          </cell>
          <cell r="F23">
            <v>5.55</v>
          </cell>
          <cell r="G23">
            <v>4.8</v>
          </cell>
          <cell r="H23">
            <v>1.8</v>
          </cell>
          <cell r="I23">
            <v>2.2000000000000002</v>
          </cell>
          <cell r="J23">
            <v>3.3</v>
          </cell>
        </row>
        <row r="24">
          <cell r="B24">
            <v>2.8000000000000003</v>
          </cell>
          <cell r="C24">
            <v>3.05</v>
          </cell>
          <cell r="D24">
            <v>1.1000000000000001</v>
          </cell>
          <cell r="E24">
            <v>0.85</v>
          </cell>
          <cell r="F24">
            <v>5.55</v>
          </cell>
          <cell r="G24">
            <v>5</v>
          </cell>
          <cell r="H24">
            <v>1.8</v>
          </cell>
          <cell r="I24">
            <v>2.2000000000000002</v>
          </cell>
          <cell r="J24">
            <v>3.3</v>
          </cell>
        </row>
        <row r="25">
          <cell r="B25">
            <v>1.4</v>
          </cell>
          <cell r="C25">
            <v>1.6</v>
          </cell>
          <cell r="D25">
            <v>0.6</v>
          </cell>
          <cell r="E25">
            <v>0.45</v>
          </cell>
          <cell r="F25">
            <v>5.4</v>
          </cell>
          <cell r="G25">
            <v>5.3</v>
          </cell>
          <cell r="H25">
            <v>2.4</v>
          </cell>
          <cell r="I25">
            <v>2.8</v>
          </cell>
          <cell r="J25">
            <v>4.2</v>
          </cell>
        </row>
        <row r="26">
          <cell r="B26">
            <v>1.5999999999999999</v>
          </cell>
          <cell r="C26">
            <v>1.8</v>
          </cell>
          <cell r="D26">
            <v>0.6</v>
          </cell>
          <cell r="E26">
            <v>0.45</v>
          </cell>
          <cell r="F26">
            <v>5.6</v>
          </cell>
          <cell r="G26">
            <v>5.55</v>
          </cell>
          <cell r="H26">
            <v>2.4</v>
          </cell>
          <cell r="I26">
            <v>2.8</v>
          </cell>
          <cell r="J26">
            <v>4.2</v>
          </cell>
        </row>
        <row r="27">
          <cell r="B27">
            <v>1.7999999999999998</v>
          </cell>
          <cell r="C27">
            <v>2</v>
          </cell>
          <cell r="D27">
            <v>0.6</v>
          </cell>
          <cell r="E27">
            <v>0.5</v>
          </cell>
          <cell r="F27">
            <v>5.7</v>
          </cell>
          <cell r="G27">
            <v>5.8</v>
          </cell>
          <cell r="H27">
            <v>2.4</v>
          </cell>
          <cell r="I27">
            <v>2.8</v>
          </cell>
          <cell r="J27">
            <v>4.2</v>
          </cell>
        </row>
        <row r="28">
          <cell r="B28">
            <v>1.9999999999999998</v>
          </cell>
          <cell r="C28">
            <v>2.2000000000000002</v>
          </cell>
          <cell r="D28">
            <v>0.7</v>
          </cell>
          <cell r="E28">
            <v>0.55000000000000004</v>
          </cell>
          <cell r="F28">
            <v>5.8</v>
          </cell>
          <cell r="G28">
            <v>6.1</v>
          </cell>
          <cell r="H28">
            <v>2.4</v>
          </cell>
          <cell r="I28">
            <v>2.8</v>
          </cell>
          <cell r="J28">
            <v>4.2</v>
          </cell>
        </row>
        <row r="29">
          <cell r="B29">
            <v>2.1999999999999997</v>
          </cell>
          <cell r="C29">
            <v>2.4000000000000004</v>
          </cell>
          <cell r="D29">
            <v>0.8</v>
          </cell>
          <cell r="E29">
            <v>0.6</v>
          </cell>
          <cell r="F29">
            <v>5.9</v>
          </cell>
          <cell r="G29">
            <v>6.3</v>
          </cell>
          <cell r="H29">
            <v>2.4</v>
          </cell>
          <cell r="I29">
            <v>2.8</v>
          </cell>
          <cell r="J29">
            <v>4.2</v>
          </cell>
        </row>
        <row r="30">
          <cell r="B30">
            <v>2.4</v>
          </cell>
          <cell r="C30">
            <v>2.6000000000000005</v>
          </cell>
          <cell r="D30">
            <v>0.85</v>
          </cell>
          <cell r="E30">
            <v>0.7</v>
          </cell>
          <cell r="F30">
            <v>6</v>
          </cell>
          <cell r="G30">
            <v>6.5</v>
          </cell>
          <cell r="H30">
            <v>2.4</v>
          </cell>
          <cell r="I30">
            <v>2.8</v>
          </cell>
          <cell r="J30">
            <v>4.2</v>
          </cell>
        </row>
        <row r="31">
          <cell r="B31">
            <v>2.6</v>
          </cell>
          <cell r="C31">
            <v>2.8000000000000007</v>
          </cell>
          <cell r="D31">
            <v>0.95</v>
          </cell>
          <cell r="E31">
            <v>0.75</v>
          </cell>
          <cell r="F31">
            <v>6.1</v>
          </cell>
          <cell r="G31">
            <v>6.7</v>
          </cell>
          <cell r="H31">
            <v>2.4</v>
          </cell>
          <cell r="I31">
            <v>2.8</v>
          </cell>
          <cell r="J31">
            <v>4.2</v>
          </cell>
        </row>
        <row r="32">
          <cell r="B32">
            <v>2.8000000000000003</v>
          </cell>
          <cell r="C32">
            <v>3.05</v>
          </cell>
          <cell r="D32">
            <v>1</v>
          </cell>
          <cell r="E32">
            <v>0.85</v>
          </cell>
          <cell r="F32">
            <v>6.2</v>
          </cell>
          <cell r="G32">
            <v>6.8</v>
          </cell>
          <cell r="H32">
            <v>2.4</v>
          </cell>
          <cell r="I32">
            <v>2.8</v>
          </cell>
          <cell r="J32">
            <v>4.2</v>
          </cell>
        </row>
        <row r="33">
          <cell r="B33">
            <v>3.0000000000000004</v>
          </cell>
          <cell r="C33">
            <v>3.25</v>
          </cell>
          <cell r="D33">
            <v>1.1499999999999999</v>
          </cell>
          <cell r="E33">
            <v>0.9</v>
          </cell>
          <cell r="F33">
            <v>6.3</v>
          </cell>
          <cell r="G33">
            <v>6.9</v>
          </cell>
          <cell r="H33">
            <v>2.4</v>
          </cell>
          <cell r="I33">
            <v>2.8</v>
          </cell>
          <cell r="J33">
            <v>4.2</v>
          </cell>
        </row>
        <row r="34">
          <cell r="B34">
            <v>1.8</v>
          </cell>
          <cell r="C34">
            <v>2</v>
          </cell>
          <cell r="D34">
            <v>0.6</v>
          </cell>
          <cell r="E34">
            <v>0.5</v>
          </cell>
          <cell r="F34">
            <v>6.6</v>
          </cell>
          <cell r="G34">
            <v>6.9</v>
          </cell>
          <cell r="H34">
            <v>2.8</v>
          </cell>
          <cell r="I34">
            <v>3.5</v>
          </cell>
          <cell r="J34">
            <v>5.25</v>
          </cell>
        </row>
        <row r="35">
          <cell r="B35">
            <v>2</v>
          </cell>
          <cell r="C35">
            <v>2.2000000000000002</v>
          </cell>
          <cell r="D35">
            <v>0.7</v>
          </cell>
          <cell r="E35">
            <v>0.7</v>
          </cell>
          <cell r="F35">
            <v>6.7</v>
          </cell>
          <cell r="G35">
            <v>7.2</v>
          </cell>
          <cell r="H35">
            <v>2.8</v>
          </cell>
          <cell r="I35">
            <v>3.5</v>
          </cell>
          <cell r="J35">
            <v>5.25</v>
          </cell>
        </row>
        <row r="36">
          <cell r="B36">
            <v>2.2000000000000002</v>
          </cell>
          <cell r="C36">
            <v>2.4000000000000004</v>
          </cell>
          <cell r="D36">
            <v>0.75</v>
          </cell>
          <cell r="E36">
            <v>0.55000000000000004</v>
          </cell>
          <cell r="F36">
            <v>6.8</v>
          </cell>
          <cell r="G36">
            <v>7.5</v>
          </cell>
          <cell r="H36">
            <v>2.8</v>
          </cell>
          <cell r="I36">
            <v>3.5</v>
          </cell>
          <cell r="J36">
            <v>5.25</v>
          </cell>
        </row>
        <row r="37">
          <cell r="B37">
            <v>2.4000000000000004</v>
          </cell>
          <cell r="C37">
            <v>2.6000000000000005</v>
          </cell>
          <cell r="D37">
            <v>0.85</v>
          </cell>
          <cell r="E37">
            <v>0.7</v>
          </cell>
          <cell r="F37">
            <v>6.9</v>
          </cell>
          <cell r="G37">
            <v>7.75</v>
          </cell>
          <cell r="H37">
            <v>2.8</v>
          </cell>
          <cell r="I37">
            <v>3.5</v>
          </cell>
          <cell r="J37">
            <v>5.25</v>
          </cell>
        </row>
        <row r="38">
          <cell r="B38">
            <v>2.6000000000000005</v>
          </cell>
          <cell r="C38">
            <v>2.8000000000000007</v>
          </cell>
          <cell r="D38">
            <v>0.95</v>
          </cell>
          <cell r="E38">
            <v>0.75</v>
          </cell>
          <cell r="F38">
            <v>7</v>
          </cell>
          <cell r="G38">
            <v>8</v>
          </cell>
          <cell r="H38">
            <v>2.8</v>
          </cell>
          <cell r="I38">
            <v>3.5</v>
          </cell>
          <cell r="J38">
            <v>5.25</v>
          </cell>
        </row>
        <row r="39">
          <cell r="B39">
            <v>2.8000000000000007</v>
          </cell>
          <cell r="C39">
            <v>3.05</v>
          </cell>
          <cell r="D39">
            <v>1</v>
          </cell>
          <cell r="E39">
            <v>0.8</v>
          </cell>
          <cell r="F39">
            <v>7.1</v>
          </cell>
          <cell r="G39">
            <v>8.1999999999999993</v>
          </cell>
          <cell r="H39">
            <v>2.8</v>
          </cell>
          <cell r="I39">
            <v>3.5</v>
          </cell>
          <cell r="J39">
            <v>5.25</v>
          </cell>
        </row>
        <row r="40">
          <cell r="B40">
            <v>3.0000000000000009</v>
          </cell>
          <cell r="C40">
            <v>3.25</v>
          </cell>
          <cell r="D40">
            <v>1.2</v>
          </cell>
          <cell r="E40">
            <v>0.9</v>
          </cell>
          <cell r="F40">
            <v>7.2</v>
          </cell>
          <cell r="G40">
            <v>8.4</v>
          </cell>
          <cell r="H40">
            <v>2.8</v>
          </cell>
          <cell r="I40">
            <v>3.5</v>
          </cell>
          <cell r="J40">
            <v>5.25</v>
          </cell>
        </row>
      </sheetData>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nabardprfrm"/>
      <sheetName val="slntftrs"/>
      <sheetName val="prosheet"/>
      <sheetName val="MFD_weir"/>
      <sheetName val="strngtbl"/>
      <sheetName val="captab"/>
      <sheetName val="gnut"/>
      <sheetName val="PADDY"/>
      <sheetName val="total_demand"/>
      <sheetName val="yielddist"/>
      <sheetName val="RGMTBL"/>
      <sheetName val="rainfall "/>
      <sheetName val="ewstbnd"/>
      <sheetName val="bund"/>
      <sheetName val="canal_design"/>
      <sheetName val="Canal_ewest RF"/>
      <sheetName val="Canal_ewest lf"/>
      <sheetName val="bcratio"/>
      <sheetName val="GEN_ABSTRT"/>
      <sheetName val="abstrtbund"/>
      <sheetName val="abstratsluice"/>
      <sheetName val="abstrtweir"/>
      <sheetName val="Est of weir"/>
      <sheetName val="wrdata"/>
      <sheetName val="abstrtcanals"/>
      <sheetName val="abstrcanalews"/>
      <sheetName val="AB1mdrp"/>
      <sheetName val="AB2vput"/>
      <sheetName val="AB2SLBUT"/>
      <sheetName val="ABDLRCLVRT"/>
      <sheetName val="ABDLRCLVRT_major"/>
      <sheetName val="DATA"/>
      <sheetName val="Material_Cost"/>
      <sheetName val="Labour_Charge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QC chckslip"/>
      <sheetName val="QC check slip"/>
      <sheetName val="QC check slip (2)"/>
      <sheetName val="PP11"/>
      <sheetName val="PP12"/>
      <sheetName val="CC.Run."/>
      <sheetName val="Part"/>
      <sheetName val="CC.Fin"/>
      <sheetName val="Final"/>
      <sheetName val="Cert."/>
      <sheetName val="Cert. (2)"/>
      <sheetName val="SC"/>
      <sheetName val="VAT,IT,NAC,LC"/>
      <sheetName val="Com.Rpt"/>
      <sheetName val="Workslip"/>
      <sheetName val="WD com.stt."/>
      <sheetName val="PD for Red,BC soils"/>
      <sheetName val="PD for Gravel"/>
      <sheetName val="Proforma-I."/>
      <sheetName val="Proforma-II."/>
      <sheetName val="Proforma-III."/>
      <sheetName val="Proforma-IV."/>
      <sheetName val="Programme of work"/>
      <sheetName val="VAT"/>
      <sheetName val="NA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sr common"/>
      <sheetName val="Sheet4"/>
      <sheetName val="leads"/>
      <sheetName val="Sheet11"/>
      <sheetName val="PL"/>
      <sheetName val="Sheet10"/>
      <sheetName val="master lead"/>
      <sheetName val="Sheet5"/>
      <sheetName val="conveyance common"/>
      <sheetName val="Sheet6"/>
      <sheetName val="handling common"/>
      <sheetName val="labour charges 2005-06"/>
      <sheetName val="Sheet2"/>
      <sheetName val="Sheet7"/>
      <sheetName val="data existing_do not delete"/>
      <sheetName val="Sheet8"/>
      <sheetName val="background data"/>
      <sheetName val="Rotary bore well source"/>
      <sheetName val="Sheet9"/>
      <sheetName val="ohsr verticals 20 9.55 "/>
      <sheetName val="verticals jointing 20kl 9.55"/>
      <sheetName val="lead 20kl ohsr"/>
      <sheetName val="data 20kl ohsr"/>
      <sheetName val="vc 150mm 20kl ohsr"/>
      <sheetName val="20kl ohsr item wise"/>
      <sheetName val="master data"/>
      <sheetName val="lpm inlet relation"/>
      <sheetName val="ohsr litre rate estimate"/>
      <sheetName val="ohsr vertical specials data"/>
      <sheetName val="ohsr verticals jointing"/>
      <sheetName val="ohsr litre rate data"/>
      <sheetName val="lead vc ohsr"/>
      <sheetName val="data vc ohsr"/>
      <sheetName val="vc ohsr"/>
      <sheetName val="lead vc pipe line"/>
      <sheetName val="data vc pipe line"/>
      <sheetName val="vc 150 pipe line estimate"/>
      <sheetName val="pipe line sub estimate"/>
      <sheetName val="pvc pipe line data"/>
      <sheetName val="std flange dimensions"/>
      <sheetName val="lead_pipe lines"/>
      <sheetName val="pvc pipes rates dgs d formula"/>
      <sheetName val="general abstract"/>
      <sheetName val="cover page"/>
      <sheetName val="pvc pipe details"/>
      <sheetName val="hydraulic designs"/>
      <sheetName val="Filter point"/>
      <sheetName val="pedestal "/>
      <sheetName val="pumpset submersible"/>
      <sheetName val="Sheet1"/>
      <sheetName val="c"/>
      <sheetName val="co"/>
      <sheetName val="con"/>
      <sheetName val="common conveyance"/>
      <sheetName val="ssr "/>
      <sheetName val="Hleads"/>
      <sheetName val="Haleads"/>
      <sheetName val="Hableads"/>
      <sheetName val="Hab leads"/>
      <sheetName val="lead"/>
      <sheetName val="data existing_do not delet"/>
      <sheetName val="data existing_do not dele"/>
      <sheetName val="data existing_do not del"/>
      <sheetName val="data existing_do not de"/>
      <sheetName val="data existing_do not d"/>
      <sheetName val="data existing_do not "/>
      <sheetName val="data existing_do not"/>
      <sheetName val="data existing_do no"/>
      <sheetName val="data existing_do n"/>
      <sheetName val="data existing_do "/>
      <sheetName val="data existing_do"/>
      <sheetName val="data existing_d"/>
      <sheetName val="data existing_"/>
      <sheetName val="data existing"/>
      <sheetName val="data existin"/>
      <sheetName val="data existi"/>
      <sheetName val="data exist"/>
      <sheetName val="data exis"/>
      <sheetName val="data exi"/>
      <sheetName val="data ex"/>
      <sheetName val="data e"/>
      <sheetName val="data "/>
      <sheetName val="data"/>
      <sheetName val="data1"/>
      <sheetName val="ata1"/>
      <sheetName val="dat"/>
      <sheetName val="da"/>
      <sheetName val="d"/>
      <sheetName val=""/>
      <sheetName val="master lead1"/>
      <sheetName val="master ead1"/>
      <sheetName val="maste Lead1"/>
      <sheetName val="mast Lead1"/>
      <sheetName val="mas Lead1"/>
      <sheetName val="ma Lead1"/>
      <sheetName val="m Lead1"/>
      <sheetName val=" Lead1"/>
      <sheetName val="maste lead"/>
      <sheetName val="mast lead"/>
      <sheetName val="mas lead"/>
      <sheetName val="ma lead"/>
      <sheetName val="m lead"/>
      <sheetName val=" lead"/>
      <sheetName val="cover pag"/>
      <sheetName val="cover pa"/>
      <sheetName val="cover p"/>
      <sheetName val="cover "/>
      <sheetName val="cover"/>
      <sheetName val="cove"/>
      <sheetName val="cov"/>
      <sheetName val="master leadO"/>
      <sheetName val="master lead-O"/>
      <sheetName val="maste Lead-O"/>
      <sheetName val="mast Lead-O"/>
      <sheetName val="mas Lead-O"/>
      <sheetName val="ma Lead-O"/>
      <sheetName val="m Lead-O"/>
      <sheetName val=" Lead-O"/>
      <sheetName val="v"/>
      <sheetName val="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D2" t="str">
            <v>cc(1:2:4)</v>
          </cell>
          <cell r="I2" t="str">
            <v>Clayey &amp; Loamy soils</v>
          </cell>
        </row>
        <row r="3">
          <cell r="D3" t="str">
            <v>cc(1:3:6)</v>
          </cell>
          <cell r="I3" t="str">
            <v>Hard Gravelly soils</v>
          </cell>
        </row>
        <row r="4">
          <cell r="D4" t="str">
            <v>cc(1:4:8)</v>
          </cell>
          <cell r="I4" t="str">
            <v>Mixture of Gravel &amp; Soft disintegrated rocky soils</v>
          </cell>
        </row>
        <row r="5">
          <cell r="D5" t="str">
            <v>cc(1:5:10)</v>
          </cell>
          <cell r="I5" t="str">
            <v>Soft disintegrated soils removed by pick axes and crow bars</v>
          </cell>
        </row>
        <row r="6">
          <cell r="D6" t="str">
            <v>cc(1:5:8)</v>
          </cell>
          <cell r="I6" t="str">
            <v>Stone matrix soils</v>
          </cell>
        </row>
        <row r="7">
          <cell r="D7" t="str">
            <v>cc(1:6:10)</v>
          </cell>
          <cell r="I7" t="str">
            <v>Hard disintegrated soils removed by pick axes and crow bars</v>
          </cell>
        </row>
        <row r="8">
          <cell r="I8" t="str">
            <v>Hard disintegrated rock requiring partial blasting</v>
          </cell>
        </row>
        <row r="9">
          <cell r="I9" t="str">
            <v>Soils requiring chiselling,wedging and benching</v>
          </cell>
        </row>
        <row r="14">
          <cell r="D14" t="str">
            <v>8mm</v>
          </cell>
          <cell r="F14" t="str">
            <v>RCC(1:2:4)</v>
          </cell>
          <cell r="G14" t="str">
            <v>RCC(1:2:4)</v>
          </cell>
        </row>
        <row r="15">
          <cell r="D15" t="str">
            <v>12mm</v>
          </cell>
          <cell r="F15" t="str">
            <v>RCC(1:1.5:3)</v>
          </cell>
          <cell r="G15" t="str">
            <v>RCC(1:1.5:3)</v>
          </cell>
        </row>
        <row r="16">
          <cell r="D16" t="str">
            <v>20mm</v>
          </cell>
          <cell r="G16" t="str">
            <v>VRCC(1:2:4)</v>
          </cell>
        </row>
        <row r="17">
          <cell r="G17" t="str">
            <v>VRCC(1:1.5:3)</v>
          </cell>
        </row>
        <row r="20">
          <cell r="D20" t="str">
            <v>Scaffolding for Ist Floor</v>
          </cell>
          <cell r="E20" t="str">
            <v>Lift charges bet Basement &amp; Ist Floor</v>
          </cell>
          <cell r="G20" t="str">
            <v>VCC(1:1.5:3)</v>
          </cell>
        </row>
        <row r="21">
          <cell r="D21" t="str">
            <v>Scaffolding for IInd Floor</v>
          </cell>
          <cell r="E21" t="str">
            <v>Lift charges bet Ist &amp; IInd Floor</v>
          </cell>
          <cell r="G21" t="str">
            <v>VCC(1:2:4)</v>
          </cell>
        </row>
        <row r="22">
          <cell r="D22" t="str">
            <v>Scaffolding for IIIrd Floor</v>
          </cell>
          <cell r="E22" t="str">
            <v>Lift charges bet IInd &amp; IIIrd Floor</v>
          </cell>
          <cell r="G22" t="str">
            <v>VCC(1:3:6)</v>
          </cell>
        </row>
        <row r="23">
          <cell r="G23" t="str">
            <v>VCC(1:4:8)</v>
          </cell>
        </row>
        <row r="24">
          <cell r="G24" t="str">
            <v>VCC(1:5:10)</v>
          </cell>
        </row>
        <row r="25">
          <cell r="G25" t="str">
            <v>VCC(1:5:8)</v>
          </cell>
        </row>
        <row r="26">
          <cell r="D26" t="str">
            <v>Teak wood</v>
          </cell>
          <cell r="G26" t="str">
            <v>VCC(1:6:10)</v>
          </cell>
        </row>
        <row r="27">
          <cell r="A27" t="str">
            <v>0.00-4.00m</v>
          </cell>
          <cell r="D27" t="str">
            <v>Country wood</v>
          </cell>
        </row>
        <row r="28">
          <cell r="A28" t="str">
            <v>4.00-6.00m</v>
          </cell>
        </row>
        <row r="29">
          <cell r="A29" t="str">
            <v>6.00-8.00m</v>
          </cell>
        </row>
        <row r="30">
          <cell r="A30" t="str">
            <v>8.00-10.00m</v>
          </cell>
        </row>
        <row r="31">
          <cell r="A31" t="str">
            <v>10.00-12.00m</v>
          </cell>
        </row>
        <row r="32">
          <cell r="A32" t="str">
            <v>12.00-14.00m</v>
          </cell>
        </row>
        <row r="33">
          <cell r="A33" t="str">
            <v>14.00-16.00m</v>
          </cell>
          <cell r="E33" t="str">
            <v>1.67 X 2.44</v>
          </cell>
        </row>
        <row r="34">
          <cell r="A34" t="str">
            <v>16.00-18.00m</v>
          </cell>
          <cell r="E34" t="str">
            <v>1.52 X 2.44</v>
          </cell>
        </row>
        <row r="35">
          <cell r="A35" t="str">
            <v>18.00-20.00m</v>
          </cell>
          <cell r="E35" t="str">
            <v>1.37 X 2.44</v>
          </cell>
        </row>
        <row r="36">
          <cell r="A36" t="str">
            <v>20.00-22.00m</v>
          </cell>
          <cell r="E36" t="str">
            <v>1.68 X 2.28</v>
          </cell>
        </row>
        <row r="37">
          <cell r="A37" t="str">
            <v>22.00-24.00m</v>
          </cell>
          <cell r="E37" t="str">
            <v>1.52 X 2.28</v>
          </cell>
        </row>
        <row r="38">
          <cell r="A38" t="str">
            <v>24.00-26.00m</v>
          </cell>
          <cell r="E38" t="str">
            <v>1.37 X 2.28</v>
          </cell>
        </row>
        <row r="39">
          <cell r="A39" t="str">
            <v>26.00-28.00m</v>
          </cell>
          <cell r="E39" t="str">
            <v>1.22 X 2.28</v>
          </cell>
        </row>
        <row r="40">
          <cell r="A40" t="str">
            <v>28.00-30.00m</v>
          </cell>
          <cell r="E40" t="str">
            <v>1.06 X 2.28</v>
          </cell>
        </row>
        <row r="41">
          <cell r="E41" t="str">
            <v>1.68 X 2.13</v>
          </cell>
        </row>
        <row r="42">
          <cell r="E42" t="str">
            <v>1.52 X 2.13</v>
          </cell>
        </row>
        <row r="43">
          <cell r="A43" t="str">
            <v>0.00-5.00m</v>
          </cell>
          <cell r="E43" t="str">
            <v>1.37 X 2.13</v>
          </cell>
        </row>
        <row r="44">
          <cell r="A44" t="str">
            <v>5.00-8.00m</v>
          </cell>
          <cell r="E44" t="str">
            <v>1.22 X 2.13</v>
          </cell>
        </row>
        <row r="45">
          <cell r="A45" t="str">
            <v>8.00-11.00m</v>
          </cell>
          <cell r="E45" t="str">
            <v>1.06 X 2.13</v>
          </cell>
        </row>
        <row r="46">
          <cell r="A46" t="str">
            <v>11.00-14.00m</v>
          </cell>
          <cell r="E46" t="str">
            <v>1.68 X 1.98</v>
          </cell>
        </row>
        <row r="47">
          <cell r="A47" t="str">
            <v>14.00-17.00m</v>
          </cell>
          <cell r="E47" t="str">
            <v>1.52 X 1.98</v>
          </cell>
        </row>
        <row r="48">
          <cell r="A48" t="str">
            <v>17.00-20.00m</v>
          </cell>
          <cell r="E48" t="str">
            <v>1.37 X 1.98</v>
          </cell>
        </row>
        <row r="49">
          <cell r="A49" t="str">
            <v>20.00-23.00m</v>
          </cell>
          <cell r="E49" t="str">
            <v>1.22 X 1.98</v>
          </cell>
        </row>
        <row r="50">
          <cell r="A50" t="str">
            <v>23.00-26.00m</v>
          </cell>
          <cell r="E50" t="str">
            <v>1.06 X 1.98</v>
          </cell>
        </row>
        <row r="51">
          <cell r="A51" t="str">
            <v>26.00-29.00m</v>
          </cell>
        </row>
        <row r="52">
          <cell r="A52" t="str">
            <v>29.00-32.00m</v>
          </cell>
        </row>
        <row r="53">
          <cell r="A53" t="str">
            <v>32.00-35.00m</v>
          </cell>
        </row>
        <row r="54">
          <cell r="A54" t="str">
            <v>35.00-38.00m</v>
          </cell>
        </row>
        <row r="57">
          <cell r="A57" t="str">
            <v>0.00-2.00M</v>
          </cell>
        </row>
        <row r="58">
          <cell r="A58" t="str">
            <v>2.00-3.00M</v>
          </cell>
        </row>
        <row r="59">
          <cell r="A59" t="str">
            <v>3.00-4.00M</v>
          </cell>
        </row>
        <row r="60">
          <cell r="A60" t="str">
            <v>4.00-5.00M</v>
          </cell>
        </row>
        <row r="61">
          <cell r="A61" t="str">
            <v>5.00-6.00M</v>
          </cell>
        </row>
        <row r="62">
          <cell r="A62" t="str">
            <v>6.00-7.00M</v>
          </cell>
        </row>
        <row r="63">
          <cell r="A63" t="str">
            <v>7.00-8.00M</v>
          </cell>
        </row>
        <row r="64">
          <cell r="A64" t="str">
            <v>8.00-9.00M</v>
          </cell>
        </row>
        <row r="65">
          <cell r="A65" t="str">
            <v>9.00-10.00M</v>
          </cell>
        </row>
        <row r="66">
          <cell r="A66" t="str">
            <v>10.00-11.00M</v>
          </cell>
        </row>
        <row r="67">
          <cell r="A67" t="str">
            <v>11.00-12.00M</v>
          </cell>
        </row>
        <row r="68">
          <cell r="A68" t="str">
            <v>12.00-13.00M</v>
          </cell>
        </row>
        <row r="69">
          <cell r="A69" t="str">
            <v>13.00-14.00M</v>
          </cell>
        </row>
        <row r="70">
          <cell r="A70" t="str">
            <v>14.00-15.00M</v>
          </cell>
        </row>
        <row r="73">
          <cell r="A73" t="str">
            <v>Sand for filling</v>
          </cell>
          <cell r="B73" t="str">
            <v>20mm HBG metal</v>
          </cell>
        </row>
        <row r="75">
          <cell r="A75" t="str">
            <v>Sand for mortar</v>
          </cell>
          <cell r="B75" t="str">
            <v>40mm HBG Metal</v>
          </cell>
          <cell r="F75">
            <v>0</v>
          </cell>
        </row>
        <row r="76">
          <cell r="F76">
            <v>0.1</v>
          </cell>
        </row>
        <row r="77">
          <cell r="F77">
            <v>0.2</v>
          </cell>
        </row>
        <row r="78">
          <cell r="A78" t="str">
            <v>(1:2)</v>
          </cell>
          <cell r="F78">
            <v>0.25</v>
          </cell>
        </row>
        <row r="79">
          <cell r="A79" t="str">
            <v>(1:3)</v>
          </cell>
          <cell r="F79">
            <v>0.3</v>
          </cell>
        </row>
        <row r="80">
          <cell r="A80" t="str">
            <v>(1:4)</v>
          </cell>
          <cell r="F80">
            <v>0.5</v>
          </cell>
        </row>
        <row r="81">
          <cell r="A81" t="str">
            <v>(1:5)</v>
          </cell>
          <cell r="F81">
            <v>1</v>
          </cell>
        </row>
        <row r="82">
          <cell r="A82" t="str">
            <v>(1:6)</v>
          </cell>
          <cell r="F82">
            <v>2</v>
          </cell>
        </row>
        <row r="83">
          <cell r="A83" t="str">
            <v>(1:8)</v>
          </cell>
          <cell r="F83">
            <v>3</v>
          </cell>
        </row>
        <row r="84">
          <cell r="A84" t="str">
            <v>(1:10)</v>
          </cell>
          <cell r="F84">
            <v>4</v>
          </cell>
        </row>
        <row r="85">
          <cell r="F85">
            <v>5</v>
          </cell>
        </row>
        <row r="86">
          <cell r="F86">
            <v>6</v>
          </cell>
        </row>
        <row r="87">
          <cell r="F87">
            <v>7</v>
          </cell>
        </row>
        <row r="88">
          <cell r="A88" t="str">
            <v>Between Basement &amp; Ist Floor</v>
          </cell>
          <cell r="F88">
            <v>8</v>
          </cell>
        </row>
        <row r="89">
          <cell r="A89" t="str">
            <v>Between Ist &amp; IInd Floor</v>
          </cell>
          <cell r="F89">
            <v>9</v>
          </cell>
        </row>
        <row r="90">
          <cell r="A90" t="str">
            <v>Between IInd &amp; IIIrd Floor</v>
          </cell>
          <cell r="F90">
            <v>10</v>
          </cell>
        </row>
        <row r="91">
          <cell r="A91" t="str">
            <v>Between IIIrd &amp; IVrth Floor</v>
          </cell>
          <cell r="F91">
            <v>11</v>
          </cell>
        </row>
        <row r="92">
          <cell r="F92">
            <v>12</v>
          </cell>
        </row>
        <row r="93">
          <cell r="F93">
            <v>13</v>
          </cell>
        </row>
        <row r="94">
          <cell r="A94" t="str">
            <v>Below Ground Level</v>
          </cell>
          <cell r="F94">
            <v>14</v>
          </cell>
        </row>
        <row r="95">
          <cell r="A95" t="str">
            <v>Above Ground Level</v>
          </cell>
          <cell r="F95">
            <v>15</v>
          </cell>
        </row>
        <row r="96">
          <cell r="F96">
            <v>16</v>
          </cell>
        </row>
        <row r="97">
          <cell r="F97">
            <v>17</v>
          </cell>
        </row>
        <row r="98">
          <cell r="A98">
            <v>0.6</v>
          </cell>
          <cell r="F98">
            <v>18</v>
          </cell>
        </row>
        <row r="99">
          <cell r="A99">
            <v>0.8</v>
          </cell>
          <cell r="F99">
            <v>19</v>
          </cell>
        </row>
        <row r="100">
          <cell r="A100">
            <v>1</v>
          </cell>
          <cell r="F100">
            <v>20</v>
          </cell>
        </row>
        <row r="101">
          <cell r="F101">
            <v>21</v>
          </cell>
        </row>
        <row r="102">
          <cell r="F102">
            <v>22</v>
          </cell>
        </row>
        <row r="103">
          <cell r="F103">
            <v>23</v>
          </cell>
        </row>
        <row r="104">
          <cell r="F104">
            <v>24</v>
          </cell>
        </row>
        <row r="105">
          <cell r="F105">
            <v>25</v>
          </cell>
        </row>
        <row r="106">
          <cell r="F106">
            <v>26</v>
          </cell>
        </row>
        <row r="107">
          <cell r="F107">
            <v>27</v>
          </cell>
        </row>
        <row r="108">
          <cell r="F108">
            <v>28</v>
          </cell>
        </row>
        <row r="109">
          <cell r="F109">
            <v>29</v>
          </cell>
        </row>
        <row r="110">
          <cell r="F110">
            <v>30</v>
          </cell>
        </row>
        <row r="111">
          <cell r="F111">
            <v>31</v>
          </cell>
        </row>
        <row r="112">
          <cell r="F112">
            <v>32</v>
          </cell>
        </row>
        <row r="113">
          <cell r="F113">
            <v>33</v>
          </cell>
        </row>
        <row r="114">
          <cell r="F114">
            <v>34</v>
          </cell>
        </row>
        <row r="115">
          <cell r="F115">
            <v>35</v>
          </cell>
        </row>
        <row r="116">
          <cell r="F116">
            <v>36</v>
          </cell>
        </row>
        <row r="117">
          <cell r="F117">
            <v>37</v>
          </cell>
        </row>
        <row r="118">
          <cell r="F118">
            <v>38</v>
          </cell>
        </row>
        <row r="119">
          <cell r="F119">
            <v>39</v>
          </cell>
        </row>
        <row r="120">
          <cell r="F120">
            <v>40</v>
          </cell>
        </row>
        <row r="121">
          <cell r="F121">
            <v>41</v>
          </cell>
        </row>
        <row r="122">
          <cell r="F122">
            <v>42</v>
          </cell>
        </row>
        <row r="123">
          <cell r="F123">
            <v>43</v>
          </cell>
        </row>
        <row r="124">
          <cell r="F124">
            <v>44</v>
          </cell>
        </row>
        <row r="125">
          <cell r="F125">
            <v>45</v>
          </cell>
        </row>
        <row r="126">
          <cell r="F126">
            <v>46</v>
          </cell>
        </row>
        <row r="127">
          <cell r="F127">
            <v>47</v>
          </cell>
        </row>
        <row r="128">
          <cell r="F128">
            <v>48</v>
          </cell>
        </row>
        <row r="129">
          <cell r="F129">
            <v>49</v>
          </cell>
        </row>
        <row r="130">
          <cell r="F130">
            <v>50</v>
          </cell>
        </row>
        <row r="131">
          <cell r="F131">
            <v>51</v>
          </cell>
        </row>
        <row r="132">
          <cell r="F132">
            <v>52</v>
          </cell>
        </row>
        <row r="133">
          <cell r="F133">
            <v>53</v>
          </cell>
        </row>
        <row r="134">
          <cell r="F134">
            <v>54</v>
          </cell>
        </row>
        <row r="135">
          <cell r="F135">
            <v>55</v>
          </cell>
        </row>
        <row r="136">
          <cell r="F136">
            <v>56</v>
          </cell>
        </row>
        <row r="137">
          <cell r="F137">
            <v>57</v>
          </cell>
        </row>
        <row r="138">
          <cell r="F138">
            <v>58</v>
          </cell>
        </row>
        <row r="139">
          <cell r="F139">
            <v>59</v>
          </cell>
        </row>
        <row r="140">
          <cell r="F140">
            <v>60</v>
          </cell>
        </row>
        <row r="141">
          <cell r="F141">
            <v>61</v>
          </cell>
        </row>
        <row r="142">
          <cell r="F142">
            <v>62</v>
          </cell>
        </row>
        <row r="143">
          <cell r="F143">
            <v>63</v>
          </cell>
        </row>
        <row r="144">
          <cell r="F144">
            <v>64</v>
          </cell>
        </row>
        <row r="145">
          <cell r="F145">
            <v>65</v>
          </cell>
        </row>
        <row r="146">
          <cell r="F146">
            <v>66</v>
          </cell>
        </row>
        <row r="147">
          <cell r="F147">
            <v>67</v>
          </cell>
        </row>
        <row r="148">
          <cell r="F148">
            <v>68</v>
          </cell>
        </row>
        <row r="149">
          <cell r="F149">
            <v>69</v>
          </cell>
        </row>
        <row r="150">
          <cell r="F150">
            <v>70</v>
          </cell>
        </row>
        <row r="151">
          <cell r="F151">
            <v>71</v>
          </cell>
        </row>
        <row r="152">
          <cell r="F152">
            <v>72</v>
          </cell>
        </row>
        <row r="153">
          <cell r="F153">
            <v>73</v>
          </cell>
        </row>
        <row r="154">
          <cell r="F154">
            <v>74</v>
          </cell>
        </row>
        <row r="155">
          <cell r="F155">
            <v>75</v>
          </cell>
        </row>
        <row r="156">
          <cell r="F156">
            <v>76</v>
          </cell>
        </row>
        <row r="157">
          <cell r="F157">
            <v>77</v>
          </cell>
        </row>
        <row r="158">
          <cell r="F158">
            <v>78</v>
          </cell>
        </row>
        <row r="159">
          <cell r="F159">
            <v>79</v>
          </cell>
        </row>
        <row r="160">
          <cell r="F160">
            <v>80</v>
          </cell>
        </row>
        <row r="161">
          <cell r="F161">
            <v>81</v>
          </cell>
        </row>
        <row r="162">
          <cell r="F162">
            <v>82</v>
          </cell>
        </row>
        <row r="163">
          <cell r="F163">
            <v>83</v>
          </cell>
        </row>
        <row r="164">
          <cell r="F164">
            <v>84</v>
          </cell>
        </row>
        <row r="165">
          <cell r="F165">
            <v>85</v>
          </cell>
        </row>
        <row r="166">
          <cell r="F166">
            <v>86</v>
          </cell>
        </row>
        <row r="167">
          <cell r="F167">
            <v>87</v>
          </cell>
        </row>
        <row r="168">
          <cell r="F168">
            <v>88</v>
          </cell>
        </row>
        <row r="169">
          <cell r="F169">
            <v>89</v>
          </cell>
        </row>
        <row r="170">
          <cell r="F170">
            <v>90</v>
          </cell>
        </row>
        <row r="171">
          <cell r="F171">
            <v>91</v>
          </cell>
        </row>
        <row r="172">
          <cell r="F172">
            <v>92</v>
          </cell>
        </row>
        <row r="173">
          <cell r="F173">
            <v>93</v>
          </cell>
        </row>
        <row r="174">
          <cell r="F174">
            <v>94</v>
          </cell>
        </row>
        <row r="175">
          <cell r="F175">
            <v>95</v>
          </cell>
        </row>
        <row r="176">
          <cell r="F176">
            <v>96</v>
          </cell>
        </row>
        <row r="177">
          <cell r="F177">
            <v>97</v>
          </cell>
        </row>
        <row r="178">
          <cell r="F178">
            <v>98</v>
          </cell>
        </row>
        <row r="179">
          <cell r="F179">
            <v>99</v>
          </cell>
        </row>
        <row r="180">
          <cell r="F180">
            <v>100</v>
          </cell>
        </row>
        <row r="181">
          <cell r="F181">
            <v>101</v>
          </cell>
        </row>
        <row r="182">
          <cell r="F182">
            <v>102</v>
          </cell>
        </row>
        <row r="183">
          <cell r="F183">
            <v>103</v>
          </cell>
        </row>
        <row r="184">
          <cell r="F184">
            <v>104</v>
          </cell>
        </row>
        <row r="185">
          <cell r="F185">
            <v>105</v>
          </cell>
        </row>
        <row r="186">
          <cell r="F186">
            <v>106</v>
          </cell>
        </row>
        <row r="187">
          <cell r="F187">
            <v>107</v>
          </cell>
        </row>
        <row r="188">
          <cell r="F188">
            <v>108</v>
          </cell>
        </row>
        <row r="189">
          <cell r="F189">
            <v>109</v>
          </cell>
        </row>
        <row r="190">
          <cell r="F190">
            <v>110</v>
          </cell>
        </row>
        <row r="191">
          <cell r="F191">
            <v>111</v>
          </cell>
        </row>
        <row r="192">
          <cell r="F192">
            <v>112</v>
          </cell>
        </row>
        <row r="193">
          <cell r="F193">
            <v>113</v>
          </cell>
        </row>
        <row r="194">
          <cell r="F194">
            <v>114</v>
          </cell>
        </row>
        <row r="195">
          <cell r="F195">
            <v>115</v>
          </cell>
        </row>
        <row r="196">
          <cell r="F196">
            <v>116</v>
          </cell>
        </row>
        <row r="197">
          <cell r="F197">
            <v>117</v>
          </cell>
        </row>
        <row r="198">
          <cell r="F198">
            <v>118</v>
          </cell>
        </row>
        <row r="199">
          <cell r="F199">
            <v>119</v>
          </cell>
        </row>
        <row r="200">
          <cell r="F200">
            <v>120</v>
          </cell>
        </row>
        <row r="201">
          <cell r="F201">
            <v>121</v>
          </cell>
        </row>
        <row r="202">
          <cell r="F202">
            <v>122</v>
          </cell>
        </row>
        <row r="203">
          <cell r="F203">
            <v>123</v>
          </cell>
        </row>
        <row r="204">
          <cell r="F204">
            <v>124</v>
          </cell>
        </row>
        <row r="205">
          <cell r="F205">
            <v>125</v>
          </cell>
        </row>
        <row r="206">
          <cell r="F206">
            <v>126</v>
          </cell>
        </row>
        <row r="207">
          <cell r="F207">
            <v>127</v>
          </cell>
        </row>
        <row r="208">
          <cell r="F208">
            <v>128</v>
          </cell>
        </row>
        <row r="209">
          <cell r="F209">
            <v>129</v>
          </cell>
        </row>
        <row r="210">
          <cell r="F210">
            <v>130</v>
          </cell>
        </row>
        <row r="211">
          <cell r="F211">
            <v>131</v>
          </cell>
        </row>
        <row r="212">
          <cell r="F212">
            <v>132</v>
          </cell>
        </row>
        <row r="213">
          <cell r="F213">
            <v>133</v>
          </cell>
        </row>
        <row r="214">
          <cell r="F214">
            <v>134</v>
          </cell>
        </row>
        <row r="215">
          <cell r="F215">
            <v>135</v>
          </cell>
        </row>
        <row r="216">
          <cell r="F216">
            <v>136</v>
          </cell>
        </row>
        <row r="217">
          <cell r="F217">
            <v>137</v>
          </cell>
        </row>
        <row r="218">
          <cell r="F218">
            <v>138</v>
          </cell>
        </row>
        <row r="219">
          <cell r="F219">
            <v>139</v>
          </cell>
        </row>
        <row r="220">
          <cell r="F220">
            <v>140</v>
          </cell>
        </row>
        <row r="221">
          <cell r="F221">
            <v>141</v>
          </cell>
        </row>
        <row r="222">
          <cell r="F222">
            <v>142</v>
          </cell>
        </row>
        <row r="223">
          <cell r="F223">
            <v>143</v>
          </cell>
        </row>
        <row r="224">
          <cell r="F224">
            <v>144</v>
          </cell>
        </row>
        <row r="225">
          <cell r="F225">
            <v>145</v>
          </cell>
        </row>
        <row r="226">
          <cell r="F226">
            <v>146</v>
          </cell>
        </row>
        <row r="227">
          <cell r="F227">
            <v>147</v>
          </cell>
        </row>
        <row r="228">
          <cell r="F228">
            <v>148</v>
          </cell>
        </row>
        <row r="229">
          <cell r="F229">
            <v>149</v>
          </cell>
        </row>
        <row r="230">
          <cell r="F230">
            <v>150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p"/>
      <sheetName val="data_new"/>
      <sheetName val="lead-st"/>
      <sheetName val="v"/>
      <sheetName val="r"/>
      <sheetName val="l"/>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ch (2)"/>
      <sheetName val="slntftrs"/>
      <sheetName val="certfts"/>
      <sheetName val="index"/>
      <sheetName val="nabardprfrm"/>
      <sheetName val="Est of weir"/>
      <sheetName val="wrdata"/>
      <sheetName val="bund"/>
      <sheetName val="GEN_ABSTRT"/>
      <sheetName val="bcratio1"/>
      <sheetName val="bcratio2"/>
      <sheetName val="prosheet"/>
      <sheetName val="MFD_Weir"/>
      <sheetName val="rainfall "/>
      <sheetName val="captab"/>
      <sheetName val="yielddist"/>
      <sheetName val="strngtbl"/>
      <sheetName val="gnut"/>
      <sheetName val="paddy"/>
      <sheetName val="total_demand"/>
      <sheetName val="RGMTBL"/>
      <sheetName val="SIDWORK"/>
      <sheetName val="abstrtbund"/>
      <sheetName val="ewstbnd"/>
      <sheetName val="abstrtweir"/>
      <sheetName val="estwiernot"/>
      <sheetName val="abstrtcanals"/>
      <sheetName val="canal_designRF"/>
      <sheetName val="canal_designLF"/>
      <sheetName val="canal_designLFR2"/>
      <sheetName val="abstdistews "/>
      <sheetName val="canal_designLFdist"/>
      <sheetName val="Canal_ewestlf_dist"/>
      <sheetName val="ABdist1mdrp "/>
      <sheetName val="road"/>
      <sheetName val="abstlining"/>
      <sheetName val="deestlin"/>
      <sheetName val="AB.5mdrp"/>
      <sheetName val="abstrcanalews"/>
      <sheetName val="Canal_ewestRF"/>
      <sheetName val="Canal_ewest lf"/>
      <sheetName val="abstratsluice"/>
      <sheetName val="AB2vput"/>
      <sheetName val="ABDLRCLVRT"/>
      <sheetName val="slrct"/>
      <sheetName val="destguidwa"/>
      <sheetName val="ABguidewall"/>
      <sheetName val="datatrial"/>
      <sheetName val="materialcost"/>
      <sheetName val="roadest"/>
      <sheetName val="abstrtroad"/>
      <sheetName val="AB2SLBUT"/>
      <sheetName val="sp"/>
      <sheetName val="ot"/>
      <sheetName val="ssr200809"/>
      <sheetName val="labour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ch (2)"/>
      <sheetName val="slntftrs"/>
      <sheetName val="certfts"/>
      <sheetName val="index"/>
      <sheetName val="nabardprfrm"/>
      <sheetName val="Est of weir"/>
      <sheetName val="wrdata"/>
      <sheetName val="bund"/>
      <sheetName val="GEN_ABSTRT"/>
      <sheetName val="bcratio1"/>
      <sheetName val="bcratio2"/>
      <sheetName val="prosheet"/>
      <sheetName val="MFD_Weir"/>
      <sheetName val="rainfall "/>
      <sheetName val="captab"/>
      <sheetName val="yielddist"/>
      <sheetName val="strngtbl"/>
      <sheetName val="gnut"/>
      <sheetName val="paddy"/>
      <sheetName val="total_demand"/>
      <sheetName val="RGMTBL"/>
      <sheetName val="SIDWORK"/>
      <sheetName val="abstrtbund"/>
      <sheetName val="ewstbnd"/>
      <sheetName val="abstrtweir"/>
      <sheetName val="estwiernot"/>
      <sheetName val="abstrtcanals"/>
      <sheetName val="canal_designRF"/>
      <sheetName val="canal_designLF"/>
      <sheetName val="canal_designLFR2"/>
      <sheetName val="abstdistews "/>
      <sheetName val="canal_designLFdist"/>
      <sheetName val="Canal_ewestlf_dist"/>
      <sheetName val="ABdist1mdrp "/>
      <sheetName val="road"/>
      <sheetName val="abstlining"/>
      <sheetName val="deestlin"/>
      <sheetName val="AB.5mdrp"/>
      <sheetName val="abstrcanalews"/>
      <sheetName val="Canal_ewestRF"/>
      <sheetName val="Canal_ewest lf"/>
      <sheetName val="abstratsluice"/>
      <sheetName val="AB2vput"/>
      <sheetName val="ABDLRCLVRT"/>
      <sheetName val="slrct"/>
      <sheetName val="destguidwa"/>
      <sheetName val="ABguidewall"/>
      <sheetName val="datatrial"/>
      <sheetName val="materialcost"/>
      <sheetName val="roadest"/>
      <sheetName val="abstrtroad"/>
      <sheetName val="AB2SLBUT"/>
      <sheetName val="sp"/>
      <sheetName val="ot"/>
      <sheetName val="ssr200809"/>
      <sheetName val="labour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32">
          <cell r="D32">
            <v>70</v>
          </cell>
        </row>
        <row r="95">
          <cell r="D95">
            <v>45</v>
          </cell>
        </row>
        <row r="113">
          <cell r="I113">
            <v>10</v>
          </cell>
          <cell r="J113">
            <v>12.8</v>
          </cell>
        </row>
        <row r="114">
          <cell r="I114">
            <v>8.5</v>
          </cell>
          <cell r="J114">
            <v>8.6999999999999993</v>
          </cell>
        </row>
        <row r="115">
          <cell r="I115">
            <v>5.5</v>
          </cell>
          <cell r="J115">
            <v>8.6999999999999993</v>
          </cell>
        </row>
      </sheetData>
      <sheetData sheetId="55"/>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Det.Est"/>
      <sheetName val="Data"/>
      <sheetName val="BT rate"/>
      <sheetName val="Sheet1"/>
      <sheetName val="T.memo"/>
      <sheetName val="C.s bund (1)"/>
      <sheetName val="RMR"/>
      <sheetName val="Sketch"/>
      <sheetName val="C.D.Abs.Est."/>
      <sheetName val="data1"/>
      <sheetName val="Labour"/>
      <sheetName val="Material"/>
      <sheetName val="abs road"/>
      <sheetName val="MRATES"/>
      <sheetName val="Estimate 10.00 Lakhs "/>
      <sheetName val="BWSCPlt"/>
      <sheetName val="CI"/>
      <sheetName val="DI"/>
      <sheetName val="G.R.P"/>
      <sheetName val="HDPE"/>
      <sheetName val="PSC REVISED"/>
      <sheetName val="pvc"/>
      <sheetName val="MRoad data"/>
      <sheetName val="r"/>
      <sheetName val="Road Detail Est."/>
      <sheetName val="Road data"/>
      <sheetName val="Common "/>
      <sheetName val="DATA-2005-06"/>
      <sheetName val="1-Pop Proj"/>
      <sheetName val="Sheet2"/>
      <sheetName val="v"/>
      <sheetName val="Plant &amp;  Machinery"/>
      <sheetName val="t_prsr"/>
      <sheetName val="id"/>
      <sheetName val="General"/>
      <sheetName val="Buildings"/>
      <sheetName val="Civil-works"/>
      <sheetName val="51"/>
      <sheetName val="LIST"/>
      <sheetName val="PlanAlign"/>
      <sheetName val="DESIGN"/>
      <sheetName val="Civil SSR"/>
      <sheetName val="Input"/>
      <sheetName val="Data (2)"/>
      <sheetName val="Class IV Qtr. Ele"/>
      <sheetName val="01"/>
      <sheetName val="mlead"/>
      <sheetName val="R_Det"/>
      <sheetName val="BTR"/>
      <sheetName val="maya"/>
      <sheetName val="Basicrates"/>
      <sheetName val="C-data"/>
      <sheetName val="Cover"/>
      <sheetName val="Bill-12"/>
      <sheetName val="Lead statement"/>
      <sheetName val="Leads"/>
      <sheetName val="coverpage"/>
      <sheetName val="BALAN1"/>
      <sheetName val="Boq Block A"/>
      <sheetName val="0000000000000"/>
      <sheetName val="ABST SANITARY"/>
      <sheetName val="ABST CIVIL"/>
      <sheetName val="Rates-May-14"/>
      <sheetName val="Rates"/>
      <sheetName val="DATA_PRG"/>
      <sheetName val="BM-HOOP"/>
      <sheetName val="Main sheet"/>
      <sheetName val="Civil Boq"/>
      <sheetName val="PH data"/>
      <sheetName val="Lead"/>
      <sheetName val="Line"/>
      <sheetName val="Quarry"/>
      <sheetName val="DET R"/>
      <sheetName val="Nspt-smp-final-ORIGINAL"/>
      <sheetName val="s"/>
      <sheetName val="m"/>
      <sheetName val="cert"/>
      <sheetName val="bar bending"/>
      <sheetName val="NEW ABSTRACT "/>
      <sheetName val="SUMP1420KL@HW"/>
      <sheetName val="DATA-BASE"/>
      <sheetName val="DATA-ABSTRACT"/>
      <sheetName val="boredetails"/>
      <sheetName val="labour &amp; Centering"/>
      <sheetName val="Flanged Beams"/>
      <sheetName val="Rectangular Beam"/>
      <sheetName val="data existing_do not delete"/>
      <sheetName val="Valves"/>
      <sheetName val="MS Rates"/>
      <sheetName val="NEW "/>
      <sheetName val="basdat"/>
      <sheetName val="EDWise"/>
      <sheetName val="slab"/>
      <sheetName val="LABOUR RATE"/>
      <sheetName val="Material Rate"/>
      <sheetName val="CONNECT"/>
      <sheetName val="(4)F-81 Exp.side"/>
      <sheetName val="IDCCALHYD_GOO"/>
      <sheetName val="VIP03"/>
      <sheetName val="VIP_02"/>
      <sheetName val="(1)FILL FIRST"/>
      <sheetName val="Bitumen trunk"/>
      <sheetName val="(2)PROGRESIV EXP."/>
      <sheetName val="MTC-estimate"/>
      <sheetName val="Feeder"/>
      <sheetName val="R99 etc"/>
      <sheetName val="Trunk unpaved"/>
      <sheetName val="(3)F-81 RECV."/>
      <sheetName val="DataInput"/>
      <sheetName val="DataInput-1"/>
      <sheetName val="DI Rate Analysis"/>
      <sheetName val="Economic RisingMain  Ph-I"/>
      <sheetName val="Census_of_India_2001"/>
      <sheetName val="BASE_ALL"/>
      <sheetName val="app2"/>
      <sheetName val="Sheet6"/>
      <sheetName val="rate analysis "/>
      <sheetName val="HYDRAULICS"/>
      <sheetName val="N- Ward Codes"/>
      <sheetName val="WTP-Pr"/>
      <sheetName val="Bed Fall"/>
      <sheetName val="Title"/>
      <sheetName val="Ventway Calcul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Cover"/>
      <sheetName val="Report"/>
      <sheetName val="Gen abst "/>
      <sheetName val="Proposal"/>
      <sheetName val="Abst Bund"/>
      <sheetName val="Abst Weir"/>
      <sheetName val="Abst Sluice"/>
      <sheetName val="Abst canal"/>
      <sheetName val="PROPOSAL2"/>
      <sheetName val="MFD"/>
      <sheetName val="BUND WANKIDI"/>
      <sheetName val="WEIR WANKIDI"/>
      <sheetName val="Sluice"/>
      <sheetName val="Bund  xxxxxxxxxxx"/>
      <sheetName val="Canal..EWE  "/>
      <sheetName val="DPs "/>
      <sheetName val="canal"/>
      <sheetName val="Lead "/>
      <sheetName val="RGS"/>
      <sheetName val="LS of Bund (2)"/>
      <sheetName val="wANKIDI TANK"/>
      <sheetName val="wankidi canal."/>
      <sheetName val="Drops"/>
      <sheetName val="SP "/>
      <sheetName val="Wankidi"/>
      <sheetName val="Sheet4"/>
      <sheetName val="Canal Design"/>
      <sheetName val="Ch_9_ 1.00mt Drop"/>
      <sheetName val="Lead 14-15"/>
      <sheetName val="DATAS"/>
      <sheetName val="Sheet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6">
          <cell r="F6">
            <v>7.4999999999999997E-2</v>
          </cell>
        </row>
        <row r="7">
          <cell r="F7">
            <v>1</v>
          </cell>
        </row>
        <row r="8">
          <cell r="F8">
            <v>0.5</v>
          </cell>
          <cell r="H8">
            <v>0.5</v>
          </cell>
        </row>
        <row r="9">
          <cell r="F9">
            <v>0.45</v>
          </cell>
          <cell r="H9">
            <v>0.45</v>
          </cell>
        </row>
        <row r="10">
          <cell r="F10">
            <v>202.83600000000001</v>
          </cell>
          <cell r="H10">
            <v>201.83600000000001</v>
          </cell>
        </row>
        <row r="11">
          <cell r="F11">
            <v>203.47</v>
          </cell>
          <cell r="H11">
            <v>203.47</v>
          </cell>
        </row>
        <row r="25">
          <cell r="F25">
            <v>0.88</v>
          </cell>
        </row>
        <row r="35">
          <cell r="H35">
            <v>1</v>
          </cell>
        </row>
        <row r="42">
          <cell r="H42">
            <v>3</v>
          </cell>
        </row>
      </sheetData>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
      <sheetName val="Taps"/>
      <sheetName val="CR"/>
      <sheetName val="Sheet1"/>
      <sheetName val="r"/>
      <sheetName val="maya"/>
    </sheetNames>
    <sheetDataSet>
      <sheetData sheetId="0"/>
      <sheetData sheetId="1"/>
      <sheetData sheetId="2"/>
      <sheetData sheetId="3">
        <row r="19">
          <cell r="A19" t="str">
            <v>C.C (1:3:6) Mix  using 40mm  H.B.G metal including cost &amp; conveyance of all materials and labour charges seigniorage charges etc complete.</v>
          </cell>
        </row>
        <row r="20">
          <cell r="A20">
            <v>0</v>
          </cell>
        </row>
        <row r="21">
          <cell r="A21" t="str">
            <v xml:space="preserve">C.C (1:3:6) Mix using 20mm  H.B.G metal including cost &amp; conveyance of all materials and labour charges seigniorage charges etc complete.  </v>
          </cell>
        </row>
        <row r="22">
          <cell r="A22">
            <v>0</v>
          </cell>
        </row>
        <row r="98">
          <cell r="B98" t="str">
            <v>63MM dia PVC Saddle</v>
          </cell>
        </row>
        <row r="99">
          <cell r="B99" t="str">
            <v>75MM dia PVC Saddle</v>
          </cell>
        </row>
        <row r="100">
          <cell r="B100" t="str">
            <v>90MM dia PVC Saddle</v>
          </cell>
        </row>
        <row r="101">
          <cell r="B101" t="str">
            <v>110MM  dia PVC Saddle</v>
          </cell>
        </row>
        <row r="102">
          <cell r="B102" t="str">
            <v>180MM  dia PVC Saddle</v>
          </cell>
        </row>
        <row r="120">
          <cell r="B120" t="str">
            <v>GI Pipe</v>
          </cell>
        </row>
        <row r="121">
          <cell r="B121" t="str">
            <v>15mm dia GI Pipe B-class</v>
          </cell>
        </row>
        <row r="122">
          <cell r="B122" t="str">
            <v>20mm dia GI Pipe B-class</v>
          </cell>
        </row>
        <row r="123">
          <cell r="B123" t="str">
            <v>25mm dia GI Pipe B-class</v>
          </cell>
        </row>
        <row r="124">
          <cell r="B124" t="str">
            <v>40mm dia GI Pipe B-class</v>
          </cell>
        </row>
        <row r="125">
          <cell r="B125" t="str">
            <v>50mm dia GI Pipe B-class</v>
          </cell>
        </row>
        <row r="126">
          <cell r="B126" t="str">
            <v>65mm dia GI Pipe B-class</v>
          </cell>
        </row>
        <row r="127">
          <cell r="B127" t="str">
            <v>80mm dia GI Pipe B-class</v>
          </cell>
        </row>
        <row r="128">
          <cell r="B128" t="str">
            <v>100mm dia GI Pipe B-class</v>
          </cell>
        </row>
        <row r="129">
          <cell r="B129" t="str">
            <v>125mm dia GI Pipe B-class</v>
          </cell>
        </row>
        <row r="130">
          <cell r="B130" t="str">
            <v>GI Union</v>
          </cell>
        </row>
        <row r="131">
          <cell r="B131" t="str">
            <v>15mm dia GI Heavy Union</v>
          </cell>
        </row>
        <row r="132">
          <cell r="B132" t="str">
            <v>20mm dia GI Heavy Union</v>
          </cell>
        </row>
        <row r="133">
          <cell r="B133" t="str">
            <v>25mm dia GI Heavy Union</v>
          </cell>
        </row>
        <row r="134">
          <cell r="B134" t="str">
            <v>40mm dia GI Heavy Union</v>
          </cell>
        </row>
        <row r="135">
          <cell r="B135" t="str">
            <v>50mm dia GI Heavy Union</v>
          </cell>
        </row>
        <row r="136">
          <cell r="B136" t="str">
            <v>65mm dia GI Heavy Union</v>
          </cell>
        </row>
        <row r="137">
          <cell r="B137" t="str">
            <v>80mm dia GI Heavy Union</v>
          </cell>
        </row>
        <row r="138">
          <cell r="B138" t="str">
            <v>100mm dia GI Heavy Union</v>
          </cell>
        </row>
        <row r="139">
          <cell r="B139" t="str">
            <v>GI Elbow</v>
          </cell>
        </row>
        <row r="140">
          <cell r="B140" t="str">
            <v>15mm dia GI Elbow</v>
          </cell>
        </row>
        <row r="141">
          <cell r="B141" t="str">
            <v>20mm dia GI Elbow</v>
          </cell>
        </row>
        <row r="142">
          <cell r="B142" t="str">
            <v>25mm dia GI Elbow</v>
          </cell>
        </row>
        <row r="143">
          <cell r="B143" t="str">
            <v>40mm dia GI Elbow</v>
          </cell>
        </row>
        <row r="144">
          <cell r="B144" t="str">
            <v>50mm dia GI Elbow</v>
          </cell>
        </row>
        <row r="145">
          <cell r="B145" t="str">
            <v>65mm dia GI Elbow</v>
          </cell>
        </row>
        <row r="146">
          <cell r="B146" t="str">
            <v>80mm dia GI Elbow</v>
          </cell>
        </row>
        <row r="147">
          <cell r="B147" t="str">
            <v>100mm dia GI Elbow</v>
          </cell>
        </row>
        <row r="148">
          <cell r="B148" t="str">
            <v>125mm dia GI Elbow</v>
          </cell>
        </row>
        <row r="149">
          <cell r="B149" t="str">
            <v>GI Cooupling</v>
          </cell>
        </row>
        <row r="150">
          <cell r="B150" t="str">
            <v>15mm dia GI Coupling</v>
          </cell>
        </row>
        <row r="151">
          <cell r="B151" t="str">
            <v>20mm dia GI Coupling</v>
          </cell>
        </row>
        <row r="152">
          <cell r="B152" t="str">
            <v>25mm dia GI Coupling</v>
          </cell>
        </row>
        <row r="153">
          <cell r="B153" t="str">
            <v>40mm dia GI Coupling</v>
          </cell>
        </row>
        <row r="154">
          <cell r="B154" t="str">
            <v>50mm dia GI Coupling</v>
          </cell>
        </row>
        <row r="155">
          <cell r="B155" t="str">
            <v>65mm dia GI Coupling</v>
          </cell>
        </row>
        <row r="156">
          <cell r="B156" t="str">
            <v>80mm dia GI Coupling</v>
          </cell>
        </row>
        <row r="157">
          <cell r="B157" t="str">
            <v>100mm dia GI Coupling</v>
          </cell>
        </row>
        <row r="158">
          <cell r="B158" t="str">
            <v>125mm dia GI Coupling</v>
          </cell>
        </row>
        <row r="159">
          <cell r="B159" t="str">
            <v>GI Nipple</v>
          </cell>
        </row>
        <row r="160">
          <cell r="B160" t="str">
            <v>15mm dia GI Nipple</v>
          </cell>
        </row>
        <row r="161">
          <cell r="B161" t="str">
            <v>20mm dia GI Nipple</v>
          </cell>
        </row>
        <row r="162">
          <cell r="B162" t="str">
            <v>25mm dia GI Nipple</v>
          </cell>
        </row>
        <row r="163">
          <cell r="B163" t="str">
            <v>40mm dia GI Nipple</v>
          </cell>
        </row>
        <row r="164">
          <cell r="B164" t="str">
            <v>50mm dia GI Nipple</v>
          </cell>
        </row>
        <row r="165">
          <cell r="B165" t="str">
            <v>65mm dia GI Nipple</v>
          </cell>
        </row>
        <row r="166">
          <cell r="B166" t="str">
            <v>80mm dia GI Nipple</v>
          </cell>
        </row>
        <row r="167">
          <cell r="B167" t="str">
            <v>100mm dia GI Nipple</v>
          </cell>
        </row>
        <row r="168">
          <cell r="B168" t="str">
            <v>125mm dia GI Nipple</v>
          </cell>
        </row>
        <row r="169">
          <cell r="B169" t="str">
            <v>GI Bend</v>
          </cell>
        </row>
        <row r="170">
          <cell r="B170" t="str">
            <v>15mm dia GI Bend</v>
          </cell>
        </row>
        <row r="171">
          <cell r="B171" t="str">
            <v>20mm dia GI Bend</v>
          </cell>
        </row>
        <row r="172">
          <cell r="B172" t="str">
            <v>25mm dia GI Bend</v>
          </cell>
        </row>
        <row r="173">
          <cell r="B173" t="str">
            <v>40mm dia GI Bend</v>
          </cell>
        </row>
        <row r="174">
          <cell r="B174" t="str">
            <v>50mm dia GI Bend</v>
          </cell>
        </row>
        <row r="175">
          <cell r="B175" t="str">
            <v>65mm dia GI Bend</v>
          </cell>
        </row>
        <row r="176">
          <cell r="B176" t="str">
            <v>80mm dia GI Bend</v>
          </cell>
        </row>
        <row r="177">
          <cell r="B177" t="str">
            <v>100mm dia GI Bend</v>
          </cell>
        </row>
        <row r="178">
          <cell r="B178" t="str">
            <v>125mm dia GI Bend</v>
          </cell>
        </row>
        <row r="179">
          <cell r="B179" t="str">
            <v>GI equal Tee</v>
          </cell>
        </row>
        <row r="180">
          <cell r="B180" t="str">
            <v>15mm dia GI equal T</v>
          </cell>
        </row>
        <row r="181">
          <cell r="B181" t="str">
            <v>20mm dia GI equal T</v>
          </cell>
        </row>
        <row r="182">
          <cell r="B182" t="str">
            <v>25mm dia GI equal T</v>
          </cell>
        </row>
        <row r="183">
          <cell r="B183" t="str">
            <v>40mm dia GI equal T</v>
          </cell>
        </row>
        <row r="184">
          <cell r="B184" t="str">
            <v>50mm dia GI equal T</v>
          </cell>
        </row>
        <row r="185">
          <cell r="B185" t="str">
            <v>65mm dia GI equal T</v>
          </cell>
        </row>
        <row r="186">
          <cell r="B186" t="str">
            <v>80mm dia GI equal T</v>
          </cell>
        </row>
        <row r="187">
          <cell r="B187" t="str">
            <v>100mm dia GI equal T</v>
          </cell>
        </row>
        <row r="188">
          <cell r="B188" t="str">
            <v>125mm dia GI equal T</v>
          </cell>
        </row>
        <row r="189">
          <cell r="B189" t="str">
            <v>CI Dummy</v>
          </cell>
        </row>
        <row r="190">
          <cell r="B190" t="str">
            <v>15mm dia CI Dummy</v>
          </cell>
        </row>
        <row r="191">
          <cell r="B191" t="str">
            <v>20mm dia CI Dummy</v>
          </cell>
        </row>
        <row r="192">
          <cell r="B192" t="str">
            <v>25mm dia CI Dummy</v>
          </cell>
        </row>
        <row r="193">
          <cell r="B193" t="str">
            <v>40mm dia CI Dummy</v>
          </cell>
        </row>
        <row r="194">
          <cell r="B194" t="str">
            <v>50mm dia CI Dummy</v>
          </cell>
        </row>
        <row r="195">
          <cell r="B195" t="str">
            <v>65mm dia CI Dummy</v>
          </cell>
        </row>
        <row r="196">
          <cell r="B196" t="str">
            <v>80mm dia CI Dummy</v>
          </cell>
        </row>
        <row r="197">
          <cell r="B197" t="str">
            <v>100mm dia CI Dummy</v>
          </cell>
        </row>
        <row r="198">
          <cell r="B198" t="str">
            <v>125mm dia CI Dummy</v>
          </cell>
        </row>
        <row r="199">
          <cell r="B199" t="str">
            <v>CI Foot Valve</v>
          </cell>
        </row>
        <row r="200">
          <cell r="B200" t="str">
            <v>50mm dia CI Foot valve</v>
          </cell>
        </row>
        <row r="201">
          <cell r="B201" t="str">
            <v>65mm dia CI Foot valve</v>
          </cell>
        </row>
        <row r="202">
          <cell r="B202" t="str">
            <v>80mm dia CI Foot valve</v>
          </cell>
        </row>
        <row r="203">
          <cell r="B203" t="str">
            <v>100mm dia CI Foot valve</v>
          </cell>
        </row>
        <row r="204">
          <cell r="B204" t="str">
            <v>CI Check valve</v>
          </cell>
        </row>
        <row r="205">
          <cell r="B205" t="str">
            <v>50mm dia CI Check valve</v>
          </cell>
        </row>
        <row r="206">
          <cell r="B206" t="str">
            <v>65mm dia CI Check valve</v>
          </cell>
        </row>
        <row r="207">
          <cell r="B207" t="str">
            <v>80mm dia CI Check valve</v>
          </cell>
        </row>
        <row r="208">
          <cell r="B208" t="str">
            <v>100mm dia CI Check valve</v>
          </cell>
        </row>
        <row r="209">
          <cell r="B209" t="str">
            <v>125mm dia CI Check valve</v>
          </cell>
        </row>
        <row r="210">
          <cell r="B210" t="str">
            <v>GM GATE VALVE</v>
          </cell>
        </row>
        <row r="211">
          <cell r="B211" t="str">
            <v>15mm dia GM Gate valve</v>
          </cell>
        </row>
        <row r="212">
          <cell r="B212" t="str">
            <v>20mm dia GM Gate valve</v>
          </cell>
        </row>
        <row r="213">
          <cell r="B213" t="str">
            <v>25mm dia GM Gate valve</v>
          </cell>
        </row>
        <row r="214">
          <cell r="B214" t="str">
            <v>40mm dia GM Gate valve</v>
          </cell>
        </row>
        <row r="215">
          <cell r="B215" t="str">
            <v>50mm dia GM Gate valve</v>
          </cell>
        </row>
        <row r="216">
          <cell r="B216" t="str">
            <v>65mm dia GM Gate valve</v>
          </cell>
        </row>
        <row r="217">
          <cell r="B217" t="str">
            <v>80mm dia GM Gate valve</v>
          </cell>
        </row>
        <row r="218">
          <cell r="B218" t="str">
            <v>100mm dia GM Gate valve</v>
          </cell>
        </row>
        <row r="219">
          <cell r="B219" t="str">
            <v>GI Reduced Tees</v>
          </cell>
        </row>
        <row r="220">
          <cell r="B220" t="str">
            <v>50 x 50 x 25mm dia GI reduced Tee</v>
          </cell>
        </row>
        <row r="221">
          <cell r="B221" t="str">
            <v>65 x 65 x 50mm dia GI reduced Tee</v>
          </cell>
        </row>
        <row r="222">
          <cell r="B222" t="str">
            <v>80 x 80 x 50mm dia GI reduced Tee</v>
          </cell>
        </row>
        <row r="223">
          <cell r="B223" t="str">
            <v>80 x 80 x 65mm dia GI reduced Tee</v>
          </cell>
        </row>
        <row r="224">
          <cell r="B224" t="str">
            <v>100 x 100 x 80mm dia GI reduced Tee</v>
          </cell>
        </row>
        <row r="225">
          <cell r="B225" t="str">
            <v>125 x 125 x 100mm dia GI reduced Tee</v>
          </cell>
        </row>
        <row r="226">
          <cell r="B226" t="str">
            <v>GI Reducers</v>
          </cell>
        </row>
        <row r="227">
          <cell r="B227" t="str">
            <v>40 X 20mm dia GI Reducer</v>
          </cell>
        </row>
        <row r="228">
          <cell r="B228" t="str">
            <v>65 X 50mm dia GI Reducer</v>
          </cell>
        </row>
        <row r="229">
          <cell r="B229" t="str">
            <v>80 X 50mm dia GI Reducer</v>
          </cell>
        </row>
        <row r="230">
          <cell r="B230" t="str">
            <v>80 X 65mm dia GI Reducer</v>
          </cell>
        </row>
        <row r="231">
          <cell r="B231" t="str">
            <v>100 X 50mm dia GI Reducer</v>
          </cell>
        </row>
        <row r="232">
          <cell r="B232" t="str">
            <v>100 X 65mm dia GI Reducer</v>
          </cell>
        </row>
        <row r="233">
          <cell r="B233" t="str">
            <v>100 X 80mm dia GI Reducer</v>
          </cell>
        </row>
        <row r="234">
          <cell r="B234" t="str">
            <v>125 X 80mm dia GI Reducer</v>
          </cell>
        </row>
        <row r="235">
          <cell r="B235" t="str">
            <v>Others</v>
          </cell>
        </row>
        <row r="236">
          <cell r="B236" t="str">
            <v>C&amp; S of  900mm diaRCC rings</v>
          </cell>
        </row>
        <row r="237">
          <cell r="B237" t="str">
            <v>C&amp; S of  750mm diaRCC rings</v>
          </cell>
        </row>
        <row r="238">
          <cell r="B238" t="str">
            <v>C&amp; S of  750mm diaRCC rings</v>
          </cell>
        </row>
        <row r="239">
          <cell r="B239" t="str">
            <v>20mm dia GI Ferrule</v>
          </cell>
        </row>
        <row r="240">
          <cell r="B240" t="str">
            <v>20mm dia GI Waste not Tap</v>
          </cell>
        </row>
        <row r="241">
          <cell r="B241" t="str">
            <v>L/C for fixing of Public Taps</v>
          </cell>
        </row>
        <row r="242">
          <cell r="B242" t="str">
            <v>25 x 20mm dia GI Elbow</v>
          </cell>
        </row>
        <row r="243">
          <cell r="B243" t="str">
            <v>40 x 25mm dia GI reducer</v>
          </cell>
        </row>
      </sheetData>
      <sheetData sheetId="4" refreshError="1"/>
      <sheetData sheetId="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GENERAL Abs. (2)"/>
      <sheetName val="GENERAL Abs."/>
      <sheetName val="abstract (3)"/>
      <sheetName val="detail (3)"/>
      <sheetName val="Data "/>
      <sheetName val="cERTIFICATES"/>
      <sheetName val="lead"/>
      <sheetName val="SEIGNIORAGE (2)"/>
    </sheetNames>
    <sheetDataSet>
      <sheetData sheetId="0"/>
      <sheetData sheetId="1"/>
      <sheetData sheetId="2"/>
      <sheetData sheetId="3"/>
      <sheetData sheetId="4"/>
      <sheetData sheetId="5">
        <row r="9">
          <cell r="D9" t="str">
            <v>Per cum</v>
          </cell>
        </row>
      </sheetData>
      <sheetData sheetId="6"/>
      <sheetData sheetId="7"/>
      <sheetData sheetId="8"/>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lip (3)"/>
      <sheetName val="Check slip (2)"/>
      <sheetName val="20 Coloumn Proforma"/>
      <sheetName val="Lead Calculation"/>
      <sheetName val="Lead statement"/>
      <sheetName val="Data_Selection"/>
      <sheetName val="Data"/>
      <sheetName val="R&amp;B_Data"/>
      <sheetName val="All_Data"/>
      <sheetName val="General_Abstract"/>
      <sheetName val="Check dam"/>
      <sheetName val="Data (2)"/>
      <sheetName val="Sluices"/>
      <sheetName val="Sheet2"/>
    </sheetNames>
    <sheetDataSet>
      <sheetData sheetId="0"/>
      <sheetData sheetId="1"/>
      <sheetData sheetId="2"/>
      <sheetData sheetId="3"/>
      <sheetData sheetId="4">
        <row r="7">
          <cell r="O7">
            <v>0</v>
          </cell>
        </row>
        <row r="10">
          <cell r="F10">
            <v>52</v>
          </cell>
        </row>
      </sheetData>
      <sheetData sheetId="5"/>
      <sheetData sheetId="6"/>
      <sheetData sheetId="7"/>
      <sheetData sheetId="8"/>
      <sheetData sheetId="9"/>
      <sheetData sheetId="10"/>
      <sheetData sheetId="11"/>
      <sheetData sheetId="12"/>
      <sheetData sheetId="13"/>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infallspur"/>
      <sheetName val="SMRYQTYBND"/>
      <sheetName val="abstractbnd"/>
      <sheetName val="abstr_sluice"/>
      <sheetName val="Abstrtsrpls"/>
      <sheetName val="Abstrtweir"/>
      <sheetName val="bcratio"/>
      <sheetName val="GEN_abstrct"/>
      <sheetName val="GABcnls"/>
      <sheetName val="CNAL_ew_abst"/>
      <sheetName val="canal_LF_ewest"/>
      <sheetName val="canal_rf_est"/>
      <sheetName val="AB1mdrp"/>
      <sheetName val="AB2vput"/>
      <sheetName val="ABDLRCLVRT"/>
      <sheetName val="dist_est"/>
      <sheetName val="distl_ewest "/>
      <sheetName val="canal_design"/>
      <sheetName val="canal_dist_des"/>
      <sheetName val="profarma"/>
      <sheetName val="gnut"/>
      <sheetName val="maize"/>
      <sheetName val="jawar"/>
      <sheetName val="PADDY"/>
      <sheetName val="capacitytable"/>
      <sheetName val="total_demand"/>
      <sheetName val="yielddist"/>
      <sheetName val="RGMTBL"/>
      <sheetName val="surplus"/>
      <sheetName val="rainfall"/>
      <sheetName val="ABSTAWCNAL"/>
      <sheetName val="AB2vslb"/>
      <sheetName val="canal_ewest"/>
      <sheetName val="S_PURAM"/>
      <sheetName val="canalcutng"/>
      <sheetName val="canalb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I"/>
      <sheetName val="C-III"/>
      <sheetName val="C-IV"/>
      <sheetName val="A-1"/>
      <sheetName val="A-II"/>
      <sheetName val="A-III"/>
      <sheetName val="A-IV"/>
      <sheetName val="A-V"/>
      <sheetName val="A-VI"/>
      <sheetName val="A-VII"/>
      <sheetName val="St P"/>
      <sheetName val="CRUST"/>
      <sheetName val="A-VIII"/>
      <sheetName val="Cover"/>
      <sheetName val="GABST"/>
      <sheetName val="TCS"/>
      <sheetName val="TCS1"/>
      <sheetName val="ES"/>
      <sheetName val="SPR"/>
      <sheetName val="C-VIII"/>
      <sheetName val="EST"/>
      <sheetName val="1V800"/>
      <sheetName val="BTR"/>
      <sheetName val="CBR"/>
      <sheetName val="BC"/>
      <sheetName val="RMR"/>
      <sheetName val="Road data"/>
      <sheetName val="Sheet1"/>
      <sheetName val="Sheet2"/>
      <sheetName val="Sheet3"/>
      <sheetName val="Sheet4"/>
      <sheetName val="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I"/>
      <sheetName val="C-III"/>
      <sheetName val="C-IV"/>
      <sheetName val="A-1"/>
      <sheetName val="A-II"/>
      <sheetName val="A-III"/>
      <sheetName val="A-IV"/>
      <sheetName val="A-V"/>
      <sheetName val="A-VI"/>
      <sheetName val="A-VII"/>
      <sheetName val="St P"/>
      <sheetName val="CRUST"/>
      <sheetName val="A-VIII"/>
      <sheetName val="Cover"/>
      <sheetName val="GABST"/>
      <sheetName val="TCS"/>
      <sheetName val="TCS1"/>
      <sheetName val="ES"/>
      <sheetName val="SPR"/>
      <sheetName val="C-VIII"/>
      <sheetName val="EST"/>
      <sheetName val="1V800"/>
      <sheetName val="BTR"/>
      <sheetName val="CBR"/>
      <sheetName val="BC"/>
      <sheetName val="RMR"/>
      <sheetName val="Road data"/>
      <sheetName val="Sheet1"/>
      <sheetName val="Sheet2"/>
      <sheetName val="Sheet3"/>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0">
          <cell r="C10">
            <v>5</v>
          </cell>
        </row>
      </sheetData>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cost"/>
      <sheetName val="abs_leadcharges"/>
      <sheetName val="Leadstatement"/>
      <sheetName val="leadcharges"/>
      <sheetName val="leadcharges_14%"/>
      <sheetName val="Data"/>
      <sheetName val="abstact_of_items"/>
      <sheetName val="Item_abst"/>
      <sheetName val="Abst_Estimate"/>
      <sheetName val="Bal_qty"/>
      <sheetName val="Total_qt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cost"/>
      <sheetName val="abs_leadcharges"/>
      <sheetName val="Leadstatement"/>
      <sheetName val="leadcharges"/>
      <sheetName val="leadcharges_14%"/>
      <sheetName val="Data"/>
      <sheetName val="abstact_of_items"/>
      <sheetName val="Item_abst"/>
      <sheetName val="Abst_Estimate"/>
      <sheetName val="Bal_qty"/>
      <sheetName val="Total_qt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NERAL ABS"/>
      <sheetName val="Entry"/>
      <sheetName val="Cover"/>
      <sheetName val="INDEX"/>
      <sheetName val="34 Column"/>
      <sheetName val="Inspection Report"/>
      <sheetName val="CHECK LIST"/>
      <sheetName val="CERTIFICATES"/>
      <sheetName val="REPORT"/>
      <sheetName val="Insp. note"/>
      <sheetName val="Summary Mysamma Kunta"/>
      <sheetName val="Gen_Abs"/>
      <sheetName val="BUND ABS"/>
      <sheetName val="SLUICE ABS"/>
      <sheetName val="WEIR ABS"/>
      <sheetName val="IRRI-CHANNEL ABS"/>
      <sheetName val="SILT REMOVAL"/>
      <sheetName val="Det.Est."/>
      <sheetName val="Desiltation"/>
      <sheetName val="Basic Rates"/>
      <sheetName val="Data 2014-15"/>
      <sheetName val="ACTUAL LEAD"/>
      <sheetName val="DEDUCTED LEAD"/>
      <sheetName val="Bund Cross Sections"/>
      <sheetName val="Bund CS"/>
      <sheetName val="BUND SECTIONS Avg."/>
      <sheetName val="Bund CS Shrinkage"/>
      <sheetName val="NEW Sluice Sections"/>
      <sheetName val="Weir Section"/>
      <sheetName val="Quarry Map"/>
      <sheetName val="34 COL F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 val="Total_Dema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MEstt."/>
      <sheetName val="ABST(PART B) "/>
      <sheetName val="F6-Gnrl Abstrt"/>
      <sheetName val="Lead"/>
      <sheetName val="Data.F8.BTR"/>
      <sheetName val="F6-Estt"/>
      <sheetName val="sub-data -no full"/>
      <sheetName val="Labour"/>
      <sheetName val="Machinery"/>
      <sheetName val="Sheet1"/>
      <sheetName val="Diff stmnt (2)"/>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_Slip-1"/>
      <sheetName val="Check Slip"/>
      <sheetName val="Abstract"/>
      <sheetName val="Detail "/>
      <sheetName val="Data "/>
      <sheetName val="Lead !"/>
      <sheetName val="Lead Charges !"/>
      <sheetName val="seiniorage"/>
      <sheetName val="Sheet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3"/>
      <sheetName val="DATA_ENTRY"/>
      <sheetName val="0000000000000"/>
      <sheetName val="1000000000000"/>
      <sheetName val="Data"/>
      <sheetName val="RMR"/>
      <sheetName val="MDetEst"/>
      <sheetName val="MAbsEst"/>
      <sheetName val="MESTDetAbs"/>
      <sheetName val="Certificates"/>
      <sheetName val="WALads"/>
      <sheetName val="MRoad data"/>
      <sheetName val="M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QC check slip"/>
      <sheetName val="Det bund"/>
      <sheetName val="Sluice abs"/>
      <sheetName val="DET SLUICE"/>
      <sheetName val="ABS weir"/>
      <sheetName val="det weir"/>
      <sheetName val="ABS IC"/>
      <sheetName val="DET IC"/>
      <sheetName val="DP &amp; CB"/>
      <sheetName val="abs kind"/>
      <sheetName val="det kind"/>
      <sheetName val="QC check slip (2)"/>
      <sheetName val="PP11"/>
      <sheetName val="PP12"/>
      <sheetName val="CC.Run."/>
      <sheetName val="Part"/>
      <sheetName val="CC.Fin"/>
      <sheetName val="Final"/>
      <sheetName val="Cert."/>
      <sheetName val="VAT"/>
      <sheetName val="NAC"/>
      <sheetName val="Com.Rpt"/>
      <sheetName val="SC"/>
      <sheetName val="Workslip"/>
      <sheetName val="WD com.stt."/>
      <sheetName val="LATEST DATA"/>
      <sheetName val="lead"/>
      <sheetName val="(-) lead"/>
      <sheetName val="INPUT"/>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
      <sheetName val="Conveyance"/>
      <sheetName val="Labour"/>
      <sheetName val="Common "/>
      <sheetName val="building"/>
      <sheetName val="RMR"/>
      <sheetName val="Data"/>
      <sheetName val="DAE"/>
      <sheetName val="GA "/>
    </sheetNames>
    <sheetDataSet>
      <sheetData sheetId="0"/>
      <sheetData sheetId="1"/>
      <sheetData sheetId="2"/>
      <sheetData sheetId="3">
        <row r="21">
          <cell r="D21">
            <v>148</v>
          </cell>
        </row>
        <row r="22">
          <cell r="D22">
            <v>102</v>
          </cell>
        </row>
      </sheetData>
      <sheetData sheetId="4"/>
      <sheetData sheetId="5"/>
      <sheetData sheetId="6"/>
      <sheetData sheetId="7"/>
      <sheetData sheetId="8"/>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p"/>
      <sheetName val="data_new"/>
      <sheetName val="lead-st"/>
      <sheetName val="v"/>
      <sheetName val="r"/>
      <sheetName val="l"/>
      <sheetName val="Labour"/>
    </sheetNames>
    <sheetDataSet>
      <sheetData sheetId="0" refreshError="1"/>
      <sheetData sheetId="1" refreshError="1"/>
      <sheetData sheetId="2" refreshError="1"/>
      <sheetData sheetId="3" refreshError="1"/>
      <sheetData sheetId="4" refreshError="1">
        <row r="2">
          <cell r="F2">
            <v>100</v>
          </cell>
        </row>
        <row r="3">
          <cell r="F3">
            <v>90</v>
          </cell>
        </row>
        <row r="4">
          <cell r="F4">
            <v>65</v>
          </cell>
        </row>
        <row r="30">
          <cell r="F30">
            <v>0.25</v>
          </cell>
        </row>
      </sheetData>
      <sheetData sheetId="5" refreshError="1"/>
      <sheetData sheetId="6"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MEstt."/>
      <sheetName val="ABST(PART B) "/>
      <sheetName val="F6-Gnrl Abstrt"/>
      <sheetName val="04-05"/>
      <sheetName val="Lead"/>
      <sheetName val="sub-data "/>
      <sheetName val="Data.F8.BTR"/>
      <sheetName val="F6-Estt"/>
      <sheetName val="sub estt"/>
      <sheetName val="Labour"/>
      <sheetName val="Machinery"/>
      <sheetName val="Sheet1"/>
      <sheetName val="Data_F8_BTR"/>
      <sheetName val="lead-st"/>
      <sheetName val="rdamdata"/>
      <sheetName val="Cover-MEstt_"/>
      <sheetName val="ABST(PART_B)_"/>
      <sheetName val="F6-Gnrl_Abstrt"/>
      <sheetName val="sub-data_"/>
      <sheetName val="sub_estt"/>
      <sheetName val="Common "/>
      <sheetName val="r"/>
      <sheetName val="Work_sheet"/>
      <sheetName val="Cover-MEstt_1"/>
      <sheetName val="ABST(PART_B)_1"/>
      <sheetName val="F6-Gnrl_Abstrt1"/>
      <sheetName val="sub-data_1"/>
      <sheetName val="Data_F8_BTR1"/>
      <sheetName val="sub_estt1"/>
      <sheetName val="Common_"/>
      <sheetName val="MRATES"/>
      <sheetName val="DATA_PRG"/>
      <sheetName val="Material"/>
      <sheetName val="Plant &amp;  Machinery"/>
      <sheetName val="segments-details"/>
      <sheetName val="int-Dia-hdpe"/>
      <sheetName val="habs-list"/>
      <sheetName val="int-Dia-pvc"/>
      <sheetName val="Lead statement ss5"/>
      <sheetName val="DATA"/>
      <sheetName val="Road data"/>
      <sheetName val="mlead"/>
      <sheetName val="abs road"/>
      <sheetName val="R_Det"/>
      <sheetName val="Works"/>
      <sheetName val="RMR"/>
      <sheetName val="General"/>
      <sheetName val="v"/>
      <sheetName val="t_prsr"/>
      <sheetName val="id"/>
      <sheetName val="wh_data"/>
      <sheetName val="wh_data_R"/>
      <sheetName val="CPHEEO"/>
      <sheetName val="input"/>
      <sheetName val="Class IV Qtr. Ele"/>
      <sheetName val="coverpage"/>
      <sheetName val="Lead statement"/>
      <sheetName val="m"/>
      <sheetName val="Levels"/>
      <sheetName val="maya"/>
      <sheetName val="PUMP_DATA"/>
      <sheetName val="leads"/>
      <sheetName val="Avenue Plantation "/>
      <sheetName val="farmyard"/>
      <sheetName val="In put soft"/>
      <sheetName val="softscape data "/>
      <sheetName val="est input"/>
      <sheetName val="C-data  2)"/>
      <sheetName val="conveyance "/>
      <sheetName val="Civil SoR"/>
      <sheetName val="WS SoR "/>
      <sheetName val="C-data  for sub est"/>
      <sheetName val="Chain link mesh "/>
      <sheetName val="MS Grill CW"/>
      <sheetName val=" SS Gate (2)"/>
      <sheetName val=" Barbed wire (2)"/>
      <sheetName val="Genera Abstract Estimate "/>
      <sheetName val="Joinery"/>
      <sheetName val="WS Data"/>
      <sheetName val="Entrance Arch ( H )"/>
      <sheetName val="Entrance Arch ( CH )"/>
      <sheetName val="Soft Scape"/>
      <sheetName val="1.Hard Scape "/>
      <sheetName val="2"/>
      <sheetName val="Sliding Gate"/>
      <sheetName val="Boundary Wall"/>
      <sheetName val="Toilet 5X3m"/>
      <sheetName val="Shower Area 4X1.5m"/>
      <sheetName val="Cremains Room 5X5m"/>
      <sheetName val="Office Room 6X6m"/>
      <sheetName val="Security Room 3X3m"/>
      <sheetName val="Store Room 6X5.7m"/>
      <sheetName val="Mortury 6X6m"/>
      <sheetName val="Pre Ritual Area 8X8m"/>
      <sheetName val="Post Ritual Area 6X5m"/>
      <sheetName val="Electric Crematorioum 15X15m"/>
      <sheetName val="Conventional Crematorium6.2X5.2"/>
      <sheetName val="Office cum Security Room 7X4m"/>
      <sheetName val="Chain link mesh fencing "/>
      <sheetName val="CI"/>
      <sheetName val="DI"/>
      <sheetName val="G.R.P"/>
      <sheetName val="HDPE"/>
      <sheetName val="PSC REVISED"/>
      <sheetName val="pvc"/>
      <sheetName val="F6-Est4"/>
      <sheetName val="SUMP1420KL@HW"/>
      <sheetName val="Sheet2"/>
      <sheetName val="hdpe_basic"/>
      <sheetName val="pvc_basic"/>
      <sheetName val="Cover"/>
      <sheetName val="Specification"/>
      <sheetName val="GROUND FLOOR"/>
      <sheetName val="nodes"/>
      <sheetName val="int-Dia"/>
      <sheetName val="JAWAHAR-hyd-original"/>
      <sheetName val="Rate"/>
      <sheetName val="PM&amp;GM"/>
      <sheetName val="AV-PVC"/>
      <sheetName val="DI gate-DI"/>
      <sheetName val="DIgate_PVC "/>
      <sheetName val="sg-clay(d)"/>
      <sheetName val="LS"/>
      <sheetName val="BWSCPlt"/>
      <sheetName val="DATA-BASE"/>
      <sheetName val="DATA-ABSTRACT"/>
      <sheetName val="Bitumen trunk"/>
      <sheetName val="Feeder"/>
      <sheetName val="R99 etc"/>
      <sheetName val="Trunk unpaved"/>
      <sheetName val="Bridge Data 2005-06"/>
      <sheetName val="sub-dapa "/>
      <sheetName val="Plant 㫨  Machinery"/>
      <sheetName val="Data 07-08 "/>
      <sheetName val="DATA_ENTRY"/>
      <sheetName val="CPI"/>
      <sheetName val="WPI C"/>
      <sheetName val="WPI all"/>
      <sheetName val="WPI HM"/>
      <sheetName val="WPI S"/>
      <sheetName val="SPT vs PHI"/>
      <sheetName val="SSR 2015-16"/>
      <sheetName val="DATA SHEET FOR 2012 - 13"/>
      <sheetName val="Main sheet"/>
      <sheetName val="Nspt-smp-final-ORIGINAL"/>
      <sheetName val="Sorted"/>
      <sheetName val="ABS"/>
      <sheetName val="gen"/>
      <sheetName val="Rates"/>
      <sheetName val="Data-ELSR"/>
      <sheetName val="zone-8"/>
      <sheetName val="MHNO_LEV"/>
      <sheetName val=" Data -Valves"/>
      <sheetName val="1V800"/>
      <sheetName val="Rd.Est"/>
      <sheetName val="Data rough"/>
      <sheetName val="Convey"/>
      <sheetName val="Sheet9"/>
      <sheetName val="habs-details"/>
      <sheetName val="hab-details"/>
      <sheetName val="ESTIMATE"/>
      <sheetName val="Lead Distance"/>
      <sheetName val="bundqty"/>
      <sheetName val="Mortars"/>
      <sheetName val="WATER-HAMMER"/>
      <sheetName val="20kL-design-final"/>
      <sheetName val="wh"/>
      <sheetName val="AV-HDPE"/>
      <sheetName val="Di_gate-HDPE"/>
      <sheetName val="Cover-MEstt_2"/>
      <sheetName val="ABST(PART_B)_2"/>
      <sheetName val="F6-Gnrl_Abstrt2"/>
      <sheetName val="sub-data_2"/>
      <sheetName val="Data_F8_BTR2"/>
      <sheetName val="sub_estt2"/>
      <sheetName val="Common_1"/>
      <sheetName val="Plant_&amp;__Machinery"/>
      <sheetName val="Lead_statement_ss5"/>
      <sheetName val="Lead_statement"/>
      <sheetName val="Road_data"/>
      <sheetName val="abs_road"/>
      <sheetName val="Class_IV_Qtr__Ele"/>
      <sheetName val="hdpe weights"/>
      <sheetName val="data existing_do not delete"/>
      <sheetName val="m1"/>
      <sheetName val="INPUT-DATA"/>
      <sheetName val="DL CAL"/>
      <sheetName val="Specification report"/>
      <sheetName val="SSR 2014-15 Rates"/>
      <sheetName val="Flanged Beams"/>
      <sheetName val="Rectangular Beam"/>
      <sheetName val="not req 3"/>
      <sheetName val="ultmom"/>
      <sheetName val="dlvoid"/>
      <sheetName val="final abstract"/>
      <sheetName val="G_R_P"/>
      <sheetName val="PSC_REVISED"/>
      <sheetName val="Cover-MEstt_3"/>
      <sheetName val="ABST(PART_B)_3"/>
      <sheetName val="F6-Gnrl_Abstrt3"/>
      <sheetName val="sub-data_3"/>
      <sheetName val="Data_F8_BTR3"/>
      <sheetName val="sub_estt3"/>
      <sheetName val="Common_2"/>
      <sheetName val="Lead_statement_ss51"/>
      <sheetName val="G_R_P1"/>
      <sheetName val="PSC_REVISED1"/>
      <sheetName val="Plant_&amp;__Machinery1"/>
      <sheetName val="Valves"/>
      <sheetName val="MS Rates"/>
      <sheetName val="detls"/>
      <sheetName val="C.D.Abs.Est."/>
      <sheetName val="Boq"/>
      <sheetName val="TBAL9697 -group wise  sdpl"/>
      <sheetName val="Process"/>
      <sheetName val="p&amp;m"/>
      <sheetName val="detail'02"/>
      <sheetName val="SSR 2010-11 Rates"/>
      <sheetName val="crop water req.(Kh)  "/>
      <sheetName val="Bund"/>
      <sheetName val="co_5"/>
      <sheetName val="hdpe-rates"/>
      <sheetName val="pvc-rates"/>
      <sheetName val="AV-BWSC&amp;MS"/>
      <sheetName val="AV_AC"/>
      <sheetName val="di_Gate_AC"/>
      <sheetName val="Digate-BWSCP-MS"/>
      <sheetName val="DI_gate_di"/>
      <sheetName val="LEAD (2)"/>
      <sheetName val="water-hammar-strenght"/>
      <sheetName val="FORM7"/>
      <sheetName val="LOCAL RATES"/>
      <sheetName val="TOP SLAB-beams"/>
      <sheetName val="BALAN1"/>
      <sheetName val="Data well"/>
      <sheetName val="Formulas"/>
      <sheetName val="SITE OVERHEADS"/>
      <sheetName val="BTR"/>
      <sheetName val="Line"/>
      <sheetName val="conc-foot-gradeslab"/>
      <sheetName val="MRoad data"/>
      <sheetName val="PVC weights"/>
      <sheetName val="index"/>
      <sheetName val="Global factors"/>
      <sheetName val="Z1_DATA"/>
      <sheetName val="BM-HOOP"/>
      <sheetName val="Iocount"/>
      <sheetName val="ewst"/>
      <sheetName val="_5wgdhabfinal00_01"/>
      <sheetName val="Detail In Door Stad"/>
      <sheetName val="ssr-rates"/>
      <sheetName val="1-Pop Proj"/>
      <sheetName val="sand"/>
      <sheetName val="stone"/>
      <sheetName val="Hyd_Stmt"/>
      <sheetName val="pop"/>
      <sheetName val="C-data"/>
      <sheetName val="Elect."/>
      <sheetName val="l"/>
      <sheetName val="BS8007"/>
      <sheetName val="D2_CO"/>
      <sheetName val="TCS_Schedule (2)"/>
      <sheetName val="137-140"/>
      <sheetName val="141-142"/>
      <sheetName val="ElectricalSSR"/>
      <sheetName val="Earthwork MCW"/>
      <sheetName val="TCS Proposed"/>
      <sheetName val="Road_data1"/>
      <sheetName val="abs_road1"/>
      <sheetName val="Class_IV_Qtr__Ele1"/>
      <sheetName val="Lead_statement1"/>
      <sheetName val="GROUND_FLOOR"/>
      <sheetName val="Bridge_Data_2005-06"/>
      <sheetName val="Data_07-08_"/>
      <sheetName val="DI_gate-DI"/>
      <sheetName val="DIgate_PVC_"/>
      <sheetName val="Bitumen_trunk"/>
      <sheetName val="R99_etc"/>
      <sheetName val="Trunk_unpaved"/>
      <sheetName val="sub-dapa_"/>
      <sheetName val="Plant_㫨__Machinery"/>
      <sheetName val="Avenue_Plantation_"/>
      <sheetName val="In_put_soft"/>
      <sheetName val="softscape_data_"/>
      <sheetName val="est_input"/>
      <sheetName val="C-data__2)"/>
      <sheetName val="conveyance_"/>
      <sheetName val="Civil_SoR"/>
      <sheetName val="WS_SoR_"/>
      <sheetName val="C-data__for_sub_est"/>
      <sheetName val="Chain_link_mesh_"/>
      <sheetName val="MS_Grill_CW"/>
      <sheetName val="_SS_Gate_(2)"/>
      <sheetName val="_Barbed_wire_(2)"/>
      <sheetName val="Genera_Abstract_Estimate_"/>
      <sheetName val="WS_Data"/>
      <sheetName val="Entrance_Arch_(_H_)"/>
      <sheetName val="Entrance_Arch_(_CH_)"/>
      <sheetName val="Soft_Scape"/>
      <sheetName val="1_Hard_Scape_"/>
      <sheetName val="Sliding_Gate"/>
      <sheetName val="Boundary_Wall"/>
      <sheetName val="Toilet_5X3m"/>
      <sheetName val="Shower_Area_4X1_5m"/>
      <sheetName val="Cremains_Room_5X5m"/>
      <sheetName val="Office_Room_6X6m"/>
      <sheetName val="Security_Room_3X3m"/>
      <sheetName val="Store_Room_6X5_7m"/>
      <sheetName val="Mortury_6X6m"/>
      <sheetName val="Pre_Ritual_Area_8X8m"/>
      <sheetName val="Post_Ritual_Area_6X5m"/>
      <sheetName val="Electric_Crematorioum_15X15m"/>
      <sheetName val="Conventional_Crematorium6_2X5_2"/>
      <sheetName val="Office_cum_Security_Room_7X4m"/>
      <sheetName val="Chain_link_mesh_fencing_"/>
      <sheetName val="SPT_vs_PHI"/>
      <sheetName val="WPI_C"/>
      <sheetName val="WPI_all"/>
      <sheetName val="WPI_HM"/>
      <sheetName val="WPI_S"/>
      <sheetName val="SSR_2015-16"/>
      <sheetName val="DATA_SHEET_FOR_2012_-_13"/>
      <sheetName val="Main_sheet"/>
      <sheetName val="_Data_-Valves"/>
      <sheetName val="Detailed"/>
      <sheetName val="Quarry"/>
      <sheetName val="CRUST"/>
      <sheetName val="QDTS"/>
      <sheetName val="nandipet intra"/>
      <sheetName val="data-WC"/>
      <sheetName val="DATA SHEET FOR 2014-15"/>
      <sheetName val="SSR 2016-17"/>
      <sheetName val="Sheet3"/>
      <sheetName val="dump"/>
      <sheetName val="foundation(V)"/>
      <sheetName val="Main"/>
      <sheetName val="Road data-TDR"/>
      <sheetName val="factors"/>
      <sheetName val="sup dat"/>
      <sheetName val="MRMECADAMoad data"/>
      <sheetName val="Road Detail Est."/>
      <sheetName val="1000000000000"/>
      <sheetName val="Drains Est"/>
      <sheetName val="AV-DI"/>
      <sheetName val="scour-DI-CI"/>
      <sheetName val="scour-pvc-hdpe-psc-bwsc"/>
      <sheetName val="Relig-place"/>
      <sheetName val="Structure Bills Qty"/>
      <sheetName val="#REF"/>
      <sheetName val="checked"/>
      <sheetName val="MTC-estimate"/>
      <sheetName val="Gen Abs"/>
      <sheetName val="other rates"/>
      <sheetName val="DATA-CD"/>
      <sheetName val="Bill_amt_qty_cc_1"/>
      <sheetName val="0000000000000"/>
      <sheetName val="Data-2010-11"/>
      <sheetName val="HDPE-pipe-rates"/>
      <sheetName val="pvc-pipe-rates"/>
      <sheetName val="dist dump"/>
      <sheetName val="New33KVSS_E3"/>
      <sheetName val="Prop aug of Ex 33KVSS_E3a"/>
      <sheetName val="agl-pump-sets"/>
      <sheetName val="EG"/>
      <sheetName val="pump-sets(AI)"/>
      <sheetName val="per-capita"/>
      <sheetName val="towns&amp;villages"/>
      <sheetName val="Addl.40"/>
      <sheetName val="brick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S"/>
      <sheetName val="CHECK-SLIP"/>
      <sheetName val="DESIGN NORMS"/>
      <sheetName val="DESIGN CALUCULATIONS"/>
      <sheetName val="ABSTRACT-DESIGN CALUCULATIONS"/>
      <sheetName val="GRAVITY MAIN"/>
      <sheetName val="PUMPING MAIN"/>
      <sheetName val="PUMP SETS DESIGN"/>
      <sheetName val="GENERAL-ABSTRACT"/>
      <sheetName val="COMPONENTS"/>
      <sheetName val="DATA-ABSTRACT"/>
      <sheetName val="SSR(Buildings)"/>
      <sheetName val="SSR(PH)"/>
      <sheetName val="SSR(I&amp;CAD)"/>
      <sheetName val="PVC-Rates"/>
      <sheetName val="Labour charges"/>
      <sheetName val="Labour charges(detl)"/>
      <sheetName val="LEAD STATEMENT"/>
      <sheetName val="OHSR(Detail)"/>
      <sheetName val="DUMMY_EST"/>
      <sheetName val="DATA-LIST"/>
      <sheetName val="DATA SHEET"/>
      <sheetName val="DATA OHSR"/>
      <sheetName val="DATA AC PIPES"/>
      <sheetName val="DATA PVC PIPES"/>
      <sheetName val="BORE WELL"/>
      <sheetName val="SS TANK(HOMO)"/>
      <sheetName val="SS FILTERS"/>
      <sheetName val="SS TANK(HET)"/>
      <sheetName val="SS FILTERS(SQM)"/>
      <sheetName val="OHSR"/>
      <sheetName val="TRANSMISSION MAINS"/>
      <sheetName val="PUMP SETS"/>
      <sheetName val="WEIR CHAMBER"/>
      <sheetName val="PUMP HOUSE"/>
      <sheetName val="PUMP HOUSE(SQM)"/>
      <sheetName val="CW SUMP"/>
      <sheetName val="RWW_PH"/>
      <sheetName val="RAW WATER WELL"/>
      <sheetName val="VALVE PIT"/>
      <sheetName val="FLOW-DIAGRAM"/>
      <sheetName val="DATA-BASE"/>
      <sheetName val="TRANS.MAINS.LEVELS"/>
      <sheetName val="SSF(INT.CONS)"/>
      <sheetName val="DATA_ABSTRACT"/>
      <sheetName val="DATA_BASE"/>
      <sheetName val="m"/>
      <sheetName val="Labour"/>
      <sheetName val="Material"/>
      <sheetName val="Plant &amp;  Machinery"/>
      <sheetName val="Data.F8.BTR"/>
      <sheetName val="DESIGN_NORMS"/>
      <sheetName val="DESIGN_CALUCULATIONS"/>
      <sheetName val="ABSTRACT-DESIGN_CALUCULATIONS"/>
      <sheetName val="GRAVITY_MAIN"/>
      <sheetName val="PUMPING_MAIN"/>
      <sheetName val="PUMP_SETS_DESIGN"/>
      <sheetName val="Labour_charges"/>
      <sheetName val="Labour_charges(detl)"/>
      <sheetName val="LEAD_STATEMENT"/>
      <sheetName val="DATA_SHEET"/>
      <sheetName val="DATA_OHSR"/>
      <sheetName val="DATA_AC_PIPES"/>
      <sheetName val="DATA_PVC_PIPES"/>
      <sheetName val="BORE_WELL"/>
      <sheetName val="SS_TANK(HOMO)"/>
      <sheetName val="SS_FILTERS"/>
      <sheetName val="SS_TANK(HET)"/>
      <sheetName val="SS_FILTERS(SQM)"/>
      <sheetName val="TRANSMISSION_MAINS"/>
      <sheetName val="PUMP_SETS"/>
      <sheetName val="WEIR_CHAMBER"/>
      <sheetName val="PUMP_HOUSE"/>
      <sheetName val="PUMP_HOUSE(SQM)"/>
      <sheetName val="CW_SUMP"/>
      <sheetName val="RAW_WATER_WELL"/>
      <sheetName val="VALVE_PIT"/>
      <sheetName val="TRANS_MAINS_LEVELS"/>
      <sheetName val="SSF(INT_CONS)"/>
      <sheetName val="DESIGN_NORMS1"/>
      <sheetName val="DESIGN_CALUCULATIONS1"/>
      <sheetName val="ABSTRACT-DESIGN_CALUCULATIONS1"/>
      <sheetName val="GRAVITY_MAIN1"/>
      <sheetName val="PUMPING_MAIN1"/>
      <sheetName val="PUMP_SETS_DESIGN1"/>
      <sheetName val="Labour_charges1"/>
      <sheetName val="Labour_charges(detl)1"/>
      <sheetName val="LEAD_STATEMENT1"/>
      <sheetName val="DATA_SHEET1"/>
      <sheetName val="DATA_OHSR1"/>
      <sheetName val="DATA_AC_PIPES1"/>
      <sheetName val="DATA_PVC_PIPES1"/>
      <sheetName val="BORE_WELL1"/>
      <sheetName val="SS_TANK(HOMO)1"/>
      <sheetName val="SS_FILTERS1"/>
      <sheetName val="SS_TANK(HET)1"/>
      <sheetName val="SS_FILTERS(SQM)1"/>
      <sheetName val="TRANSMISSION_MAINS1"/>
      <sheetName val="PUMP_SETS1"/>
      <sheetName val="WEIR_CHAMBER1"/>
      <sheetName val="PUMP_HOUSE1"/>
      <sheetName val="PUMP_HOUSE(SQM)1"/>
      <sheetName val="CW_SUMP1"/>
      <sheetName val="RAW_WATER_WELL1"/>
      <sheetName val="VALVE_PIT1"/>
      <sheetName val="TRANS_MAINS_LEVELS1"/>
      <sheetName val="SSF(INT_CONS)1"/>
      <sheetName val="Common "/>
      <sheetName val="Sheet3"/>
      <sheetName val="DESIGN_NORMS2"/>
      <sheetName val="DESIGN_CALUCULATIONS2"/>
      <sheetName val="ABSTRACT-DESIGN_CALUCULATIONS2"/>
      <sheetName val="GRAVITY_MAIN2"/>
      <sheetName val="PUMPING_MAIN2"/>
      <sheetName val="PUMP_SETS_DESIGN2"/>
      <sheetName val="Labour_charges2"/>
      <sheetName val="Labour_charges(detl)2"/>
      <sheetName val="LEAD_STATEMENT2"/>
      <sheetName val="DATA_SHEET2"/>
      <sheetName val="DATA_OHSR2"/>
      <sheetName val="DATA_AC_PIPES2"/>
      <sheetName val="DATA_PVC_PIPES2"/>
      <sheetName val="BORE_WELL2"/>
      <sheetName val="SS_TANK(HOMO)2"/>
      <sheetName val="SS_FILTERS2"/>
      <sheetName val="SS_TANK(HET)2"/>
      <sheetName val="SS_FILTERS(SQM)2"/>
      <sheetName val="TRANSMISSION_MAINS2"/>
      <sheetName val="PUMP_SETS2"/>
      <sheetName val="WEIR_CHAMBER2"/>
      <sheetName val="PUMP_HOUSE2"/>
      <sheetName val="PUMP_HOUSE(SQM)2"/>
      <sheetName val="CW_SUMP2"/>
      <sheetName val="RAW_WATER_WELL2"/>
      <sheetName val="VALVE_PIT2"/>
      <sheetName val="TRANS_MAINS_LEVELS2"/>
      <sheetName val="SSF(INT_CONS)2"/>
      <sheetName val="Plant_&amp;__Machinery"/>
      <sheetName val="Common_"/>
      <sheetName val="Data_F8_BTR"/>
      <sheetName val="AV-HDPE"/>
      <sheetName val="Di_gate-HDPE"/>
      <sheetName val="BWSCPlt"/>
      <sheetName val="CI"/>
      <sheetName val="DI"/>
      <sheetName val="G.R.P"/>
      <sheetName val="HDPE"/>
      <sheetName val="PSC REVISED"/>
      <sheetName val="pvc"/>
      <sheetName val="DATA_PRG"/>
      <sheetName val="Sheet1"/>
      <sheetName val="Bitumen trunk"/>
      <sheetName val="Feeder"/>
      <sheetName val="R99 etc"/>
      <sheetName val="Trunk unpaved"/>
      <sheetName val="Class IV Qtr. Ele"/>
      <sheetName val="data"/>
      <sheetName val="Bridge Data 2005-06"/>
      <sheetName val="GF SB Ok "/>
      <sheetName val="lead-st"/>
      <sheetName val="rdamdata"/>
      <sheetName val="sup dat"/>
      <sheetName val="Sheet2"/>
      <sheetName val="MRATES"/>
      <sheetName val="pvc_basic"/>
      <sheetName val="segments-details"/>
      <sheetName val="int-Dia-hdpe"/>
      <sheetName val="habs-list"/>
      <sheetName val="Lead"/>
      <sheetName val="r"/>
      <sheetName val="PUMP_DATA"/>
      <sheetName val="nodes"/>
      <sheetName val="v"/>
      <sheetName val="pop"/>
      <sheetName val="ssr-rates"/>
      <sheetName val="Work_sheet"/>
      <sheetName val="Rate"/>
      <sheetName val="int-Dia"/>
      <sheetName val="JAWAHAR-hyd-original"/>
      <sheetName val="_5wgdhabfinal00_01"/>
      <sheetName val="Lead statement ss5"/>
      <sheetName val="hdpe_basic"/>
      <sheetName val="Plant_&amp;__Machi.ery"/>
      <sheetName val="1V800"/>
      <sheetName val="Road data"/>
      <sheetName val="zone-8"/>
      <sheetName val="MHNO_LEV"/>
      <sheetName val="BM-HOOP"/>
      <sheetName val="stone"/>
      <sheetName val="bom"/>
      <sheetName val="Usage"/>
      <sheetName val="General"/>
      <sheetName val="leads"/>
      <sheetName val="RAFT"/>
      <sheetName val="scour depth"/>
      <sheetName val="maya"/>
      <sheetName val="0000000000000"/>
      <sheetName val="cert"/>
      <sheetName val="SSR(I㫨CAD)"/>
      <sheetName val="Plant 㫨  Machinery"/>
      <sheetName val="Plant_㫨__Machinery"/>
      <sheetName val="Plant_㫨__Machi.ery"/>
      <sheetName val="Civil Boq"/>
      <sheetName val="THK"/>
      <sheetName val="data existing_do not delete"/>
      <sheetName val="CS "/>
      <sheetName val="Abs"/>
      <sheetName val="Hyd_Stmt"/>
      <sheetName val="co_5"/>
      <sheetName val="Relig-place"/>
      <sheetName val="coverpage"/>
      <sheetName val="Specification"/>
      <sheetName val="t_prsr"/>
      <sheetName val="id"/>
      <sheetName val="wh"/>
      <sheetName val="l"/>
      <sheetName val="八幡"/>
      <sheetName val="int-Dia-pvc"/>
      <sheetName val="sg-clay(d)"/>
      <sheetName val="Main sheet"/>
      <sheetName val="Data-ELSR"/>
      <sheetName val="RATES"/>
      <sheetName val="Analy_7-10"/>
      <sheetName val="DATA_ENTRY"/>
      <sheetName val="SUMP1420KL@HW"/>
      <sheetName val="DISCOUNT"/>
      <sheetName val="box-12"/>
      <sheetName val="DATAS"/>
      <sheetName val="SR"/>
      <sheetName val="Estimate copy"/>
      <sheetName val="Delivery mains"/>
      <sheetName val="Road Detail Est."/>
      <sheetName val="GEN_abstrct"/>
      <sheetName val="VALVE_PITU"/>
      <sheetName val="CPI"/>
      <sheetName val="WPI C"/>
      <sheetName val="WPI all"/>
      <sheetName val="WPI CM"/>
      <sheetName val="WPI S"/>
      <sheetName val="SSR 2015-16"/>
      <sheetName val="DATA SHEET FOR 2012 - 13"/>
      <sheetName val="p&amp;m"/>
      <sheetName val="COVER"/>
      <sheetName val="Convey"/>
      <sheetName val="bundqty"/>
      <sheetName val="index"/>
      <sheetName val="wh_data"/>
      <sheetName val="CPHEEO"/>
      <sheetName val="wh_data_R"/>
      <sheetName val="input"/>
      <sheetName val="PVC weights"/>
      <sheetName val="hdpe weights"/>
      <sheetName val=" data sheet "/>
      <sheetName val="Data Main sheet"/>
      <sheetName val="RMR"/>
      <sheetName val="Convey -16-17"/>
      <sheetName val="Data rough"/>
      <sheetName val="ESTIMATE"/>
      <sheetName val="Z1_DATA"/>
      <sheetName val="dBase"/>
      <sheetName val="Data o"/>
      <sheetName val="ewst"/>
      <sheetName val="Levels"/>
      <sheetName val="Lead Distance"/>
      <sheetName val="sand"/>
      <sheetName val="WATER-HAMMER"/>
      <sheetName val="abs road"/>
      <sheetName val="CPIPE"/>
      <sheetName val="inWords"/>
      <sheetName val="DESIGN_NORMS3"/>
      <sheetName val="DESIGN_CALUCULATIONS3"/>
      <sheetName val="ABSTRACT-DESIGN_CALUCULATIONS3"/>
      <sheetName val="GRAVITY_MAIN3"/>
      <sheetName val="PUMPING_MAIN3"/>
      <sheetName val="PUMP_SETS_DESIGN3"/>
      <sheetName val="Labour_charges3"/>
      <sheetName val="Labour_charges(detl)3"/>
      <sheetName val="LEAD_STATEMENT3"/>
      <sheetName val="DATA_SHEET3"/>
      <sheetName val="DATA_OHSR3"/>
      <sheetName val="DATA_AC_PIPES3"/>
      <sheetName val="DATA_PVC_PIPES3"/>
      <sheetName val="BORE_WELL3"/>
      <sheetName val="SS_TANK(HOMO)3"/>
      <sheetName val="SS_FILTERS3"/>
      <sheetName val="SS_TANK(HET)3"/>
      <sheetName val="SS_FILTERS(SQM)3"/>
      <sheetName val="TRANSMISSION_MAINS3"/>
      <sheetName val="PUMP_SETS3"/>
      <sheetName val="WEIR_CHAMBER3"/>
      <sheetName val="PUMP_HOUSE3"/>
      <sheetName val="PUMP_HOUSE(SQM)3"/>
      <sheetName val="CW_SUMP3"/>
      <sheetName val="RAW_WATER_WELL3"/>
      <sheetName val="VALVE_PIT3"/>
      <sheetName val="TRANS_MAINS_LEVELS3"/>
      <sheetName val="SSF(INT_CONS)3"/>
      <sheetName val="Plant_&amp;__Machinery1"/>
      <sheetName val="Data_F8_BTR1"/>
      <sheetName val="Common_1"/>
      <sheetName val="Class_IV_Qtr__Ele"/>
      <sheetName val="G_R_P"/>
      <sheetName val="PSC_REVISED"/>
      <sheetName val="DESIGN_NORMS4"/>
      <sheetName val="DESIGN_CALUCULATIONS4"/>
      <sheetName val="ABSTRACT-DESIGN_CALUCULATIONS4"/>
      <sheetName val="GRAVITY_MAIN4"/>
      <sheetName val="PUMPING_MAIN4"/>
      <sheetName val="PUMP_SETS_DESIGN4"/>
      <sheetName val="Labour_charges4"/>
      <sheetName val="Labour_charges(detl)4"/>
      <sheetName val="LEAD_STATEMENT4"/>
      <sheetName val="DATA_SHEET4"/>
      <sheetName val="DATA_OHSR4"/>
      <sheetName val="DATA_AC_PIPES4"/>
      <sheetName val="DATA_PVC_PIPES4"/>
      <sheetName val="BORE_WELL4"/>
      <sheetName val="SS_TANK(HOMO)4"/>
      <sheetName val="SS_FILTERS4"/>
      <sheetName val="SS_TANK(HET)4"/>
      <sheetName val="SS_FILTERS(SQM)4"/>
      <sheetName val="TRANSMISSION_MAINS4"/>
      <sheetName val="PUMP_SETS4"/>
      <sheetName val="WEIR_CHAMBER4"/>
      <sheetName val="PUMP_HOUSE4"/>
      <sheetName val="PUMP_HOUSE(SQM)4"/>
      <sheetName val="CW_SUMP4"/>
      <sheetName val="RAW_WATER_WELL4"/>
      <sheetName val="VALVE_PIT4"/>
      <sheetName val="TRANS_MAINS_LEVELS4"/>
      <sheetName val="SSF(INT_CONS)4"/>
      <sheetName val="Plant_&amp;__Machinery2"/>
      <sheetName val="Data_F8_BTR2"/>
      <sheetName val="Common_2"/>
      <sheetName val="Class_IV_Qtr__Ele1"/>
      <sheetName val="G_R_P1"/>
      <sheetName val="PSC_REVISED1"/>
      <sheetName val="Meas.-Hotel Part"/>
      <sheetName val="GM&amp;PM WE1 EST"/>
      <sheetName val="BWSCP"/>
      <sheetName val="Sheet9"/>
      <sheetName val="Iocount"/>
      <sheetName val="water-hammar-strenght"/>
      <sheetName val="mlead"/>
      <sheetName val="Nspt-smp-final-ORIGINAL"/>
      <sheetName val="habs-details"/>
      <sheetName val="LOCAL RATES"/>
      <sheetName val="hdpe-rates"/>
      <sheetName val="HDPE-pipe-rates"/>
      <sheetName val="pvc-pipe-rates"/>
      <sheetName val="Staff Acco."/>
      <sheetName val="LABOUR RATE"/>
      <sheetName val="Material Rate"/>
      <sheetName val="Bed Class"/>
      <sheetName val="Cd"/>
      <sheetName val="C-data"/>
      <sheetName val="DI gate-DI"/>
      <sheetName val="PM&amp;GM"/>
      <sheetName val="DIgate_PVC "/>
      <sheetName val="2014"/>
      <sheetName val="3405-2014"/>
      <sheetName val="Qty"/>
      <sheetName val="FT-05-02IsoBOM"/>
      <sheetName val="BS8007"/>
      <sheetName val="Table12"/>
      <sheetName val="Table9"/>
      <sheetName val="MRoad data"/>
      <sheetName val="Macro1"/>
      <sheetName val="sheet5"/>
      <sheetName val="PH-Data"/>
      <sheetName val="Master data"/>
      <sheetName val="analysis"/>
      <sheetName val="factors"/>
      <sheetName val="TBAL9697 -group wise  sdpl"/>
      <sheetName val="GA-Paderu"/>
      <sheetName val="conc-foot-gradeslab"/>
      <sheetName val="AV_AC"/>
      <sheetName val="di_Gate_AC"/>
      <sheetName val="Digate-BWSCP-MS"/>
      <sheetName val="DI_gate_di"/>
      <sheetName val="C.D.Abs.Est."/>
      <sheetName val="VALV"/>
      <sheetName val="detls"/>
      <sheetName val="MRMECADAMoad data"/>
      <sheetName val="Road data-TDR"/>
      <sheetName val="Line"/>
      <sheetName val="bar bending"/>
    </sheetNames>
    <sheetDataSet>
      <sheetData sheetId="0"/>
      <sheetData sheetId="1"/>
      <sheetData sheetId="2"/>
      <sheetData sheetId="3"/>
      <sheetData sheetId="4"/>
      <sheetData sheetId="5"/>
      <sheetData sheetId="6"/>
      <sheetData sheetId="7"/>
      <sheetData sheetId="8"/>
      <sheetData sheetId="9"/>
      <sheetData sheetId="10">
        <row r="11">
          <cell r="A11" t="str">
            <v>Thickness</v>
          </cell>
          <cell r="B11" t="str">
            <v>Rate</v>
          </cell>
        </row>
        <row r="12">
          <cell r="A12">
            <v>7.4999999999999997E-2</v>
          </cell>
          <cell r="B12">
            <v>4024.05</v>
          </cell>
        </row>
        <row r="13">
          <cell r="A13">
            <v>0.1</v>
          </cell>
          <cell r="B13">
            <v>3711.75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I6" t="str">
            <v>DIA</v>
          </cell>
          <cell r="J6" t="str">
            <v xml:space="preserve">THICKNESS </v>
          </cell>
          <cell r="K6" t="str">
            <v>OFF SET</v>
          </cell>
          <cell r="L6" t="str">
            <v>LEAN CONCRETE OFF SET</v>
          </cell>
          <cell r="M6" t="str">
            <v>THICKNESS</v>
          </cell>
          <cell r="N6" t="str">
            <v>RISE</v>
          </cell>
          <cell r="O6" t="str">
            <v>RADIUS OF CURVATURE</v>
          </cell>
          <cell r="P6" t="str">
            <v>OUTSIDE PROJECTION FOR FLAT SLABS</v>
          </cell>
          <cell r="Q6" t="str">
            <v>WIDTH</v>
          </cell>
          <cell r="R6" t="str">
            <v>HEIGHT</v>
          </cell>
          <cell r="S6" t="str">
            <v>Qty of Steel</v>
          </cell>
          <cell r="T6" t="str">
            <v>Side Wall Thickness</v>
          </cell>
        </row>
        <row r="7">
          <cell r="I7" t="str">
            <v>3A</v>
          </cell>
          <cell r="J7">
            <v>0.2</v>
          </cell>
          <cell r="K7">
            <v>0.15</v>
          </cell>
          <cell r="L7">
            <v>0.2</v>
          </cell>
          <cell r="M7">
            <v>0.1</v>
          </cell>
          <cell r="N7">
            <v>0</v>
          </cell>
          <cell r="O7">
            <v>8</v>
          </cell>
          <cell r="P7">
            <v>0.15</v>
          </cell>
          <cell r="Q7" t="str">
            <v>N.A.</v>
          </cell>
          <cell r="R7" t="str">
            <v>N.A.</v>
          </cell>
          <cell r="T7">
            <v>0.15</v>
          </cell>
        </row>
        <row r="8">
          <cell r="I8" t="str">
            <v>3B</v>
          </cell>
          <cell r="J8">
            <v>0.15</v>
          </cell>
          <cell r="K8">
            <v>0.15</v>
          </cell>
          <cell r="L8">
            <v>0.2</v>
          </cell>
          <cell r="M8">
            <v>0.1</v>
          </cell>
          <cell r="N8">
            <v>0</v>
          </cell>
          <cell r="O8">
            <v>8</v>
          </cell>
          <cell r="P8">
            <v>0.15</v>
          </cell>
          <cell r="Q8" t="str">
            <v>N.A.</v>
          </cell>
          <cell r="R8" t="str">
            <v>N.A.</v>
          </cell>
          <cell r="T8">
            <v>0.15</v>
          </cell>
        </row>
        <row r="9">
          <cell r="I9" t="str">
            <v>4A</v>
          </cell>
          <cell r="J9">
            <v>0.25</v>
          </cell>
          <cell r="K9">
            <v>0.3</v>
          </cell>
          <cell r="L9">
            <v>0.2</v>
          </cell>
          <cell r="M9">
            <v>0.1</v>
          </cell>
          <cell r="N9">
            <v>0</v>
          </cell>
          <cell r="O9">
            <v>8</v>
          </cell>
          <cell r="P9">
            <v>0.15</v>
          </cell>
          <cell r="Q9" t="str">
            <v>N.A.</v>
          </cell>
          <cell r="R9" t="str">
            <v>N.A.</v>
          </cell>
          <cell r="T9">
            <v>0.15</v>
          </cell>
        </row>
        <row r="10">
          <cell r="I10" t="str">
            <v>4B</v>
          </cell>
          <cell r="J10">
            <v>0.15</v>
          </cell>
          <cell r="K10">
            <v>0.15</v>
          </cell>
          <cell r="L10">
            <v>0.2</v>
          </cell>
          <cell r="M10">
            <v>0.1</v>
          </cell>
          <cell r="N10">
            <v>0</v>
          </cell>
          <cell r="O10">
            <v>8</v>
          </cell>
          <cell r="P10">
            <v>0.15</v>
          </cell>
          <cell r="Q10" t="str">
            <v>N.A.</v>
          </cell>
          <cell r="R10" t="str">
            <v>N.A.</v>
          </cell>
          <cell r="T10">
            <v>0.15</v>
          </cell>
        </row>
        <row r="11">
          <cell r="I11" t="str">
            <v>5A</v>
          </cell>
          <cell r="J11">
            <v>0.25</v>
          </cell>
          <cell r="K11">
            <v>0.45</v>
          </cell>
          <cell r="L11">
            <v>0.2</v>
          </cell>
          <cell r="M11">
            <v>7.4999999999999997E-2</v>
          </cell>
          <cell r="N11">
            <v>1</v>
          </cell>
          <cell r="O11">
            <v>3.62</v>
          </cell>
          <cell r="P11" t="str">
            <v>N.A.</v>
          </cell>
          <cell r="Q11">
            <v>0.2</v>
          </cell>
          <cell r="R11">
            <v>0.15</v>
          </cell>
          <cell r="S11">
            <v>1350</v>
          </cell>
          <cell r="T11">
            <v>0.15</v>
          </cell>
        </row>
        <row r="12">
          <cell r="I12" t="str">
            <v>5B</v>
          </cell>
          <cell r="J12">
            <v>0.15</v>
          </cell>
          <cell r="K12">
            <v>0.15</v>
          </cell>
          <cell r="L12">
            <v>0.2</v>
          </cell>
          <cell r="M12">
            <v>7.4999999999999997E-2</v>
          </cell>
          <cell r="N12">
            <v>1</v>
          </cell>
          <cell r="O12">
            <v>3.62</v>
          </cell>
          <cell r="P12" t="str">
            <v>N.A.</v>
          </cell>
          <cell r="Q12">
            <v>0.2</v>
          </cell>
          <cell r="R12">
            <v>0.15</v>
          </cell>
          <cell r="S12">
            <v>1200</v>
          </cell>
          <cell r="T12">
            <v>0.15</v>
          </cell>
        </row>
        <row r="13">
          <cell r="I13" t="str">
            <v>6A</v>
          </cell>
          <cell r="J13">
            <v>0.3</v>
          </cell>
          <cell r="K13">
            <v>0.3</v>
          </cell>
          <cell r="L13">
            <v>0.2</v>
          </cell>
          <cell r="M13">
            <v>7.4999999999999997E-2</v>
          </cell>
          <cell r="N13">
            <v>1.1299999999999999</v>
          </cell>
          <cell r="O13">
            <v>4.54</v>
          </cell>
          <cell r="P13" t="str">
            <v>N.A.</v>
          </cell>
          <cell r="Q13">
            <v>0.2</v>
          </cell>
          <cell r="R13">
            <v>0.15</v>
          </cell>
          <cell r="S13">
            <v>1400</v>
          </cell>
          <cell r="T13">
            <v>0.15</v>
          </cell>
        </row>
        <row r="14">
          <cell r="I14" t="str">
            <v>6B</v>
          </cell>
          <cell r="J14">
            <v>0.15</v>
          </cell>
          <cell r="K14">
            <v>0.15</v>
          </cell>
          <cell r="L14">
            <v>0.2</v>
          </cell>
          <cell r="M14">
            <v>7.4999999999999997E-2</v>
          </cell>
          <cell r="N14">
            <v>1.1299999999999999</v>
          </cell>
          <cell r="O14">
            <v>4.54</v>
          </cell>
          <cell r="P14" t="str">
            <v>N.A.</v>
          </cell>
          <cell r="Q14">
            <v>0.2</v>
          </cell>
          <cell r="R14">
            <v>0.15</v>
          </cell>
          <cell r="S14">
            <v>1225</v>
          </cell>
          <cell r="T14">
            <v>0.15</v>
          </cell>
        </row>
        <row r="15">
          <cell r="I15" t="str">
            <v>7A</v>
          </cell>
          <cell r="J15">
            <v>0.3</v>
          </cell>
          <cell r="K15">
            <v>0.45</v>
          </cell>
          <cell r="L15">
            <v>0.2</v>
          </cell>
          <cell r="M15">
            <v>7.4999999999999997E-2</v>
          </cell>
          <cell r="N15">
            <v>1.1299999999999999</v>
          </cell>
          <cell r="O15">
            <v>6</v>
          </cell>
          <cell r="P15" t="str">
            <v>N.A.</v>
          </cell>
          <cell r="Q15">
            <v>0.2</v>
          </cell>
          <cell r="R15">
            <v>0.15</v>
          </cell>
          <cell r="S15">
            <v>1500</v>
          </cell>
          <cell r="T15">
            <v>0.15</v>
          </cell>
        </row>
        <row r="16">
          <cell r="I16" t="str">
            <v>7B</v>
          </cell>
          <cell r="J16">
            <v>0.15</v>
          </cell>
          <cell r="K16">
            <v>0.15</v>
          </cell>
          <cell r="L16">
            <v>0.2</v>
          </cell>
          <cell r="M16">
            <v>7.4999999999999997E-2</v>
          </cell>
          <cell r="N16">
            <v>1.1299999999999999</v>
          </cell>
          <cell r="O16">
            <v>6</v>
          </cell>
          <cell r="P16" t="str">
            <v>N.A.</v>
          </cell>
          <cell r="Q16">
            <v>0.2</v>
          </cell>
          <cell r="R16">
            <v>0.15</v>
          </cell>
          <cell r="S16">
            <v>1250</v>
          </cell>
          <cell r="T16">
            <v>0.15</v>
          </cell>
        </row>
        <row r="17">
          <cell r="I17" t="str">
            <v>8A</v>
          </cell>
          <cell r="J17">
            <v>0.3</v>
          </cell>
          <cell r="K17">
            <v>0.6</v>
          </cell>
          <cell r="L17">
            <v>0.2</v>
          </cell>
          <cell r="M17">
            <v>7.4999999999999997E-2</v>
          </cell>
          <cell r="N17">
            <v>1.6</v>
          </cell>
          <cell r="O17">
            <v>5.8</v>
          </cell>
          <cell r="P17" t="str">
            <v>N.A.</v>
          </cell>
          <cell r="Q17">
            <v>0.2</v>
          </cell>
          <cell r="R17">
            <v>0.15</v>
          </cell>
          <cell r="S17">
            <v>1800</v>
          </cell>
          <cell r="T17">
            <v>0.15</v>
          </cell>
        </row>
        <row r="18">
          <cell r="I18" t="str">
            <v>8B</v>
          </cell>
          <cell r="J18">
            <v>0.15</v>
          </cell>
          <cell r="K18">
            <v>0.15</v>
          </cell>
          <cell r="L18">
            <v>0.2</v>
          </cell>
          <cell r="M18">
            <v>7.4999999999999997E-2</v>
          </cell>
          <cell r="N18">
            <v>1.6</v>
          </cell>
          <cell r="O18">
            <v>5.8</v>
          </cell>
          <cell r="P18" t="str">
            <v>N.A.</v>
          </cell>
          <cell r="Q18">
            <v>0.2</v>
          </cell>
          <cell r="R18">
            <v>0.15</v>
          </cell>
          <cell r="S18">
            <v>1650</v>
          </cell>
          <cell r="T18">
            <v>0.15</v>
          </cell>
        </row>
        <row r="19">
          <cell r="I19" t="str">
            <v>10A</v>
          </cell>
          <cell r="J19">
            <v>0.3</v>
          </cell>
          <cell r="K19">
            <v>0.6</v>
          </cell>
          <cell r="L19">
            <v>0.2</v>
          </cell>
          <cell r="M19">
            <v>0.1</v>
          </cell>
          <cell r="N19">
            <v>1.8</v>
          </cell>
          <cell r="O19">
            <v>8.0500000000000007</v>
          </cell>
          <cell r="P19" t="str">
            <v>N.A.</v>
          </cell>
          <cell r="Q19">
            <v>0.2</v>
          </cell>
          <cell r="R19">
            <v>0.15</v>
          </cell>
          <cell r="S19">
            <v>2200</v>
          </cell>
          <cell r="T19">
            <v>0.15</v>
          </cell>
        </row>
        <row r="20">
          <cell r="I20" t="str">
            <v>10B</v>
          </cell>
          <cell r="J20">
            <v>0.15</v>
          </cell>
          <cell r="K20">
            <v>0.15</v>
          </cell>
          <cell r="L20">
            <v>0.2</v>
          </cell>
          <cell r="M20">
            <v>0.1</v>
          </cell>
          <cell r="N20">
            <v>1.8</v>
          </cell>
          <cell r="O20">
            <v>8.0500000000000007</v>
          </cell>
          <cell r="P20" t="str">
            <v>N.A.</v>
          </cell>
          <cell r="Q20">
            <v>0.2</v>
          </cell>
          <cell r="R20">
            <v>0.15</v>
          </cell>
          <cell r="S20">
            <v>2000</v>
          </cell>
          <cell r="T20">
            <v>0.15</v>
          </cell>
        </row>
        <row r="21">
          <cell r="I21" t="str">
            <v>12A</v>
          </cell>
          <cell r="S21">
            <v>4500</v>
          </cell>
        </row>
        <row r="22">
          <cell r="I22" t="str">
            <v>12B</v>
          </cell>
          <cell r="J22">
            <v>0.3</v>
          </cell>
          <cell r="K22">
            <v>0.1</v>
          </cell>
          <cell r="L22">
            <v>0.15</v>
          </cell>
          <cell r="M22">
            <v>0.1</v>
          </cell>
          <cell r="N22">
            <v>2</v>
          </cell>
          <cell r="O22">
            <v>10</v>
          </cell>
          <cell r="Q22">
            <v>0.45</v>
          </cell>
          <cell r="R22">
            <v>0.35</v>
          </cell>
          <cell r="S22">
            <v>4100</v>
          </cell>
          <cell r="T22">
            <v>0.2</v>
          </cell>
        </row>
      </sheetData>
      <sheetData sheetId="42"/>
      <sheetData sheetId="43"/>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pressure"/>
      <sheetName val="UT Without Drop"/>
      <sheetName val="UT with Drop"/>
      <sheetName val="Coloumb EP"/>
      <sheetName val="Ref"/>
      <sheetName val="stability"/>
      <sheetName val="SP DESIGN"/>
      <sheetName val="TEL_1V"/>
      <sheetName val="structure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Abstract"/>
      <sheetName val="BC Ratio"/>
      <sheetName val="Net Annual Benefits"/>
      <sheetName val="Abstract_Bund"/>
      <sheetName val="Abst LF Sluice"/>
      <sheetName val="Est LF Sluice"/>
      <sheetName val="Dn LF Sluice"/>
      <sheetName val="Bund Grouting"/>
      <sheetName val="Weir Grouting "/>
      <sheetName val=" Abt OT 36 (L)"/>
      <sheetName val="Est OT (L)"/>
      <sheetName val="Design OT (L)"/>
      <sheetName val=" Abt OT 75 (R2) "/>
      <sheetName val="Est OT (R2) "/>
      <sheetName val="Design OT(R2) "/>
      <sheetName val=" Abt OT 117 (R3)  "/>
      <sheetName val="Est OT (R3) "/>
      <sheetName val="Design OT(R3)  "/>
      <sheetName val=" Abt OT 19 (L1)"/>
      <sheetName val="Est  OT (L1)"/>
      <sheetName val="Design OT(L1) "/>
      <sheetName val="L1 Abt 2V PUT 8"/>
      <sheetName val="L1 Est 2V PUT"/>
      <sheetName val=" L1 Dn 2V PUT"/>
      <sheetName val="Abs SLRB(R2)50.0"/>
      <sheetName val="Est SLRB (R2)"/>
      <sheetName val="Dn SLRB (R2)"/>
      <sheetName val="Abt SLRB (R1) 33"/>
      <sheetName val="Est SLRB (R1)"/>
      <sheetName val="Dn SLRB (R1) "/>
      <sheetName val="Abt SLRB (R3) 119"/>
      <sheetName val="Est SLRB (R3)"/>
      <sheetName val="Dn SLRB (R3)  "/>
      <sheetName val="Abt SLRB (L1) 27"/>
      <sheetName val="Est SLRB (L1) "/>
      <sheetName val="Dn SLRB (L1)"/>
      <sheetName val="Abst 3V PUT@45"/>
      <sheetName val="Est 3V PUT@45"/>
      <sheetName val="Design 3V PUT@45"/>
      <sheetName val="Abs Dr 19.0 (R1)"/>
      <sheetName val="Est Dr (R1)"/>
      <sheetName val="Design Dr (R1)"/>
      <sheetName val="Abs Dr 55 (R2)"/>
      <sheetName val="Est Dr (R2)"/>
      <sheetName val="Design Dr (R2) "/>
      <sheetName val="Abs Dr 107 (R3) "/>
      <sheetName val="Est Dr (R3) "/>
      <sheetName val="Design Dr (R3)"/>
      <sheetName val="Abst LF Canals"/>
      <sheetName val="Abst L1 Canal"/>
      <sheetName val="Abstrct Quantities"/>
      <sheetName val="Land Acqi"/>
      <sheetName val="Land Acqin"/>
      <sheetName val="Leadchart"/>
      <sheetName val="Material_Cost"/>
      <sheetName val="Labour_Charges"/>
      <sheetName val="DATA"/>
    </sheetNames>
    <sheetDataSet>
      <sheetData sheetId="0"/>
      <sheetData sheetId="1"/>
      <sheetData sheetId="2"/>
      <sheetData sheetId="3"/>
      <sheetData sheetId="4"/>
      <sheetData sheetId="5"/>
      <sheetData sheetId="6" refreshError="1">
        <row r="39">
          <cell r="F39">
            <v>1.2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pressure"/>
      <sheetName val="UT Without Drop"/>
      <sheetName val="UT with Drop"/>
      <sheetName val="Coloumb EP"/>
      <sheetName val="Ref"/>
      <sheetName val="stability"/>
      <sheetName val="SP DESIGN"/>
      <sheetName val="TEL_1V"/>
    </sheetNames>
    <sheetDataSet>
      <sheetData sheetId="0" refreshError="1"/>
      <sheetData sheetId="1">
        <row r="77">
          <cell r="H77">
            <v>0.35</v>
          </cell>
        </row>
        <row r="248">
          <cell r="B248" t="str">
            <v>DESIGN OF RCC SLABS:</v>
          </cell>
        </row>
        <row r="249">
          <cell r="B249" t="str">
            <v>IRC Class A loading:( Axial Load in Tonnes )</v>
          </cell>
        </row>
        <row r="256">
          <cell r="B256" t="str">
            <v>Maximum Axle load</v>
          </cell>
          <cell r="C256" t="str">
            <v>=</v>
          </cell>
          <cell r="D256">
            <v>22.8</v>
          </cell>
          <cell r="E256" t="str">
            <v>t</v>
          </cell>
        </row>
        <row r="257">
          <cell r="B257" t="str">
            <v>Ground Contact area, B</v>
          </cell>
          <cell r="C257" t="str">
            <v>=</v>
          </cell>
          <cell r="D257">
            <v>0.25</v>
          </cell>
          <cell r="E257" t="str">
            <v>m</v>
          </cell>
        </row>
        <row r="258">
          <cell r="B258" t="str">
            <v>W</v>
          </cell>
          <cell r="C258" t="str">
            <v>=</v>
          </cell>
          <cell r="D258">
            <v>0.5</v>
          </cell>
          <cell r="E258" t="str">
            <v>m</v>
          </cell>
        </row>
        <row r="259">
          <cell r="B259" t="str">
            <v>centre to centre distance between wheels</v>
          </cell>
          <cell r="C259" t="str">
            <v>=</v>
          </cell>
          <cell r="D259">
            <v>1.8</v>
          </cell>
          <cell r="E259" t="str">
            <v>m</v>
          </cell>
        </row>
        <row r="260">
          <cell r="B260" t="str">
            <v>Live load due to IRC class A loading at 1:1 dispersion:</v>
          </cell>
        </row>
        <row r="261">
          <cell r="B261" t="str">
            <v>clear span</v>
          </cell>
          <cell r="C261" t="str">
            <v>=</v>
          </cell>
          <cell r="D261">
            <v>3.5</v>
          </cell>
        </row>
        <row r="262">
          <cell r="B262" t="str">
            <v>TBL</v>
          </cell>
          <cell r="C262" t="str">
            <v>=</v>
          </cell>
          <cell r="D262">
            <v>692.50700000000006</v>
          </cell>
        </row>
        <row r="263">
          <cell r="B263" t="str">
            <v>Sealing Coat thickness</v>
          </cell>
          <cell r="C263" t="str">
            <v>=</v>
          </cell>
          <cell r="D263">
            <v>0.04</v>
          </cell>
        </row>
        <row r="264">
          <cell r="B264" t="str">
            <v>Slab top Level</v>
          </cell>
          <cell r="C264" t="str">
            <v>=</v>
          </cell>
          <cell r="D264">
            <v>690.66700000000003</v>
          </cell>
        </row>
        <row r="265">
          <cell r="B265" t="str">
            <v>Depth of slab</v>
          </cell>
          <cell r="C265" t="str">
            <v>=</v>
          </cell>
          <cell r="D265">
            <v>0.35</v>
          </cell>
          <cell r="E265" t="str">
            <v>m</v>
          </cell>
        </row>
        <row r="266">
          <cell r="B266" t="str">
            <v>Height of banking over slabs</v>
          </cell>
          <cell r="C266" t="str">
            <v>=</v>
          </cell>
          <cell r="D266">
            <v>1.8400000000000318</v>
          </cell>
        </row>
        <row r="267">
          <cell r="B267" t="str">
            <v>Dispersion length</v>
          </cell>
          <cell r="C267" t="str">
            <v>=</v>
          </cell>
          <cell r="D267">
            <v>1.2</v>
          </cell>
          <cell r="E267" t="str">
            <v>+</v>
          </cell>
          <cell r="F267">
            <v>1.8400000000000318</v>
          </cell>
          <cell r="G267" t="str">
            <v>+</v>
          </cell>
          <cell r="H267">
            <v>1.8400000000000318</v>
          </cell>
        </row>
        <row r="268">
          <cell r="C268" t="str">
            <v>=</v>
          </cell>
          <cell r="D268">
            <v>4.8800000000000638</v>
          </cell>
          <cell r="E268" t="str">
            <v>m</v>
          </cell>
        </row>
        <row r="269">
          <cell r="B269" t="str">
            <v>Disp width considering head wall</v>
          </cell>
          <cell r="C269" t="str">
            <v>=</v>
          </cell>
          <cell r="D269">
            <v>1.8</v>
          </cell>
          <cell r="E269" t="str">
            <v>+</v>
          </cell>
          <cell r="F269">
            <v>0.5</v>
          </cell>
          <cell r="G269" t="str">
            <v>+</v>
          </cell>
          <cell r="H269">
            <v>1.8400000000000318</v>
          </cell>
        </row>
        <row r="270">
          <cell r="C270" t="str">
            <v>=</v>
          </cell>
          <cell r="D270">
            <v>4.1400000000000317</v>
          </cell>
          <cell r="E270" t="str">
            <v>m</v>
          </cell>
        </row>
        <row r="271">
          <cell r="B271" t="str">
            <v>LL Dispersion Area at 1:1</v>
          </cell>
          <cell r="C271" t="str">
            <v>=</v>
          </cell>
          <cell r="D271">
            <v>4.8800000000000638</v>
          </cell>
          <cell r="E271" t="str">
            <v>x</v>
          </cell>
          <cell r="F271">
            <v>4.1400000000000317</v>
          </cell>
          <cell r="G271" t="str">
            <v>=</v>
          </cell>
          <cell r="H271">
            <v>20.203200000000418</v>
          </cell>
          <cell r="I271" t="str">
            <v>sqm</v>
          </cell>
        </row>
        <row r="272">
          <cell r="B272" t="str">
            <v>LL due to IRC class A loading</v>
          </cell>
          <cell r="C272" t="str">
            <v>=</v>
          </cell>
          <cell r="D272">
            <v>22.8</v>
          </cell>
          <cell r="E272" t="str">
            <v>/</v>
          </cell>
          <cell r="F272">
            <v>20.203200000000418</v>
          </cell>
        </row>
        <row r="273">
          <cell r="C273" t="str">
            <v>=</v>
          </cell>
          <cell r="D273">
            <v>1.1285340936089099</v>
          </cell>
          <cell r="E273" t="str">
            <v>t/m2</v>
          </cell>
        </row>
        <row r="275">
          <cell r="B275" t="str">
            <v>Considering 1m width of slab</v>
          </cell>
        </row>
        <row r="276">
          <cell r="B276" t="str">
            <v xml:space="preserve">load from the bank surcharge </v>
          </cell>
          <cell r="C276" t="str">
            <v>=</v>
          </cell>
          <cell r="D276">
            <v>1.8400000000000318</v>
          </cell>
          <cell r="E276" t="str">
            <v>x</v>
          </cell>
          <cell r="F276">
            <v>2.1</v>
          </cell>
          <cell r="G276" t="str">
            <v>=</v>
          </cell>
          <cell r="H276">
            <v>3.8640000000000669</v>
          </cell>
          <cell r="I276" t="str">
            <v>t/m2</v>
          </cell>
        </row>
        <row r="277">
          <cell r="B277" t="str">
            <v>self weight of slab</v>
          </cell>
          <cell r="C277" t="str">
            <v>=</v>
          </cell>
          <cell r="D277">
            <v>0.35</v>
          </cell>
          <cell r="E277" t="str">
            <v>x</v>
          </cell>
          <cell r="F277">
            <v>2.5</v>
          </cell>
          <cell r="G277" t="str">
            <v>=</v>
          </cell>
          <cell r="H277">
            <v>0.875</v>
          </cell>
        </row>
        <row r="278">
          <cell r="B278" t="str">
            <v>Live load due to IRC class A loading</v>
          </cell>
          <cell r="G278" t="str">
            <v>=</v>
          </cell>
          <cell r="H278">
            <v>1.1285340936089099</v>
          </cell>
        </row>
        <row r="279">
          <cell r="D279" t="str">
            <v>Total load on the slab</v>
          </cell>
          <cell r="G279" t="str">
            <v>=</v>
          </cell>
          <cell r="H279">
            <v>5.8675340936089766</v>
          </cell>
          <cell r="I279" t="str">
            <v>t/m2</v>
          </cell>
        </row>
        <row r="280">
          <cell r="B280" t="str">
            <v>Considering the slab as  simply supported on abutments</v>
          </cell>
        </row>
        <row r="281">
          <cell r="B281" t="str">
            <v>Maximum Bending Moment</v>
          </cell>
          <cell r="C281" t="str">
            <v>=</v>
          </cell>
          <cell r="D281" t="str">
            <v>wl2/8</v>
          </cell>
        </row>
        <row r="282">
          <cell r="B282" t="str">
            <v>Clear Span</v>
          </cell>
          <cell r="C282" t="str">
            <v>=</v>
          </cell>
          <cell r="D282">
            <v>3.5</v>
          </cell>
        </row>
        <row r="283">
          <cell r="B283" t="str">
            <v>Assuming 45 cm thick slab with 20mm reinforcement</v>
          </cell>
        </row>
        <row r="284">
          <cell r="B284" t="str">
            <v>Clear Cover</v>
          </cell>
          <cell r="C284" t="str">
            <v>=</v>
          </cell>
          <cell r="D284">
            <v>40</v>
          </cell>
          <cell r="E284" t="str">
            <v>mm</v>
          </cell>
        </row>
        <row r="285">
          <cell r="B285" t="str">
            <v>Bar diameter</v>
          </cell>
          <cell r="C285" t="str">
            <v>=</v>
          </cell>
          <cell r="D285">
            <v>20</v>
          </cell>
          <cell r="E285" t="str">
            <v>mm</v>
          </cell>
        </row>
        <row r="286">
          <cell r="B286" t="str">
            <v>Effective Depth</v>
          </cell>
          <cell r="C286" t="str">
            <v>=</v>
          </cell>
          <cell r="D286">
            <v>30</v>
          </cell>
          <cell r="E286" t="str">
            <v>cm</v>
          </cell>
        </row>
        <row r="288">
          <cell r="B288" t="str">
            <v>Effective span will be lesser of the following:</v>
          </cell>
        </row>
        <row r="289">
          <cell r="B289" t="str">
            <v>a)  Clear Span + effective depth</v>
          </cell>
          <cell r="C289" t="str">
            <v>=</v>
          </cell>
          <cell r="D289">
            <v>3.5</v>
          </cell>
          <cell r="E289" t="str">
            <v>+</v>
          </cell>
          <cell r="F289">
            <v>0.3</v>
          </cell>
          <cell r="G289" t="str">
            <v>=</v>
          </cell>
          <cell r="H289">
            <v>3.8</v>
          </cell>
          <cell r="I289" t="str">
            <v>m</v>
          </cell>
        </row>
        <row r="290">
          <cell r="B290" t="str">
            <v>b)  Clear span + c/c of bearings</v>
          </cell>
          <cell r="C290" t="str">
            <v>=</v>
          </cell>
          <cell r="D290">
            <v>3.5</v>
          </cell>
          <cell r="E290" t="str">
            <v>+</v>
          </cell>
          <cell r="F290">
            <v>0</v>
          </cell>
          <cell r="H290">
            <v>0</v>
          </cell>
        </row>
        <row r="291">
          <cell r="G291" t="str">
            <v>=</v>
          </cell>
          <cell r="H291">
            <v>3.5</v>
          </cell>
          <cell r="I291" t="str">
            <v>m</v>
          </cell>
        </row>
        <row r="292">
          <cell r="B292" t="str">
            <v>Effective Span</v>
          </cell>
          <cell r="C292" t="str">
            <v>=</v>
          </cell>
          <cell r="D292">
            <v>3.5</v>
          </cell>
          <cell r="E292" t="str">
            <v>m</v>
          </cell>
        </row>
        <row r="293">
          <cell r="B293" t="str">
            <v>Maximum BM , M</v>
          </cell>
          <cell r="C293" t="str">
            <v>=</v>
          </cell>
          <cell r="D293" t="str">
            <v>wl2/8</v>
          </cell>
        </row>
        <row r="294">
          <cell r="C294" t="str">
            <v>=</v>
          </cell>
          <cell r="D294">
            <v>8.9846615808387451</v>
          </cell>
          <cell r="E294" t="str">
            <v>tm</v>
          </cell>
        </row>
        <row r="295">
          <cell r="B295" t="str">
            <v>For M20 grade of concrete &amp; Fe 415 Steel,</v>
          </cell>
          <cell r="H295" t="str">
            <v>m</v>
          </cell>
          <cell r="I295" t="str">
            <v>=</v>
          </cell>
          <cell r="J295" t="str">
            <v>2800/3C</v>
          </cell>
        </row>
        <row r="296">
          <cell r="B296" t="str">
            <v>C</v>
          </cell>
          <cell r="C296" t="str">
            <v>=</v>
          </cell>
          <cell r="D296">
            <v>70</v>
          </cell>
          <cell r="E296" t="str">
            <v>kg/cm2</v>
          </cell>
          <cell r="I296" t="str">
            <v>=</v>
          </cell>
          <cell r="J296">
            <v>13.333333333333334</v>
          </cell>
        </row>
        <row r="297">
          <cell r="B297" t="str">
            <v>t</v>
          </cell>
          <cell r="C297" t="str">
            <v>=</v>
          </cell>
          <cell r="D297">
            <v>1500</v>
          </cell>
          <cell r="E297" t="str">
            <v>kg/cm2</v>
          </cell>
          <cell r="H297" t="str">
            <v>r</v>
          </cell>
          <cell r="I297" t="str">
            <v>=</v>
          </cell>
          <cell r="J297" t="str">
            <v>t/c</v>
          </cell>
        </row>
        <row r="298">
          <cell r="B298" t="str">
            <v>Q</v>
          </cell>
          <cell r="C298" t="str">
            <v>=</v>
          </cell>
          <cell r="D298">
            <v>11.71</v>
          </cell>
          <cell r="I298" t="str">
            <v>=</v>
          </cell>
          <cell r="J298">
            <v>21.428571428571427</v>
          </cell>
        </row>
        <row r="299">
          <cell r="B299" t="str">
            <v>Effective Depth</v>
          </cell>
          <cell r="C299" t="str">
            <v>=</v>
          </cell>
          <cell r="D299" t="str">
            <v>M/Qb</v>
          </cell>
          <cell r="H299" t="str">
            <v>nc</v>
          </cell>
          <cell r="I299" t="str">
            <v>=</v>
          </cell>
          <cell r="J299" t="str">
            <v>md/(m+r)</v>
          </cell>
        </row>
        <row r="300">
          <cell r="C300" t="str">
            <v>=</v>
          </cell>
          <cell r="D300">
            <v>27.699530899046284</v>
          </cell>
          <cell r="E300" t="str">
            <v>cm</v>
          </cell>
          <cell r="I300" t="str">
            <v>=</v>
          </cell>
          <cell r="J300" t="str">
            <v>0.384d</v>
          </cell>
        </row>
        <row r="301">
          <cell r="E301" t="str">
            <v>&lt;</v>
          </cell>
          <cell r="F301">
            <v>30</v>
          </cell>
          <cell r="G301" t="str">
            <v>cm</v>
          </cell>
        </row>
        <row r="302">
          <cell r="B302" t="str">
            <v xml:space="preserve">Depth Provided is </v>
          </cell>
          <cell r="C302" t="str">
            <v>safe</v>
          </cell>
        </row>
        <row r="303">
          <cell r="B303" t="str">
            <v>Reinforcement Details:</v>
          </cell>
          <cell r="H303" t="str">
            <v>MR=</v>
          </cell>
          <cell r="I303" t="str">
            <v>bnc C/2(d-nc/3)</v>
          </cell>
        </row>
        <row r="304">
          <cell r="B304" t="str">
            <v>Main Steel, Ast</v>
          </cell>
          <cell r="C304" t="str">
            <v>=</v>
          </cell>
          <cell r="D304" t="str">
            <v>M/tjd</v>
          </cell>
        </row>
        <row r="305">
          <cell r="B305" t="str">
            <v>t</v>
          </cell>
          <cell r="C305" t="str">
            <v>=</v>
          </cell>
          <cell r="D305">
            <v>1500</v>
          </cell>
          <cell r="E305" t="str">
            <v>kg/cm2</v>
          </cell>
        </row>
        <row r="306">
          <cell r="B306" t="str">
            <v>j</v>
          </cell>
          <cell r="C306" t="str">
            <v>=</v>
          </cell>
          <cell r="D306">
            <v>0.87</v>
          </cell>
        </row>
        <row r="307">
          <cell r="B307" t="str">
            <v>d</v>
          </cell>
          <cell r="C307" t="str">
            <v>=</v>
          </cell>
          <cell r="D307">
            <v>30</v>
          </cell>
          <cell r="E307" t="str">
            <v>cm</v>
          </cell>
        </row>
        <row r="308">
          <cell r="B308" t="str">
            <v>Ast</v>
          </cell>
          <cell r="C308" t="str">
            <v>=</v>
          </cell>
          <cell r="D308">
            <v>22.949327154121953</v>
          </cell>
          <cell r="E308" t="str">
            <v>cm2</v>
          </cell>
        </row>
        <row r="309">
          <cell r="B309" t="str">
            <v>Area of each bar, a</v>
          </cell>
          <cell r="C309" t="str">
            <v>=</v>
          </cell>
          <cell r="D309">
            <v>3.1428571428571428</v>
          </cell>
        </row>
        <row r="310">
          <cell r="B310" t="str">
            <v>Spacing of main steel</v>
          </cell>
          <cell r="C310" t="str">
            <v>=</v>
          </cell>
          <cell r="D310" t="str">
            <v>a x 100 / Ast</v>
          </cell>
        </row>
        <row r="311">
          <cell r="C311" t="str">
            <v>=</v>
          </cell>
          <cell r="D311">
            <v>13.69476813742947</v>
          </cell>
          <cell r="E311" t="str">
            <v>cm c/c</v>
          </cell>
        </row>
        <row r="312">
          <cell r="B312" t="str">
            <v>Provide</v>
          </cell>
          <cell r="C312">
            <v>20</v>
          </cell>
          <cell r="D312" t="str">
            <v xml:space="preserve">mm Ø  at  </v>
          </cell>
          <cell r="E312">
            <v>12</v>
          </cell>
          <cell r="F312" t="str">
            <v>cm c/c at Bottom</v>
          </cell>
        </row>
        <row r="313">
          <cell r="B313" t="str">
            <v>Actual area of steel provided</v>
          </cell>
          <cell r="C313" t="str">
            <v>=</v>
          </cell>
          <cell r="D313">
            <v>26.19047619047619</v>
          </cell>
          <cell r="E313" t="str">
            <v>&gt;</v>
          </cell>
          <cell r="F313">
            <v>22.949327154121953</v>
          </cell>
        </row>
        <row r="314">
          <cell r="B314" t="str">
            <v>Steel Provided is OK</v>
          </cell>
        </row>
        <row r="318">
          <cell r="B318" t="str">
            <v>Distribution Steel:</v>
          </cell>
        </row>
        <row r="319">
          <cell r="B319" t="str">
            <v>Distribution Steel</v>
          </cell>
          <cell r="C319" t="str">
            <v>=</v>
          </cell>
          <cell r="D319" t="str">
            <v>0.20 % of gross sectional area of slab</v>
          </cell>
        </row>
        <row r="320">
          <cell r="B320" t="str">
            <v>Ads</v>
          </cell>
          <cell r="C320" t="str">
            <v>=</v>
          </cell>
          <cell r="D320">
            <v>6.9999999999999991</v>
          </cell>
          <cell r="E320" t="str">
            <v>cm2</v>
          </cell>
        </row>
        <row r="321">
          <cell r="B321" t="str">
            <v>Distribution steel diameter</v>
          </cell>
          <cell r="C321" t="str">
            <v>=</v>
          </cell>
          <cell r="D321">
            <v>10</v>
          </cell>
          <cell r="E321" t="str">
            <v>mm</v>
          </cell>
        </row>
        <row r="322">
          <cell r="B322" t="str">
            <v>area of each bar, 'a'</v>
          </cell>
          <cell r="C322" t="str">
            <v>=</v>
          </cell>
          <cell r="D322">
            <v>0.7857142857142857</v>
          </cell>
          <cell r="E322" t="str">
            <v>cm2</v>
          </cell>
        </row>
        <row r="323">
          <cell r="B323" t="str">
            <v>spacing of distribution bars</v>
          </cell>
          <cell r="C323" t="str">
            <v>=</v>
          </cell>
          <cell r="D323" t="str">
            <v>a*100 / Ads</v>
          </cell>
        </row>
        <row r="324">
          <cell r="C324" t="str">
            <v>=</v>
          </cell>
          <cell r="D324">
            <v>11.224489795918368</v>
          </cell>
          <cell r="E324" t="str">
            <v>cm</v>
          </cell>
        </row>
        <row r="325">
          <cell r="B325" t="str">
            <v>Provide</v>
          </cell>
          <cell r="C325">
            <v>10</v>
          </cell>
          <cell r="D325" t="str">
            <v>mm      at</v>
          </cell>
          <cell r="E325">
            <v>15</v>
          </cell>
          <cell r="F325" t="str">
            <v>cm c/c bothways and on both faces.</v>
          </cell>
        </row>
        <row r="329">
          <cell r="B329" t="str">
            <v>CHECK FOR SHEAR:</v>
          </cell>
        </row>
        <row r="330">
          <cell r="B330" t="str">
            <v>Where, Shear Force, V</v>
          </cell>
          <cell r="C330" t="str">
            <v>=</v>
          </cell>
          <cell r="D330" t="str">
            <v>WL / 2</v>
          </cell>
          <cell r="E330" t="str">
            <v>-</v>
          </cell>
          <cell r="F330" t="str">
            <v>wd</v>
          </cell>
        </row>
        <row r="331">
          <cell r="C331" t="str">
            <v>=</v>
          </cell>
          <cell r="D331">
            <v>11.148314777857054</v>
          </cell>
          <cell r="E331" t="str">
            <v>-</v>
          </cell>
          <cell r="F331">
            <v>5.8675340936089766</v>
          </cell>
          <cell r="G331" t="str">
            <v>*</v>
          </cell>
          <cell r="H331">
            <v>0.3</v>
          </cell>
        </row>
        <row r="332">
          <cell r="C332" t="str">
            <v>=</v>
          </cell>
          <cell r="D332">
            <v>9.3880545497743615</v>
          </cell>
          <cell r="E332" t="str">
            <v>t</v>
          </cell>
        </row>
        <row r="333">
          <cell r="B333" t="str">
            <v>b</v>
          </cell>
          <cell r="C333" t="str">
            <v>=</v>
          </cell>
          <cell r="D333">
            <v>100</v>
          </cell>
          <cell r="E333" t="str">
            <v>cm</v>
          </cell>
        </row>
        <row r="334">
          <cell r="B334" t="str">
            <v>d</v>
          </cell>
          <cell r="C334" t="str">
            <v>=</v>
          </cell>
          <cell r="D334">
            <v>30</v>
          </cell>
          <cell r="E334" t="str">
            <v>cm</v>
          </cell>
        </row>
        <row r="335">
          <cell r="B335" t="str">
            <v>Nominal Shear Stress,   τv</v>
          </cell>
          <cell r="C335" t="str">
            <v>=</v>
          </cell>
          <cell r="D335" t="str">
            <v>V/bd</v>
          </cell>
        </row>
        <row r="336">
          <cell r="C336" t="str">
            <v>=</v>
          </cell>
          <cell r="D336">
            <v>3.1293515165914538</v>
          </cell>
          <cell r="E336" t="str">
            <v>kg/cm2</v>
          </cell>
        </row>
        <row r="337">
          <cell r="B337" t="str">
            <v>Permissible Shear Stress in Concrete(   τc ):</v>
          </cell>
        </row>
        <row r="338">
          <cell r="B338" t="str">
            <v>% of steel provided</v>
          </cell>
          <cell r="C338" t="str">
            <v>=</v>
          </cell>
          <cell r="D338" t="str">
            <v>100*Ast/bd</v>
          </cell>
        </row>
        <row r="339">
          <cell r="C339" t="str">
            <v>=</v>
          </cell>
          <cell r="D339">
            <v>0.87301587301587291</v>
          </cell>
          <cell r="E339" t="str">
            <v>%</v>
          </cell>
        </row>
        <row r="340">
          <cell r="B340" t="str">
            <v xml:space="preserve">As per table 23 of IS 456-2000, page 84, for M20 permissible shear stress </v>
          </cell>
        </row>
        <row r="341">
          <cell r="B341" t="str">
            <v>for %of steel provided is</v>
          </cell>
        </row>
        <row r="342">
          <cell r="D342" t="str">
            <v>%Steel</v>
          </cell>
          <cell r="E342" t="str">
            <v>Shear Stress in N/mm2</v>
          </cell>
        </row>
        <row r="343">
          <cell r="C343" t="str">
            <v>For</v>
          </cell>
          <cell r="D343">
            <v>0.75</v>
          </cell>
          <cell r="F343">
            <v>0.35</v>
          </cell>
        </row>
        <row r="344">
          <cell r="D344" t="str">
            <v>%Steel</v>
          </cell>
        </row>
        <row r="345">
          <cell r="C345" t="str">
            <v>For</v>
          </cell>
          <cell r="D345">
            <v>1</v>
          </cell>
          <cell r="F345">
            <v>0.39</v>
          </cell>
        </row>
        <row r="347">
          <cell r="B347" t="str">
            <v>Permissible Shear Stress for</v>
          </cell>
          <cell r="D347">
            <v>0.87301587301587291</v>
          </cell>
          <cell r="F347">
            <v>0.36968253968253967</v>
          </cell>
          <cell r="G347" t="str">
            <v>=</v>
          </cell>
          <cell r="H347">
            <v>3.6968253968253966</v>
          </cell>
          <cell r="I347" t="str">
            <v>kg/cm2</v>
          </cell>
        </row>
        <row r="348">
          <cell r="B348" t="str">
            <v>Since   τv</v>
          </cell>
          <cell r="C348" t="str">
            <v>&lt;</v>
          </cell>
          <cell r="D348" t="str">
            <v xml:space="preserve">  τc</v>
          </cell>
        </row>
        <row r="349">
          <cell r="B349" t="str">
            <v xml:space="preserve">Shear Reinforcement </v>
          </cell>
          <cell r="D349" t="str">
            <v>not required</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Akoli"/>
      <sheetName val="Annex-C"/>
      <sheetName val="ES-akoli"/>
      <sheetName val="abs-akoli"/>
      <sheetName val="abs (2)akoli"/>
      <sheetName val="est-Akoli"/>
      <sheetName val="Cd nam"/>
      <sheetName val="cd namnoor 1"/>
      <sheetName val="sub-1"/>
      <sheetName val="sub-2"/>
      <sheetName val="sub-3"/>
      <sheetName val="sub-4"/>
      <sheetName val="ewcal (2)-akoli"/>
      <sheetName val="ewcal-akoli"/>
      <sheetName val="cover-Akoli"/>
      <sheetName val="Ann-Korta"/>
      <sheetName val="cover-korta"/>
      <sheetName val="Culvert-3"/>
      <sheetName val="Culvert-(2)"/>
      <sheetName val="Culvert-1"/>
      <sheetName val="abs (2)ko"/>
      <sheetName val="abs-korta"/>
      <sheetName val="est-korta"/>
      <sheetName val="ES-korta"/>
      <sheetName val="ewcal-korta (2)"/>
      <sheetName val="ewcal-korta"/>
      <sheetName val="Lead"/>
      <sheetName val="data"/>
      <sheetName val="abs_(2)akoli"/>
      <sheetName val="Cd_nam"/>
      <sheetName val="cd_namnoor_1"/>
      <sheetName val="ewcal_(2)-akoli"/>
      <sheetName val="abs_(2)ko"/>
      <sheetName val="ewcal-korta_(2)"/>
      <sheetName val="Data.F8.BTR"/>
      <sheetName val="abs_(2)akoli1"/>
      <sheetName val="Cd_nam1"/>
      <sheetName val="cd_namnoor_11"/>
      <sheetName val="ewcal_(2)-akoli1"/>
      <sheetName val="abs_(2)ko1"/>
      <sheetName val="ewcal-korta_(2)1"/>
      <sheetName val="Data_F8_BTR"/>
      <sheetName val="r"/>
      <sheetName val="HDPE"/>
      <sheetName val="DI"/>
      <sheetName val="pvc"/>
      <sheetName val="pvc_basic"/>
      <sheetName val="hdpe_basic"/>
      <sheetName val="Common "/>
      <sheetName val="Work_sheet"/>
      <sheetName val="t_prsr"/>
      <sheetName val="id"/>
      <sheetName val="GN_ST_10"/>
      <sheetName val="GN-ST-10"/>
      <sheetName val="data existing_do not delete"/>
      <sheetName val="Usage"/>
      <sheetName val="General"/>
      <sheetName val="Cover"/>
      <sheetName val="MRATES"/>
      <sheetName val="segments-details"/>
      <sheetName val="int-Dia-hdpe"/>
      <sheetName val="habs-list"/>
      <sheetName val="int-Dia-pvc"/>
      <sheetName val="GF SB Ok "/>
      <sheetName val="Specification report"/>
      <sheetName val="rdamdata"/>
      <sheetName val="lead-st"/>
      <sheetName val="Lead statement"/>
      <sheetName val="DATA-BASE"/>
      <sheetName val="DATA-ABSTRACT"/>
      <sheetName val="maya"/>
      <sheetName val="coverpage"/>
      <sheetName val="Road data"/>
      <sheetName val="leads"/>
      <sheetName val="Sheet1"/>
      <sheetName val="Sheet1 (2)"/>
      <sheetName val="Levels"/>
      <sheetName val="Bitumen trunk"/>
      <sheetName val="Feeder"/>
      <sheetName val="R99 etc"/>
      <sheetName val="Trunk unpaved"/>
      <sheetName val="Material"/>
      <sheetName val="Works"/>
      <sheetName val="RMR"/>
      <sheetName val="Lead statement ss5"/>
      <sheetName val="Compound wall  Ok"/>
      <sheetName val="Class IV Qtr. Ele"/>
      <sheetName val="BWSCPlt"/>
      <sheetName val="CI"/>
      <sheetName val="G.R.P"/>
      <sheetName val="PSC REVISED"/>
      <sheetName val="m"/>
      <sheetName val="HDPE-pipe-rates"/>
      <sheetName val="pvc-pipe-rates"/>
      <sheetName val="m1"/>
      <sheetName val="v"/>
      <sheetName val="Rate"/>
      <sheetName val="cover-Akoly"/>
      <sheetName val="cover-oorta"/>
      <sheetName val="ewcal-korti_(2)1"/>
      <sheetName val="int-Diá-pvc"/>
      <sheetName val="Analy_7-10"/>
      <sheetName val="DataInput"/>
      <sheetName val="DataInput-1"/>
      <sheetName val="DI Rate Analysis"/>
      <sheetName val="Design"/>
      <sheetName val="Process"/>
      <sheetName val="SUMP1420KL@HW"/>
      <sheetName val="Sheet2"/>
      <sheetName val="MRMECADAMoad data"/>
      <sheetName val="R_Det"/>
      <sheetName val="ABS"/>
      <sheetName val="DATA_PRG"/>
      <sheetName val="sg-clay(d)"/>
      <sheetName val="Main sheet"/>
      <sheetName val="stone"/>
      <sheetName val="Labour"/>
      <sheetName val="Plant &amp;  Machinery"/>
      <sheetName val="MRoad data"/>
      <sheetName val="Convey"/>
      <sheetName val="DATA-2005-06"/>
      <sheetName val="BTR"/>
      <sheetName val="GenAbst"/>
      <sheetName val="Rates"/>
      <sheetName val="ewst"/>
      <sheetName val="PRECAST lightconc-II"/>
      <sheetName val="zone-8"/>
      <sheetName val="MHNO_LEV"/>
      <sheetName val="Av.G Level"/>
      <sheetName val="Data rough"/>
      <sheetName val="pop"/>
      <sheetName val="HS 30.04.2015.Final"/>
      <sheetName val="nodes"/>
      <sheetName val="int-Dia"/>
      <sheetName val="JAWAHAR-hyd-original"/>
      <sheetName val="abs_(2)akoli2"/>
      <sheetName val="Cd_nam2"/>
      <sheetName val="cd_namnoor_12"/>
      <sheetName val="ewcal_(2)-akoli2"/>
      <sheetName val="abs_(2)ko2"/>
      <sheetName val="ewcal-korta_(2)2"/>
      <sheetName val="Data_F8_BTR1"/>
      <sheetName val="Common_"/>
      <sheetName val="data_existing_do_not_delete"/>
      <sheetName val="Sheet9"/>
      <sheetName val="Data-ELSR"/>
      <sheetName val=" Data -Valves"/>
      <sheetName val="Rates SSR 2008-09"/>
      <sheetName val="moments-table(tri)"/>
      <sheetName val="ssr-rates"/>
      <sheetName val="hdpe_rates"/>
      <sheetName val="hdpe_wt-r"/>
      <sheetName val="pvc-rates"/>
      <sheetName val="PVC weights"/>
      <sheetName val="index"/>
      <sheetName val="Lookup"/>
      <sheetName val="Abs PMRL"/>
      <sheetName val="sch"/>
      <sheetName val="Main"/>
      <sheetName val="dlvoid"/>
      <sheetName val="slab"/>
      <sheetName val="Staff Acco."/>
      <sheetName val="HPs HPs"/>
      <sheetName val="Design of two-way slab"/>
      <sheetName val="Road_data"/>
      <sheetName val="abs_(2)akoli3"/>
      <sheetName val="Cd_nam3"/>
      <sheetName val="cd_namnoor_13"/>
      <sheetName val="ewcal_(2)-akoli3"/>
      <sheetName val="abs_(2)ko3"/>
      <sheetName val="ewcal-korta_(2)3"/>
      <sheetName val="Data_F8_BTR2"/>
      <sheetName val="data_existing_do_not_delete1"/>
      <sheetName val="Road_data1"/>
      <sheetName val="Common_1"/>
      <sheetName val="51"/>
      <sheetName val="mlead"/>
      <sheetName val="p&amp;m"/>
      <sheetName val="Boq (Main Building)"/>
      <sheetName val="C-data"/>
      <sheetName val="detls"/>
      <sheetName val="pumping main"/>
      <sheetName val="hdpe weights"/>
      <sheetName val=" data sheet "/>
      <sheetName val="HS 1"/>
      <sheetName val="0000000000000"/>
      <sheetName val="PUMP_DATA"/>
      <sheetName val="water-hammar-strenght"/>
      <sheetName val="wh_data"/>
      <sheetName val="wh_data_R"/>
      <sheetName val="CPHEEO"/>
      <sheetName val="input"/>
      <sheetName val="TBAL9697 -group wise  sdpl"/>
      <sheetName val="RAFT"/>
      <sheetName val="scour depth"/>
      <sheetName val="Boq"/>
      <sheetName val="Road data-TDR"/>
      <sheetName val="Summary"/>
      <sheetName val="Sheet3"/>
      <sheetName val="abs road"/>
      <sheetName val="ultmom"/>
      <sheetName val="GM&amp;PM WE1 EST"/>
      <sheetName val="BWSCP"/>
      <sheetName val="Detailed"/>
      <sheetName val="AV_GRP ms bwsc"/>
      <sheetName val="boredetails"/>
      <sheetName val="Valves"/>
      <sheetName val="MS Rates"/>
      <sheetName val="BS8007"/>
      <sheetName val="LOCAL RATES"/>
      <sheetName val="Z1_DATA"/>
      <sheetName val="nandipet intra"/>
      <sheetName val="CS "/>
      <sheetName val="CPI"/>
      <sheetName val="WPI C"/>
      <sheetName val="WPI all"/>
      <sheetName val="WPI HM"/>
      <sheetName val="WPI S"/>
      <sheetName val="Challan"/>
      <sheetName val="dump"/>
      <sheetName val="SSR 2014-15 Rates"/>
      <sheetName val="Data_Base"/>
      <sheetName val="Factory_rates"/>
      <sheetName val="Specification"/>
      <sheetName val="quarry"/>
      <sheetName val="zone-2"/>
      <sheetName val="Master data"/>
      <sheetName val="TCS_Schedule (2)"/>
      <sheetName val="joinery data"/>
      <sheetName val="GF_SB_Ok_"/>
      <sheetName val="Specification_report"/>
      <sheetName val="Compound_wall__Ok"/>
      <sheetName val="Bitumen_trunk"/>
      <sheetName val="R99_etc"/>
      <sheetName val="Trunk_unpaved"/>
      <sheetName val="Class_IV_Qtr__Ele"/>
      <sheetName val="Lead_statement"/>
      <sheetName val="G_R_P"/>
      <sheetName val="PSC_REVISED"/>
      <sheetName val="Sheet1_(2)"/>
      <sheetName val="Lead_statement_ss5"/>
      <sheetName val="DI_Rate_Analysis"/>
      <sheetName val="MRMECADAMoad_data"/>
      <sheetName val="Main_sheet"/>
      <sheetName val="MTC-estimate"/>
      <sheetName val="ESTIMATE"/>
      <sheetName val="CC Road"/>
      <sheetName val="road est"/>
      <sheetName val="title"/>
      <sheetName val="pier design"/>
      <sheetName val="sup dat"/>
      <sheetName val="Rate Analysis"/>
      <sheetName val="Masonry"/>
      <sheetName val="hdpe-rates"/>
      <sheetName val="Economic RisingMain  Ph-I"/>
      <sheetName val="Line"/>
      <sheetName val="CRUST"/>
      <sheetName val="QDTS"/>
      <sheetName val="Habcodes"/>
      <sheetName val="wh"/>
      <sheetName val="Bridge Data 2005-06"/>
      <sheetName val="Civil Boq"/>
      <sheetName val="C.D.Abs.Est."/>
      <sheetName val="_5wgdhabfinal00_01"/>
      <sheetName val="PM&amp;GM"/>
      <sheetName val="AV-PVC"/>
      <sheetName val="DI gate-DI"/>
      <sheetName val="DIgate_PVC "/>
      <sheetName val="Nspt-smp-final-ORIGINAL"/>
      <sheetName val="LIST"/>
      <sheetName val="Addl.40"/>
      <sheetName val="A"/>
      <sheetName val="int d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sheetData sheetId="43"/>
      <sheetData sheetId="44" refreshError="1"/>
      <sheetData sheetId="45" refreshError="1"/>
      <sheetData sheetId="46" refreshError="1"/>
      <sheetData sheetId="47"/>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PP11"/>
      <sheetName val="PP12"/>
      <sheetName val="CC.Run."/>
      <sheetName val="Part"/>
      <sheetName val="CC.Fin"/>
      <sheetName val="Final"/>
      <sheetName val="Cert."/>
      <sheetName val="VAT"/>
      <sheetName val="NAC"/>
      <sheetName val="Com.Rpt"/>
      <sheetName val="SC"/>
      <sheetName val="Workslip"/>
      <sheetName val="QC letter"/>
      <sheetName val="QC check slip"/>
      <sheetName val="QC check slip (2)"/>
      <sheetName val="VAT,IT,NAC,LC"/>
      <sheetName val="WD com.stt."/>
      <sheetName val="Proforma-I."/>
      <sheetName val="Proforma-II."/>
      <sheetName val="Proforma-III."/>
      <sheetName val="Proforma-IV."/>
      <sheetName val="Programme of work"/>
      <sheetName val="QC chckslip"/>
      <sheetName val="Cert. (2)"/>
      <sheetName val="PD for Red,BC soils"/>
      <sheetName val="PD for Grave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vent Pipe"/>
      <sheetName val="Four vents"/>
      <sheetName val="two vents"/>
      <sheetName val="data"/>
      <sheetName val="Lead"/>
      <sheetName val="Designs"/>
      <sheetName val="3Vents"/>
      <sheetName val="Abut"/>
      <sheetName val="Pier"/>
      <sheetName val="Speci"/>
      <sheetName val="One vent "/>
      <sheetName val="Material"/>
      <sheetName val="Sheet1"/>
      <sheetName val="Contents"/>
      <sheetName val="Plant &amp;  Machinery"/>
      <sheetName val="Labour"/>
      <sheetName val="Lead statement (2)"/>
      <sheetName val="Lead statement"/>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Lead (2)"/>
      <sheetName val="Data (2)"/>
      <sheetName val="Estimate"/>
      <sheetName val="XXXXXXXXXXXXX"/>
      <sheetName val="0000000000000"/>
      <sheetName val="6.5% (2)"/>
      <sheetName val="est (2)"/>
      <sheetName val="XXXXXXXXXXXX0"/>
      <sheetName val="Abstract (2)"/>
      <sheetName val="Detailed"/>
      <sheetName val="key (2)"/>
      <sheetName val="pro-B (2)"/>
      <sheetName val="est  (mord)"/>
      <sheetName val="est(old) "/>
      <sheetName val="6.5%"/>
      <sheetName val="10%"/>
      <sheetName val="m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D5">
            <v>137</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 CWs"/>
      <sheetName val="CW-ZPS-A"/>
      <sheetName val="CW-ZPS-D"/>
      <sheetName val="CW-CH-A"/>
      <sheetName val="CW-CH-D-C"/>
      <sheetName val="CW-CH-D"/>
      <sheetName val="CW-AB-A"/>
      <sheetName val="CW-AB-D"/>
      <sheetName val="CW-GP-AB"/>
      <sheetName val="CW-GP-D"/>
      <sheetName val="Data (2)"/>
      <sheetName val="Lea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Leads"/>
      <sheetName val="I.R.P"/>
      <sheetName val="open well"/>
      <sheetName val="ringwell"/>
      <sheetName val="bwell"/>
      <sheetName val="Lead"/>
      <sheetName val="coverpage"/>
      <sheetName val="Road data"/>
      <sheetName val="DATA-BASE"/>
      <sheetName val="DATA-ABSTRACT"/>
      <sheetName val="boredetails"/>
      <sheetName val="r"/>
      <sheetName val="Labour"/>
      <sheetName val="census91"/>
      <sheetName val="Material"/>
      <sheetName val="Plant &amp;  Machinery"/>
      <sheetName val="ABS"/>
      <sheetName val="data existing_do not delete"/>
      <sheetName val="labour coeff"/>
      <sheetName val="Lead statement"/>
      <sheetName val="Data rough"/>
      <sheetName val="rdamdata"/>
    </sheetNames>
    <sheetDataSet>
      <sheetData sheetId="0" refreshError="1"/>
      <sheetData sheetId="1" refreshError="1"/>
      <sheetData sheetId="2" refreshError="1">
        <row r="9">
          <cell r="Q9">
            <v>171.75</v>
          </cell>
        </row>
        <row r="36">
          <cell r="Q36">
            <v>395.375</v>
          </cell>
        </row>
        <row r="39">
          <cell r="Q39">
            <v>1061.97</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bstract"/>
      <sheetName val="detailed"/>
      <sheetName val="btrates"/>
      <sheetName val="cost"/>
      <sheetName val="thick"/>
      <sheetName val="Leadcost"/>
      <sheetName val="leads"/>
      <sheetName val="data"/>
      <sheetName val="hp900"/>
      <sheetName val="CDdata (2)"/>
      <sheetName val="1v900"/>
      <sheetName val="2v900"/>
      <sheetName val="3v900"/>
      <sheetName val="impRdam"/>
      <sheetName val="lchart"/>
      <sheetName val="lchart1"/>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7">
          <cell r="H7">
            <v>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
      <sheetName val="PumpHouse1.50X1.20"/>
      <sheetName val="PumpHouse1.20X0.90"/>
      <sheetName val="Sheet1"/>
      <sheetName val="maya"/>
      <sheetName val="PumpHouse 0.90X0.90"/>
      <sheetName val="CR"/>
      <sheetName val="lead-st"/>
      <sheetName val="rdamdata"/>
      <sheetName val="r"/>
    </sheetNames>
    <sheetDataSet>
      <sheetData sheetId="0"/>
      <sheetData sheetId="1"/>
      <sheetData sheetId="2"/>
      <sheetData sheetId="3"/>
      <sheetData sheetId="4" refreshError="1">
        <row r="69">
          <cell r="A69" t="str">
            <v xml:space="preserve">Earth work excation and depositing on bank with initial lead and lift in loamy and clayee soils as per ss301 for foundations </v>
          </cell>
        </row>
        <row r="70">
          <cell r="A70" t="str">
            <v xml:space="preserve">Earth work excation for ISOLATED works and depositing on bank with initial lead and lift in loamy and clayee soils as per ss301 for foundations </v>
          </cell>
        </row>
        <row r="71">
          <cell r="A71" t="str">
            <v>Labour Charges</v>
          </cell>
        </row>
        <row r="72">
          <cell r="A72" t="str">
            <v>C.C (1:6:10 ) Mix for Foundation Concrete to ISOLATED works using 40mm H.B.Q metal including cost &amp; conveyance of materials and labour charges seigniorage charges etc complete .</v>
          </cell>
        </row>
        <row r="73">
          <cell r="A73">
            <v>0</v>
          </cell>
        </row>
        <row r="74">
          <cell r="A74" t="str">
            <v>C.C (1:4:8 ) Mix for Foundation Concrete to ISOLATED works using 40mm H.B.G metal including cost &amp; conveyance of materials and labour charges seigniorage charges etc complete .</v>
          </cell>
        </row>
        <row r="75">
          <cell r="A75" t="str">
            <v>Country brick Masonary in CM(1:6)Mix for Superstructure including  cost &amp; conveyance of all materials labour charges,seigniorage chargec,curing etc complete .</v>
          </cell>
        </row>
        <row r="76">
          <cell r="A76" t="str">
            <v xml:space="preserve">Country brick Masonary in CM(1:6)Mix for foundation &amp; basement to VALVE CHAMBERS including  cost &amp; conveyance of all materials labour charges,seigniorage chargec,curing etc complete. </v>
          </cell>
        </row>
        <row r="77">
          <cell r="A77" t="str">
            <v xml:space="preserve">C.C (1:2:4) Mix using 20mm  H.B.G metal including cost &amp; conveyance of all materials and labour charges seigniorage charges etc complete for R.C.C items </v>
          </cell>
        </row>
        <row r="78">
          <cell r="A78" t="str">
            <v>Country brick Masonary in CM(1:6)Mix for Superstructure to VALVE CHABERS including  cost &amp; conveyance of all materials labour charges,seigniorage chargec,curing etc complete .</v>
          </cell>
        </row>
        <row r="79">
          <cell r="A79">
            <v>0</v>
          </cell>
        </row>
        <row r="80">
          <cell r="A80" t="str">
            <v>C.C.(1:2:4)mix</v>
          </cell>
        </row>
        <row r="81">
          <cell r="A81">
            <v>0</v>
          </cell>
        </row>
        <row r="82">
          <cell r="A82" t="str">
            <v>R.C.C.(1:2:4) mix for Side walls to VALVE CHAMBERS using 20mm HBG chips with necessary Qty of steel per 1 cum of concrete including C &amp; C of all materials and labour charges seig charges, centering , curing etc complete but excluding cost of steel and fab</v>
          </cell>
        </row>
        <row r="83">
          <cell r="A83" t="str">
            <v>Sand for mortor</v>
          </cell>
        </row>
        <row r="84">
          <cell r="A84" t="str">
            <v>R.C.C.(1:2:4) mix for Cover slab to VALVE CHAMBERS using 20mm HBG chips with necessary Qty of steel per 1 cum of concrete including C &amp; C of all materials and labour charges seig charges, centering , curing etc complete but excluding cost of steel and fab</v>
          </cell>
        </row>
        <row r="85">
          <cell r="A85" t="str">
            <v>Sand for mortor</v>
          </cell>
        </row>
        <row r="86">
          <cell r="A86" t="str">
            <v>R.C.C.(1:2:4) mix for Bottom slab to VALVE CHAMBERS using 20mm HBG chips with necessary Qty of steel per 1 cum of concrete including C &amp; C of all materials and labour charges seig charges, centering , curing etc complete but excluding cost of steel and fa</v>
          </cell>
        </row>
        <row r="87">
          <cell r="A87" t="str">
            <v>C.C (1:3:6) Mix  using 40mm  H.B.G metal including cost &amp; conveyance of all materials and labour charges seigniorage charges etc complete.</v>
          </cell>
        </row>
        <row r="88">
          <cell r="A88">
            <v>0</v>
          </cell>
        </row>
        <row r="89">
          <cell r="A89" t="str">
            <v xml:space="preserve">C.C (1:3:6) Mix using 20mm  H.B.G metal including cost &amp; conveyance of all materials and labour charges seigniorage charges etc complete.  </v>
          </cell>
        </row>
        <row r="90">
          <cell r="A90">
            <v>0</v>
          </cell>
        </row>
        <row r="91">
          <cell r="A91">
            <v>0</v>
          </cell>
        </row>
        <row r="92">
          <cell r="A92" t="str">
            <v>Labour Charges</v>
          </cell>
        </row>
        <row r="93">
          <cell r="A93">
            <v>0</v>
          </cell>
        </row>
        <row r="94">
          <cell r="A94">
            <v>0</v>
          </cell>
        </row>
        <row r="95">
          <cell r="A95">
            <v>0</v>
          </cell>
        </row>
        <row r="96">
          <cell r="A96" t="str">
            <v xml:space="preserve">Sanding filling in foundation and basement for ISOLATED works including cost &amp; conveyance of all materials and labour charges seig charges , wtering and tamping etc, complete  </v>
          </cell>
        </row>
        <row r="97">
          <cell r="A97">
            <v>0</v>
          </cell>
        </row>
        <row r="98">
          <cell r="A98">
            <v>0</v>
          </cell>
        </row>
      </sheetData>
      <sheetData sheetId="5"/>
      <sheetData sheetId="6"/>
      <sheetData sheetId="7" refreshError="1"/>
      <sheetData sheetId="8" refreshError="1"/>
      <sheetData sheetId="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2000000000000"/>
      <sheetName val="3000000000000"/>
      <sheetName val="4000000000000"/>
      <sheetName val="5000000000000"/>
      <sheetName val="leadcharges"/>
      <sheetName val="STD DATA"/>
      <sheetName val="DATA 2"/>
      <sheetName val="Lead"/>
      <sheetName val="COVER"/>
      <sheetName val="index"/>
      <sheetName val="Report"/>
      <sheetName val="BCR"/>
      <sheetName val="abstract"/>
      <sheetName val="proposal"/>
      <sheetName val="rainfall"/>
      <sheetName val="bundqty"/>
      <sheetName val="weir"/>
      <sheetName val="desig cd works"/>
      <sheetName val="est canal"/>
      <sheetName val="cd works"/>
      <sheetName val="Lead "/>
      <sheetName val="Data"/>
      <sheetName val="l.s bund"/>
      <sheetName val="LFcanal"/>
      <sheetName val="RFcanal"/>
      <sheetName val="qrmap"/>
      <sheetName val="RouteMap"/>
      <sheetName val="drawings1"/>
      <sheetName val="Surplus Course"/>
      <sheetName val="Contour Map"/>
      <sheetName val="Certifica s "/>
      <sheetName val="inspn"/>
      <sheetName val="Chart1"/>
      <sheetName val="Sheet1"/>
      <sheetName val="certifc"/>
      <sheetName val="Regime"/>
      <sheetName val="weir heads (2)"/>
      <sheetName val="basicdata"/>
      <sheetName val="weir heads"/>
      <sheetName val="Data-abs"/>
      <sheetName val="Sheet2"/>
      <sheetName val="Data-abs (2)"/>
      <sheetName val="abstract "/>
      <sheetName val="General Abstract "/>
      <sheetName val="new data"/>
      <sheetName val="Sheet3"/>
      <sheetName val="DATA  ###"/>
      <sheetName val="Sheet5"/>
      <sheetName val="abstract of item"/>
      <sheetName val="canal and allid works "/>
      <sheetName val="conveyence charges "/>
      <sheetName val="new dat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ow r="7">
          <cell r="G7">
            <v>13</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QC chckslip"/>
      <sheetName val="QC check slip"/>
      <sheetName val="QC check slip (2)"/>
      <sheetName val="PP11"/>
      <sheetName val="PP12"/>
      <sheetName val="CC.Run."/>
      <sheetName val="Part"/>
      <sheetName val="CC.Fin"/>
      <sheetName val="Final"/>
      <sheetName val="Cert."/>
      <sheetName val="Cert. (2)"/>
      <sheetName val="SC"/>
      <sheetName val="VAT,IT,NAC,LC"/>
      <sheetName val="Com.Rpt"/>
      <sheetName val="Workslip"/>
      <sheetName val="WD com.stt."/>
      <sheetName val="PD for Red,BC soils"/>
      <sheetName val="PD for Gravel"/>
      <sheetName val="Proforma-I."/>
      <sheetName val="Proforma-II."/>
      <sheetName val="Proforma-III."/>
      <sheetName val="Proforma-IV."/>
      <sheetName val="Programme of work"/>
      <sheetName val="VAT"/>
      <sheetName val="NA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leads"/>
      <sheetName val="aug,02"/>
    </sheetNames>
    <sheetDataSet>
      <sheetData sheetId="0"/>
      <sheetData sheetId="1"/>
      <sheetData sheetId="2" refreshError="1">
        <row r="4">
          <cell r="G4" t="str">
            <v>Input Rate</v>
          </cell>
        </row>
        <row r="13">
          <cell r="G13" t="str">
            <v>Input Rate</v>
          </cell>
        </row>
      </sheetData>
      <sheetData sheetId="3" refreshError="1">
        <row r="5">
          <cell r="D5">
            <v>137</v>
          </cell>
        </row>
      </sheetData>
      <sheetData sheetId="4" refreshError="1">
        <row r="130">
          <cell r="D130">
            <v>26000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row r="4">
          <cell r="G4" t="str">
            <v>Input Rate</v>
          </cell>
        </row>
        <row r="13">
          <cell r="G13" t="str">
            <v>Input Rate</v>
          </cell>
        </row>
      </sheetData>
      <sheetData sheetId="3">
        <row r="5">
          <cell r="D5">
            <v>137</v>
          </cell>
        </row>
        <row r="19">
          <cell r="D19">
            <v>156</v>
          </cell>
        </row>
      </sheetData>
      <sheetData sheetId="4">
        <row r="47">
          <cell r="D47" t="str">
            <v>Input Rate</v>
          </cell>
        </row>
        <row r="51">
          <cell r="D51">
            <v>2400</v>
          </cell>
        </row>
        <row r="70">
          <cell r="D70" t="str">
            <v>Input Rate</v>
          </cell>
        </row>
        <row r="79">
          <cell r="D79" t="str">
            <v>Input Rate</v>
          </cell>
        </row>
        <row r="126">
          <cell r="D126" t="str">
            <v>Input Rate</v>
          </cell>
        </row>
        <row r="129">
          <cell r="D129">
            <v>27000</v>
          </cell>
        </row>
        <row r="130">
          <cell r="D130">
            <v>26000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General Abs."/>
      <sheetName val="ABS WEIR"/>
      <sheetName val="DET WEIR"/>
      <sheetName val="DE BUND"/>
      <sheetName val="abs bund"/>
      <sheetName val="ABS SLuice"/>
      <sheetName val="DE Sluice"/>
      <sheetName val="DET SILT"/>
      <sheetName val="ABS SILT"/>
      <sheetName val="ABS IC"/>
      <sheetName val="DET I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BTR"/>
      <sheetName val="RMR"/>
      <sheetName val="Road data"/>
      <sheetName val="Line"/>
      <sheetName val="GenAbst"/>
      <sheetName val="AS_SR"/>
      <sheetName val="TS_MDR"/>
      <sheetName val="AS_SR (3)"/>
      <sheetName val="Name"/>
      <sheetName val="Detailed"/>
      <sheetName val="Sheet1"/>
      <sheetName val="Rates"/>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BTR"/>
      <sheetName val="RMR"/>
      <sheetName val="Road data"/>
      <sheetName val="Line"/>
      <sheetName val="GenAbst"/>
      <sheetName val="AS_SR"/>
      <sheetName val="TS_MDR"/>
      <sheetName val="AS_SR (3)"/>
      <sheetName val="Name"/>
      <sheetName val="Detailed"/>
      <sheetName val="Sheet1"/>
      <sheetName val="Rates"/>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ow r="24">
          <cell r="C24">
            <v>196</v>
          </cell>
        </row>
      </sheetData>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_SHEET"/>
      <sheetName val="ANNEX"/>
      <sheetName val="P_REPORT"/>
      <sheetName val="SPECIFICATION"/>
      <sheetName val="ABS"/>
      <sheetName val="ESTT_MOST"/>
      <sheetName val="m"/>
      <sheetName val="M2"/>
      <sheetName val="M3"/>
      <sheetName val="m1"/>
      <sheetName val="DATA"/>
      <sheetName val="LE"/>
      <sheetName val="Sheet1"/>
      <sheetName val="0000000000000"/>
      <sheetName val="XXXXXXXXXXXXX"/>
      <sheetName val="XXXXXXXXXXXX0"/>
      <sheetName val="Leadstatement "/>
      <sheetName val="exe"/>
      <sheetName val="insp"/>
      <sheetName val="sp"/>
      <sheetName val="Sheet3"/>
      <sheetName val="sub-est"/>
      <sheetName val="ann-b"/>
      <sheetName val="EWCal"/>
      <sheetName val="Sheet4"/>
      <sheetName val="COR.EST"/>
      <sheetName val="Abstrct-Part A"/>
      <sheetName val="Lead"/>
      <sheetName val="r"/>
      <sheetName val="leads"/>
      <sheetName val="Road data"/>
      <sheetName val="Labour"/>
      <sheetName val="Material"/>
      <sheetName val="Plant &amp;  Machinery"/>
      <sheetName val="Data_Base"/>
      <sheetName val="maya"/>
      <sheetName val="Factory_rates"/>
      <sheetName val="lead-st"/>
      <sheetName val="rdamdata"/>
      <sheetName val="DATA-BASE"/>
      <sheetName val="Levels"/>
      <sheetName val="Plant_&amp;__Machinery"/>
      <sheetName val="quarry"/>
      <sheetName val="v"/>
      <sheetName val="DATA-ABSTRACT"/>
      <sheetName val="Bridge Data 2005-06"/>
      <sheetName val="Abstrct "/>
      <sheetName val="Abstrct  CD works"/>
      <sheetName val="est"/>
      <sheetName val="Slab cul-2m span 1"/>
      <sheetName val="Slab cul-3m span 2"/>
      <sheetName val="Slab cul-2m span 3"/>
      <sheetName val="Slab cul-2m span 4"/>
      <sheetName val="CC over pitching"/>
      <sheetName val="Data CD"/>
      <sheetName val="Lead Statement"/>
      <sheetName val="package summary"/>
      <sheetName val="Nindugerla"/>
      <sheetName val="cc pavement(b)"/>
      <sheetName val="foundations (b)"/>
      <sheetName val="est  (mord)"/>
      <sheetName val="Check Slip"/>
      <sheetName val="Sub Estiamte (2)"/>
      <sheetName val="Field Data"/>
      <sheetName val="Field Data (2)"/>
      <sheetName val="Field Data (3)"/>
      <sheetName val="3day Count"/>
      <sheetName val="Gen. Abstract"/>
      <sheetName val="sup dat"/>
      <sheetName val="Common "/>
      <sheetName val="Nspt-smp-final-ORIGINAL"/>
      <sheetName val="Work_sheet"/>
      <sheetName val="Sheet1 (2)"/>
      <sheetName val="GN-ST-10"/>
      <sheetName val="Class IV Qtr. Ele"/>
      <sheetName val="data existing_do not delete"/>
      <sheetName val="habs-list"/>
      <sheetName val="nodes"/>
      <sheetName val="other rates"/>
      <sheetName val="Part-A"/>
      <sheetName val="Sheet2"/>
      <sheetName val="in Put sheet"/>
      <sheetName val="Data.F8.BTR"/>
      <sheetName val="Bitumen trunk"/>
      <sheetName val="R99 etc"/>
      <sheetName val="Trunk unpaved"/>
      <sheetName val="mas_hab"/>
      <sheetName val="RMR"/>
      <sheetName val="Specification report"/>
      <sheetName val="ssr-rates"/>
      <sheetName val="final abstract"/>
      <sheetName val="Rates2"/>
      <sheetName val="clvrt_data"/>
      <sheetName val="Sheet9"/>
      <sheetName val="Plant_㫨__Machinery"/>
      <sheetName val="Plant 㫨  Machinery"/>
      <sheetName val="l"/>
      <sheetName val="HDPE"/>
      <sheetName val="DI"/>
      <sheetName val="pvc"/>
      <sheetName val="hdpe_basic"/>
      <sheetName val="pvc_basic"/>
      <sheetName val="Fie,d Data"/>
      <sheetName val="Estimate "/>
      <sheetName val="hdpe-rates"/>
      <sheetName val="hdpe weights"/>
      <sheetName val="pvc-rates"/>
      <sheetName val="PVC weights"/>
      <sheetName val="MRATES"/>
      <sheetName val="DATA_ENTRY"/>
      <sheetName val="BTLeads"/>
      <sheetName val="GF SB Ok "/>
      <sheetName val="GN_ST_10"/>
      <sheetName val="pvc-pipe-rates"/>
      <sheetName val="LEAD S 10-11"/>
      <sheetName val="Rates"/>
      <sheetName val="Usage"/>
      <sheetName val="General"/>
      <sheetName val="PRECAST lightconc-II"/>
      <sheetName val="water-hammar-strenght"/>
      <sheetName val="AV-HDPE"/>
      <sheetName val="Di_gate-HDPE"/>
      <sheetName val="index"/>
      <sheetName val="1V800"/>
      <sheetName val="Gen Abs"/>
      <sheetName val="CD_Data"/>
      <sheetName val="sch"/>
      <sheetName val="entitlements"/>
      <sheetName val="LOCAL RATES"/>
      <sheetName val="Road Detail Est."/>
      <sheetName val="fnote"/>
      <sheetName val="int-Dia"/>
      <sheetName val="QDTS"/>
      <sheetName val="Line"/>
      <sheetName val="detls"/>
      <sheetName val="DATA_PRG"/>
      <sheetName val="Cover"/>
      <sheetName val="Cover page  for Lead "/>
      <sheetName val="V.N.Pur 0.60MPGF"/>
      <sheetName val="B.W. BC COMMUNITY HALL"/>
      <sheetName val="AWB YALAL"/>
      <sheetName val="DOULAPUR "/>
      <sheetName val="Modal Estimate 2"/>
      <sheetName val="Modal Estimate "/>
      <sheetName val=" Ramp"/>
      <sheetName val="PS KOKAT"/>
      <sheetName val="Elec Estimate"/>
      <sheetName val="Sanitory Estimate"/>
      <sheetName val="Septic tank"/>
      <sheetName val="Bore &amp; Pumpset"/>
      <sheetName val="Furniture "/>
      <sheetName val="20 TNs Detailed Est "/>
      <sheetName val="Bar Bending Schedule"/>
      <sheetName val="Flush Door  Shutter Country"/>
      <sheetName val=" Compound wall  "/>
      <sheetName val="Datas"/>
      <sheetName val="Datas  Side wall "/>
      <sheetName val="Veternory  Desponsory  BLDG"/>
      <sheetName val="Rural Live stock"/>
      <sheetName val="Ele data "/>
      <sheetName val="Sanitary&amp;water supply DATA "/>
      <sheetName val=" Doors window- Country 2.0- 1.2"/>
      <sheetName val=" Doors window- Sal Wood "/>
      <sheetName val=" Doors window- Teak 17-18"/>
      <sheetName val=" Doors window- Country "/>
      <sheetName val=" Doors window- Country  -2.0 m"/>
      <sheetName val=" Doors and windows "/>
      <sheetName val="Conveyance"/>
      <sheetName val="MRoad data"/>
      <sheetName val="Sheet5"/>
      <sheetName val="QTY"/>
      <sheetName val="ESTIMATE"/>
      <sheetName val="BM-HOOP"/>
      <sheetName val="id"/>
      <sheetName val="Conv. 13-14"/>
      <sheetName val="GEN-ABS Del"/>
      <sheetName val="BTR"/>
      <sheetName val="Rates SSR 2008-09"/>
      <sheetName val="Suppl-data"/>
      <sheetName val="Note"/>
      <sheetName val="hdpe_rates"/>
      <sheetName val="hdpe_wt-r"/>
      <sheetName val="CRUST"/>
      <sheetName val="Masonry"/>
      <sheetName val="C.D.Abs.Est."/>
      <sheetName val="Convey"/>
      <sheetName val="Data rough"/>
      <sheetName val="Rate"/>
      <sheetName val="Habcodes"/>
      <sheetName val="Usage "/>
      <sheetName val="dlvoid"/>
      <sheetName val="COVERPAGE"/>
      <sheetName val="GBW"/>
      <sheetName val="Boq"/>
      <sheetName val="sand"/>
      <sheetName val="stone"/>
      <sheetName val="Door&amp;Window data"/>
      <sheetName val="segments-details"/>
      <sheetName val="Detailed"/>
      <sheetName val="mlead"/>
      <sheetName val="abs road"/>
      <sheetName val="road est"/>
      <sheetName val="Main sheet"/>
      <sheetName val="Rates-May-14"/>
      <sheetName val="GM&amp;PM EST- final "/>
      <sheetName val="Main"/>
      <sheetName val="Material "/>
      <sheetName val="int-dia-hdpe"/>
      <sheetName val="SCHEDULE"/>
      <sheetName val="Database"/>
      <sheetName val="schedule nos"/>
      <sheetName val="Summary"/>
      <sheetName val="JAWAHAR-hyd-original"/>
      <sheetName val="Pop"/>
      <sheetName val="DATA SHEET"/>
      <sheetName val="PUMP_DATA"/>
      <sheetName val="Lead statement ss5"/>
      <sheetName val="SSR"/>
      <sheetName val="RAM"/>
      <sheetName val="Data-all"/>
      <sheetName val="ewst"/>
      <sheetName val="datas slabs, beams"/>
      <sheetName val="VKB-Sump-20-Kotalguda-wd"/>
      <sheetName val="VKB-60-12.95-Burgply-wd"/>
      <sheetName val="VKB60-12.95-Brgply-Specials"/>
      <sheetName val="steel price variation"/>
      <sheetName val="DI Wt"/>
      <sheetName val="VKB-60-30-Enkepally-we4"/>
      <sheetName val="ESSR"/>
      <sheetName val="tax sheet"/>
      <sheetName val="Steel &amp; PV"/>
      <sheetName val="CEMENT - PV"/>
      <sheetName val="Watersoft (2)"/>
      <sheetName val="HDPE-pipe-rates"/>
      <sheetName val="sectorwise"/>
      <sheetName val="R_Det"/>
      <sheetName val="Input Sheet"/>
      <sheetName val="cover page"/>
      <sheetName val="Specification Repoer"/>
      <sheetName val="DETAILED ESTIMATE (2)"/>
      <sheetName val="Data (2)"/>
      <sheetName val="DETAILED ESTIMATE"/>
      <sheetName val="detailed dt22.10.2014"/>
      <sheetName val="PSet(1Ph)"/>
      <sheetName val="comparative"/>
      <sheetName val="seigniorage"/>
      <sheetName val="electrification"/>
      <sheetName val="ELEC datas"/>
      <sheetName val="san data"/>
      <sheetName val="SEIGNORAGE"/>
      <sheetName val="SCHEDULE."/>
      <sheetName val="Est (2)"/>
      <sheetName val="report"/>
      <sheetName val="C-data"/>
      <sheetName val="Lead  RATES"/>
      <sheetName val="CI"/>
      <sheetName val="calcul"/>
      <sheetName val="Data_Bit_I"/>
      <sheetName val="leads-11-12"/>
      <sheetName val="PVC_dia"/>
      <sheetName val="Conveayance charges"/>
      <sheetName val="Hire"/>
      <sheetName val="SSR 2010-11 Rates"/>
      <sheetName val="TBAL9697 -group wise  sdpl"/>
      <sheetName val="Variables"/>
      <sheetName val="Feeder"/>
      <sheetName val="co_5"/>
      <sheetName val="Sump_cal"/>
      <sheetName val="pumping main"/>
      <sheetName val="t_prsr"/>
      <sheetName val="wh"/>
      <sheetName val="iocount"/>
      <sheetName val="FORM7"/>
      <sheetName val="wh_data_R"/>
      <sheetName val="#REF"/>
      <sheetName val="slab"/>
      <sheetName val="Staff Acco."/>
      <sheetName val="A.O.R."/>
      <sheetName val="zone-8"/>
      <sheetName val="MHNO_LEV"/>
      <sheetName val="basic-data"/>
      <sheetName val="Data o"/>
      <sheetName val="InputData"/>
      <sheetName val="Spec"/>
      <sheetName val="evaluate"/>
      <sheetName val="_5wgdhabfinal00_01"/>
      <sheetName val="leads-c"/>
      <sheetName val="LEAD LOOKUP"/>
      <sheetName val="BWSCPlt"/>
      <sheetName val="G.R.P"/>
      <sheetName val="PSC REVISED"/>
      <sheetName val="IDCCALHYD_GOO"/>
      <sheetName val="DATA HM KM NB"/>
      <sheetName val="M5 900"/>
      <sheetName val="M7"/>
      <sheetName val="Leadstatement_"/>
      <sheetName val="COR_EST"/>
      <sheetName val="Abstrct-Part_A"/>
      <sheetName val="Bridge_Data_2005-06"/>
      <sheetName val="Plant_&amp;__Machinery1"/>
      <sheetName val="Abstrct_"/>
      <sheetName val="Abstrct__CD_works"/>
      <sheetName val="Slab_cul-2m_span_1"/>
      <sheetName val="Slab_cul-3m_span_2"/>
      <sheetName val="Slab_cul-2m_span_3"/>
      <sheetName val="Slab_cul-2m_span_4"/>
      <sheetName val="CC_over_pitching"/>
      <sheetName val="Data_CD"/>
      <sheetName val="Lead_Statement"/>
      <sheetName val="package_summary"/>
      <sheetName val="cc_pavement(b)"/>
      <sheetName val="foundations_(b)"/>
      <sheetName val="est__(mord)"/>
      <sheetName val="Check_Slip"/>
      <sheetName val="Sub_Estiamte_(2)"/>
      <sheetName val="Field_Data"/>
      <sheetName val="Field_Data_(2)"/>
      <sheetName val="Field_Data_(3)"/>
      <sheetName val="3day_Count"/>
      <sheetName val="Gen__Abstract"/>
      <sheetName val="sup_dat"/>
      <sheetName val="Common_"/>
      <sheetName val="Specification_report"/>
      <sheetName val="Sheet1_(2)"/>
      <sheetName val="Class_IV_Qtr__Ele"/>
      <sheetName val="data_existing_do_not_delete"/>
      <sheetName val="other_rates"/>
      <sheetName val="in_Put_sheet"/>
      <sheetName val="Bitumen_trunk"/>
      <sheetName val="R99_etc"/>
      <sheetName val="Trunk_unpaved"/>
      <sheetName val="final_abstract"/>
      <sheetName val="Data_F8_BTR"/>
      <sheetName val="PRECAST_lightconc-II"/>
      <sheetName val="Plant_㫨__Machinery1"/>
      <sheetName val="Estimate_"/>
      <sheetName val="Conv__13-14"/>
      <sheetName val="GEN-ABS_Del"/>
      <sheetName val="Road_data"/>
      <sheetName val="Fie,d_Data"/>
      <sheetName val="hdpe_weights"/>
      <sheetName val="PVC_weights"/>
      <sheetName val="GF_SB_Ok_"/>
      <sheetName val="LEAD_S_10-11"/>
      <sheetName val="Gen_Abs"/>
      <sheetName val="Road_Detail_Est_"/>
      <sheetName val="Rates_SSR_2008-09"/>
      <sheetName val="P "/>
      <sheetName val="Input"/>
      <sheetName val="section"/>
      <sheetName val="boredetails"/>
      <sheetName val="Sorted"/>
      <sheetName val="int-Dia-pvc"/>
      <sheetName val="hyperstatic-3"/>
      <sheetName val="Stability"/>
      <sheetName val="p&amp;m"/>
      <sheetName val="GA"/>
      <sheetName val="Dn LF Sluice"/>
      <sheetName val="BOQ Distribution"/>
      <sheetName val="ultmom"/>
      <sheetName val="INPUT-DATA"/>
      <sheetName val="Lead- Input sheet "/>
      <sheetName val="Global factors"/>
      <sheetName val="Hydraulic Design (Pipe)"/>
    </sheetNames>
    <sheetDataSet>
      <sheetData sheetId="0" refreshError="1"/>
      <sheetData sheetId="1" refreshError="1"/>
      <sheetData sheetId="2" refreshError="1"/>
      <sheetData sheetId="3" refreshError="1"/>
      <sheetData sheetId="4" refreshError="1"/>
      <sheetData sheetId="5" refreshError="1"/>
      <sheetData sheetId="6" refreshError="1">
        <row r="3">
          <cell r="M3">
            <v>117</v>
          </cell>
        </row>
        <row r="149">
          <cell r="B149" t="str">
            <v>Bijnepally</v>
          </cell>
          <cell r="D149" t="str">
            <v>Bijnepally</v>
          </cell>
        </row>
      </sheetData>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_SHEET"/>
      <sheetName val="ANNEX"/>
      <sheetName val="P_REPORT"/>
      <sheetName val="SPECIFICATION"/>
      <sheetName val="ABS"/>
      <sheetName val="ESTT_MOST"/>
      <sheetName val="m"/>
      <sheetName val="M2"/>
      <sheetName val="M3"/>
      <sheetName val="m1"/>
      <sheetName val="DATA"/>
      <sheetName val="LE"/>
      <sheetName val="Sheet1"/>
      <sheetName val="UT Without Drop"/>
      <sheetName val="C.S  F,C Kamt"/>
      <sheetName val="Aug,02"/>
    </sheetNames>
    <sheetDataSet>
      <sheetData sheetId="0"/>
      <sheetData sheetId="1"/>
      <sheetData sheetId="2"/>
      <sheetData sheetId="3"/>
      <sheetData sheetId="4"/>
      <sheetData sheetId="5"/>
      <sheetData sheetId="6">
        <row r="3">
          <cell r="M3">
            <v>117</v>
          </cell>
        </row>
        <row r="149">
          <cell r="B149" t="str">
            <v>Bijnepally</v>
          </cell>
          <cell r="D149" t="str">
            <v>Bijnepally</v>
          </cell>
        </row>
      </sheetData>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vent Pipe"/>
      <sheetName val="Four vents"/>
      <sheetName val="two vents"/>
      <sheetName val="data"/>
      <sheetName val="Lead"/>
      <sheetName val="Designs"/>
      <sheetName val="3Vents"/>
      <sheetName val="Abut"/>
      <sheetName val="Pier"/>
      <sheetName val="Speci"/>
      <sheetName val="One vent "/>
      <sheetName val="Material"/>
      <sheetName val="Sheet1"/>
      <sheetName val="Contents"/>
      <sheetName val="Plant &amp;  Machinery"/>
      <sheetName val="Labour"/>
      <sheetName val="Lead statement (2)"/>
      <sheetName val="Lead statement"/>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Lead (2)"/>
      <sheetName val="Data (2)"/>
      <sheetName val="Estimate"/>
      <sheetName val="XXXXXXXXXXXXX"/>
      <sheetName val="0000000000000"/>
      <sheetName val="6.5% (2)"/>
      <sheetName val="est (2)"/>
      <sheetName val="XXXXXXXXXXXX0"/>
      <sheetName val="Abstract (2)"/>
      <sheetName val="Detailed"/>
      <sheetName val="key (2)"/>
      <sheetName val="pro-B (2)"/>
      <sheetName val="est  (mord)"/>
      <sheetName val="est(old) "/>
      <sheetName val="6.5%"/>
      <sheetName val="10%"/>
      <sheetName val="1000000000000"/>
      <sheetName val="Day1"/>
      <sheetName val="Day2"/>
      <sheetName val="Day3"/>
      <sheetName val="Sheet1 (2)"/>
      <sheetName val="pav-des"/>
      <sheetName val="ccdes"/>
      <sheetName val="key"/>
      <sheetName val="Sheet11"/>
      <sheetName val="Spe"/>
      <sheetName val="cert"/>
      <sheetName val="curve"/>
      <sheetName val="Sheet10"/>
      <sheetName val="Sheet16"/>
      <sheetName val="Sheet15"/>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7">
          <cell r="D17">
            <v>689.98</v>
          </cell>
        </row>
        <row r="113">
          <cell r="D113">
            <v>4304.08</v>
          </cell>
        </row>
        <row r="117">
          <cell r="D117">
            <v>918.77</v>
          </cell>
        </row>
      </sheetData>
      <sheetData sheetId="12" refreshError="1"/>
      <sheetData sheetId="13" refreshError="1"/>
      <sheetData sheetId="14" refreshError="1"/>
      <sheetData sheetId="15" refreshError="1">
        <row r="22">
          <cell r="D22">
            <v>165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COVER"/>
      <sheetName val="Report"/>
      <sheetName val="DetEst"/>
      <sheetName val="Sheet2"/>
      <sheetName val="ABS"/>
      <sheetName val="4v 1.2"/>
      <sheetName val="3V 1.0"/>
      <sheetName val="DATA_ENTRY"/>
      <sheetName val="Steel for Cc road"/>
      <sheetName val="abs cul"/>
      <sheetName val="Technical Note"/>
      <sheetName val="CC DRAIN"/>
      <sheetName val="2V 1.2"/>
      <sheetName val="2V 1.00"/>
      <sheetName val="1V 1.2"/>
      <sheetName val="2V0.6"/>
      <sheetName val="drg"/>
      <sheetName val="MRoad data"/>
      <sheetName val="est"/>
      <sheetName val="1V 1.0"/>
      <sheetName val="Lead"/>
      <sheetName val="WorkSlip"/>
      <sheetName val="Keymap"/>
      <sheetName val="BTLeads"/>
      <sheetName val="RMR"/>
      <sheetName val="Certificates"/>
      <sheetName val="MRAT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Report"/>
      <sheetName val="DetEst"/>
      <sheetName val="Sheet2"/>
      <sheetName val="ABS"/>
      <sheetName val="4v 1.2"/>
      <sheetName val="3V 1.0"/>
      <sheetName val="DATA_ENTRY"/>
      <sheetName val="Steel for Cc road"/>
      <sheetName val="abs cul"/>
      <sheetName val="Technical Note"/>
      <sheetName val="CC DRAIN"/>
      <sheetName val="2V 1.2"/>
      <sheetName val="2V 1.00"/>
      <sheetName val="1V 1.2"/>
      <sheetName val="2V0.6"/>
      <sheetName val="drg"/>
      <sheetName val="MRoad data"/>
      <sheetName val="est"/>
      <sheetName val="1V 1.0"/>
      <sheetName val="Lead"/>
      <sheetName val="WorkSlip"/>
      <sheetName val="Keymap"/>
      <sheetName val="BTLeads"/>
      <sheetName val="RMR"/>
      <sheetName val="Certificates"/>
      <sheetName val="MRAT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row r="4">
          <cell r="G4" t="str">
            <v>Input Rate</v>
          </cell>
        </row>
        <row r="13">
          <cell r="G13" t="str">
            <v>Input Rate</v>
          </cell>
        </row>
      </sheetData>
      <sheetData sheetId="3">
        <row r="5">
          <cell r="D5">
            <v>137</v>
          </cell>
        </row>
        <row r="19">
          <cell r="D19">
            <v>156</v>
          </cell>
        </row>
      </sheetData>
      <sheetData sheetId="4">
        <row r="47">
          <cell r="D47" t="str">
            <v>Input Rate</v>
          </cell>
        </row>
        <row r="51">
          <cell r="D51">
            <v>2400</v>
          </cell>
        </row>
        <row r="70">
          <cell r="D70" t="str">
            <v>Input Rate</v>
          </cell>
        </row>
        <row r="79">
          <cell r="D79" t="str">
            <v>Input Rate</v>
          </cell>
        </row>
        <row r="126">
          <cell r="D126" t="str">
            <v>Input Rate</v>
          </cell>
        </row>
        <row r="129">
          <cell r="D129">
            <v>27000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ewst"/>
      <sheetName val="bund"/>
      <sheetName val="Sheet3"/>
      <sheetName val="Sheet1"/>
      <sheetName val="Aug,02"/>
      <sheetName val="m"/>
      <sheetName val="ppraodata"/>
      <sheetName val="splmidata"/>
      <sheetName val="FSL"/>
      <sheetName val="Structures"/>
      <sheetName val="lsdat"/>
      <sheetName val="ALLAPUR "/>
      <sheetName val="BHIMARAM"/>
      <sheetName val="CHERLATIKYAL"/>
      <sheetName val="GUNTHAKODURU "/>
      <sheetName val="INDRAKAL"/>
      <sheetName val="KUMMERA "/>
      <sheetName val="KURUVANGA"/>
      <sheetName val="MALKAPUR"/>
      <sheetName val="NADIGADDA"/>
      <sheetName val="POLUMUR"/>
      <sheetName val="puljal final"/>
      <sheetName val="TADOOR"/>
      <sheetName val="TELKAPALLE"/>
      <sheetName val="THUMMALANUGUR"/>
      <sheetName val="THIRMALAPUR "/>
      <sheetName val="VENKATAPUR"/>
      <sheetName val="YENDABETTLE"/>
      <sheetName val="YENGAMPALLI "/>
      <sheetName val="YATTMATAVUR "/>
      <sheetName val="yadieddyypaali "/>
      <sheetName val="AMMANAKURTHI "/>
      <sheetName val="ANKUNURU"/>
      <sheetName val="BEEMDEVARAPALLY"/>
      <sheetName val="BOMMAKAL"/>
      <sheetName val="GATLANARASINGA"/>
      <sheetName val="GHANPURAM"/>
      <sheetName val="GODHISHALLA"/>
      <sheetName val="KOPPURU"/>
      <sheetName val="KOTHAKONDA"/>
      <sheetName val="KOTHAPALLI"/>
      <sheetName val="MALLARAM"/>
      <sheetName val="MANIKYAPUR"/>
      <sheetName val="MIRJAPUR"/>
      <sheetName val="MULKANURU"/>
      <sheetName val="MUSTAFAPUR"/>
      <sheetName val="MUTTARAM"/>
      <sheetName val="RATHNAGIRI"/>
      <sheetName val="UMMAPUR"/>
      <sheetName val="VANGARA"/>
      <sheetName val="VELERU"/>
      <sheetName val="YERABELLI"/>
      <sheetName val="AKNUR"/>
      <sheetName val="BAIRANPALLY"/>
      <sheetName val="DHARMARAM"/>
      <sheetName val="GAGILAPURAM"/>
      <sheetName val="LINGAPUR"/>
      <sheetName val="lakkapalli "/>
      <sheetName val="MARMAMULA "/>
      <sheetName val="MADDUR "/>
      <sheetName val="Sheet4"/>
      <sheetName val="REBARTHI"/>
      <sheetName val="SALAKPUR"/>
      <sheetName val="solipuram"/>
      <sheetName val="VANGAPALLY"/>
      <sheetName val="VALLAMPATLA"/>
      <sheetName val="AMMAPUR"/>
      <sheetName val="Akkarajupalli "/>
      <sheetName val="Bekkal"/>
      <sheetName val="BAIRANPALLY(FINAL)"/>
      <sheetName val="GUNDLASAGAR"/>
      <sheetName val="JANAKIPUR"/>
      <sheetName val="kondapur"/>
      <sheetName val="kootigal"/>
      <sheetName val="LADNOOR "/>
      <sheetName val="MALIYKUDURLLA"/>
      <sheetName val="NARAYANAGIRI FINAL"/>
      <sheetName val="NARMETTA"/>
      <sheetName val="NARSAPUR "/>
      <sheetName val="peechara"/>
      <sheetName val="POTHARAM "/>
      <sheetName val="SODASHAPALLY"/>
      <sheetName val="THARIGOPPULA"/>
      <sheetName val="veleruayacut"/>
      <sheetName val="BUND ABS"/>
      <sheetName val="Lead"/>
      <sheetName val="coverpage"/>
      <sheetName val="Road data"/>
      <sheetName val="leads"/>
      <sheetName val="r"/>
      <sheetName val="Data.F8.BTR"/>
      <sheetName val="Data (2)"/>
      <sheetName val="data"/>
      <sheetName val="Road Detail Est."/>
      <sheetName val="Levels"/>
      <sheetName val="Rates"/>
      <sheetName val="gen_abstrct"/>
      <sheetName val="v"/>
      <sheetName val="BTR"/>
      <sheetName val="quarry"/>
      <sheetName val="RMR"/>
      <sheetName val="rainfall"/>
      <sheetName val="3BPA00132-5-3 W plan HVPNL"/>
      <sheetName val="Wall W3"/>
      <sheetName val="BS8007"/>
      <sheetName val="ssr-rates"/>
      <sheetName val="DI"/>
      <sheetName val="EW"/>
      <sheetName val="OVERHEADS"/>
      <sheetName val="MRATES"/>
      <sheetName val="ssr20506"/>
      <sheetName val="CONST"/>
      <sheetName val="rdamdata"/>
      <sheetName val="LIST"/>
      <sheetName val="basic-data"/>
      <sheetName val="NonSSR"/>
      <sheetName val="MRoad data"/>
      <sheetName val="Equipment"/>
      <sheetName val="UT_Design"/>
      <sheetName val="bundqty"/>
      <sheetName val="water-hammar-strenght"/>
      <sheetName val="Vind - BtB"/>
      <sheetName val="Cover"/>
    </sheetNames>
    <sheetDataSet>
      <sheetData sheetId="0" refreshError="1"/>
      <sheetData sheetId="1" refreshError="1">
        <row r="13">
          <cell r="E13">
            <v>0.1</v>
          </cell>
          <cell r="F13">
            <v>4.5999999999999996</v>
          </cell>
          <cell r="G13">
            <v>1.38</v>
          </cell>
          <cell r="H13">
            <v>0</v>
          </cell>
          <cell r="I13">
            <v>0</v>
          </cell>
          <cell r="J13">
            <v>1.02</v>
          </cell>
          <cell r="K13">
            <v>0</v>
          </cell>
          <cell r="L13">
            <v>0</v>
          </cell>
          <cell r="M13">
            <v>0</v>
          </cell>
          <cell r="N13">
            <v>0.5</v>
          </cell>
          <cell r="O13">
            <v>0</v>
          </cell>
          <cell r="P13">
            <v>0</v>
          </cell>
          <cell r="Q13">
            <v>0</v>
          </cell>
          <cell r="R13">
            <v>0.1</v>
          </cell>
        </row>
        <row r="14">
          <cell r="E14">
            <v>0.2</v>
          </cell>
          <cell r="F14">
            <v>5</v>
          </cell>
          <cell r="G14">
            <v>1.5</v>
          </cell>
          <cell r="H14">
            <v>0</v>
          </cell>
          <cell r="I14">
            <v>0</v>
          </cell>
          <cell r="J14">
            <v>1.5</v>
          </cell>
          <cell r="K14">
            <v>0</v>
          </cell>
          <cell r="L14">
            <v>0</v>
          </cell>
          <cell r="M14">
            <v>0</v>
          </cell>
          <cell r="N14">
            <v>0.5</v>
          </cell>
          <cell r="O14">
            <v>0</v>
          </cell>
          <cell r="P14">
            <v>0</v>
          </cell>
          <cell r="Q14">
            <v>0</v>
          </cell>
          <cell r="R14">
            <v>0.2</v>
          </cell>
        </row>
        <row r="15">
          <cell r="E15">
            <v>0.3</v>
          </cell>
          <cell r="F15">
            <v>5.4</v>
          </cell>
          <cell r="G15">
            <v>1.62</v>
          </cell>
          <cell r="H15">
            <v>0</v>
          </cell>
          <cell r="I15">
            <v>0</v>
          </cell>
          <cell r="J15">
            <v>2.02</v>
          </cell>
          <cell r="K15">
            <v>0</v>
          </cell>
          <cell r="L15">
            <v>0</v>
          </cell>
          <cell r="M15">
            <v>0</v>
          </cell>
          <cell r="N15">
            <v>0.5</v>
          </cell>
          <cell r="O15">
            <v>0</v>
          </cell>
          <cell r="P15">
            <v>0</v>
          </cell>
          <cell r="Q15">
            <v>0</v>
          </cell>
          <cell r="R15">
            <v>0.3</v>
          </cell>
        </row>
        <row r="16">
          <cell r="E16">
            <v>0.4</v>
          </cell>
          <cell r="F16">
            <v>5.8</v>
          </cell>
          <cell r="G16">
            <v>1.74</v>
          </cell>
          <cell r="H16">
            <v>0</v>
          </cell>
          <cell r="I16">
            <v>0</v>
          </cell>
          <cell r="J16">
            <v>2.58</v>
          </cell>
          <cell r="K16">
            <v>0</v>
          </cell>
          <cell r="L16">
            <v>0</v>
          </cell>
          <cell r="M16">
            <v>0</v>
          </cell>
          <cell r="N16">
            <v>0.5</v>
          </cell>
          <cell r="O16">
            <v>0</v>
          </cell>
          <cell r="P16">
            <v>0</v>
          </cell>
          <cell r="Q16">
            <v>0</v>
          </cell>
          <cell r="R16">
            <v>0.4</v>
          </cell>
        </row>
        <row r="17">
          <cell r="E17">
            <v>0.5</v>
          </cell>
          <cell r="F17">
            <v>6.2</v>
          </cell>
          <cell r="G17">
            <v>1.86</v>
          </cell>
          <cell r="H17">
            <v>0</v>
          </cell>
          <cell r="I17">
            <v>0</v>
          </cell>
          <cell r="J17">
            <v>3.18</v>
          </cell>
          <cell r="K17">
            <v>0</v>
          </cell>
          <cell r="L17">
            <v>0</v>
          </cell>
          <cell r="M17">
            <v>0</v>
          </cell>
          <cell r="N17">
            <v>0.5</v>
          </cell>
          <cell r="O17">
            <v>0</v>
          </cell>
          <cell r="P17">
            <v>0</v>
          </cell>
          <cell r="Q17">
            <v>0</v>
          </cell>
          <cell r="R17">
            <v>0.5</v>
          </cell>
        </row>
        <row r="18">
          <cell r="E18">
            <v>0.6</v>
          </cell>
          <cell r="F18">
            <v>6.6</v>
          </cell>
          <cell r="G18">
            <v>1.98</v>
          </cell>
          <cell r="H18">
            <v>0</v>
          </cell>
          <cell r="I18">
            <v>0</v>
          </cell>
          <cell r="J18">
            <v>3.82</v>
          </cell>
          <cell r="K18">
            <v>0</v>
          </cell>
          <cell r="L18">
            <v>0</v>
          </cell>
          <cell r="M18">
            <v>0</v>
          </cell>
          <cell r="N18">
            <v>0.5</v>
          </cell>
          <cell r="O18">
            <v>0</v>
          </cell>
          <cell r="P18">
            <v>0</v>
          </cell>
          <cell r="Q18">
            <v>0</v>
          </cell>
          <cell r="R18">
            <v>0.6</v>
          </cell>
        </row>
        <row r="19">
          <cell r="E19">
            <v>0.7</v>
          </cell>
          <cell r="F19">
            <v>7</v>
          </cell>
          <cell r="G19">
            <v>2.1</v>
          </cell>
          <cell r="H19">
            <v>0</v>
          </cell>
          <cell r="I19">
            <v>0</v>
          </cell>
          <cell r="J19">
            <v>4.5</v>
          </cell>
          <cell r="K19">
            <v>0</v>
          </cell>
          <cell r="L19">
            <v>0</v>
          </cell>
          <cell r="M19">
            <v>0</v>
          </cell>
          <cell r="N19">
            <v>0.5</v>
          </cell>
          <cell r="O19">
            <v>0</v>
          </cell>
          <cell r="P19">
            <v>0</v>
          </cell>
          <cell r="Q19">
            <v>0</v>
          </cell>
          <cell r="R19">
            <v>0.7</v>
          </cell>
        </row>
        <row r="20">
          <cell r="E20">
            <v>0.8</v>
          </cell>
          <cell r="F20">
            <v>7.4</v>
          </cell>
          <cell r="G20">
            <v>2.2200000000000002</v>
          </cell>
          <cell r="H20">
            <v>0</v>
          </cell>
          <cell r="I20">
            <v>0</v>
          </cell>
          <cell r="J20">
            <v>5.22</v>
          </cell>
          <cell r="K20">
            <v>0</v>
          </cell>
          <cell r="L20">
            <v>0</v>
          </cell>
          <cell r="M20">
            <v>0</v>
          </cell>
          <cell r="N20">
            <v>0.5</v>
          </cell>
          <cell r="O20">
            <v>0</v>
          </cell>
          <cell r="P20">
            <v>0</v>
          </cell>
          <cell r="Q20">
            <v>0</v>
          </cell>
          <cell r="R20">
            <v>0.8</v>
          </cell>
        </row>
        <row r="21">
          <cell r="E21">
            <v>0.9</v>
          </cell>
          <cell r="F21">
            <v>7.8</v>
          </cell>
          <cell r="G21">
            <v>2.34</v>
          </cell>
          <cell r="H21">
            <v>0</v>
          </cell>
          <cell r="I21">
            <v>0</v>
          </cell>
          <cell r="J21">
            <v>5.98</v>
          </cell>
          <cell r="K21">
            <v>0</v>
          </cell>
          <cell r="L21">
            <v>0</v>
          </cell>
          <cell r="M21">
            <v>0</v>
          </cell>
          <cell r="N21">
            <v>0.5</v>
          </cell>
          <cell r="O21">
            <v>0</v>
          </cell>
          <cell r="P21">
            <v>0</v>
          </cell>
          <cell r="Q21">
            <v>0</v>
          </cell>
          <cell r="R21">
            <v>0.9</v>
          </cell>
        </row>
        <row r="22">
          <cell r="E22">
            <v>1</v>
          </cell>
          <cell r="F22">
            <v>8.1999999999999993</v>
          </cell>
          <cell r="G22">
            <v>2.46</v>
          </cell>
          <cell r="H22">
            <v>0</v>
          </cell>
          <cell r="I22">
            <v>0</v>
          </cell>
          <cell r="J22">
            <v>6.78</v>
          </cell>
          <cell r="K22">
            <v>0</v>
          </cell>
          <cell r="L22">
            <v>0</v>
          </cell>
          <cell r="M22">
            <v>0</v>
          </cell>
          <cell r="N22">
            <v>0.5</v>
          </cell>
          <cell r="O22">
            <v>0</v>
          </cell>
          <cell r="P22">
            <v>0</v>
          </cell>
          <cell r="Q22">
            <v>0</v>
          </cell>
          <cell r="R22">
            <v>1</v>
          </cell>
        </row>
        <row r="23">
          <cell r="E23">
            <v>1.1000000000000001</v>
          </cell>
          <cell r="F23">
            <v>8.6</v>
          </cell>
          <cell r="G23">
            <v>2.58</v>
          </cell>
          <cell r="H23">
            <v>0</v>
          </cell>
          <cell r="I23">
            <v>0</v>
          </cell>
          <cell r="J23">
            <v>7.62</v>
          </cell>
          <cell r="K23">
            <v>0</v>
          </cell>
          <cell r="L23">
            <v>0</v>
          </cell>
          <cell r="M23">
            <v>0</v>
          </cell>
          <cell r="N23">
            <v>0.5</v>
          </cell>
          <cell r="O23">
            <v>0</v>
          </cell>
          <cell r="P23">
            <v>0</v>
          </cell>
          <cell r="Q23">
            <v>0</v>
          </cell>
          <cell r="R23">
            <v>1.1000000000000001</v>
          </cell>
        </row>
        <row r="24">
          <cell r="E24">
            <v>1.2</v>
          </cell>
          <cell r="F24">
            <v>9</v>
          </cell>
          <cell r="G24">
            <v>2.7</v>
          </cell>
          <cell r="H24">
            <v>0</v>
          </cell>
          <cell r="I24">
            <v>0</v>
          </cell>
          <cell r="J24">
            <v>8.5</v>
          </cell>
          <cell r="K24">
            <v>0</v>
          </cell>
          <cell r="L24">
            <v>0</v>
          </cell>
          <cell r="M24">
            <v>0</v>
          </cell>
          <cell r="N24">
            <v>0.5</v>
          </cell>
          <cell r="O24">
            <v>0</v>
          </cell>
          <cell r="P24">
            <v>0</v>
          </cell>
          <cell r="Q24">
            <v>0</v>
          </cell>
          <cell r="R24">
            <v>1.2</v>
          </cell>
        </row>
        <row r="25">
          <cell r="E25">
            <v>1.3</v>
          </cell>
          <cell r="F25">
            <v>9.4</v>
          </cell>
          <cell r="G25">
            <v>2.82</v>
          </cell>
          <cell r="H25">
            <v>0</v>
          </cell>
          <cell r="I25">
            <v>0</v>
          </cell>
          <cell r="J25">
            <v>9.42</v>
          </cell>
          <cell r="K25">
            <v>0</v>
          </cell>
          <cell r="L25">
            <v>0</v>
          </cell>
          <cell r="M25">
            <v>0</v>
          </cell>
          <cell r="N25">
            <v>0.5</v>
          </cell>
          <cell r="O25">
            <v>0</v>
          </cell>
          <cell r="P25">
            <v>0</v>
          </cell>
          <cell r="Q25">
            <v>0</v>
          </cell>
          <cell r="R25">
            <v>1.3</v>
          </cell>
        </row>
        <row r="26">
          <cell r="E26">
            <v>1.4</v>
          </cell>
          <cell r="F26">
            <v>9.8000000000000007</v>
          </cell>
          <cell r="G26">
            <v>2.94</v>
          </cell>
          <cell r="H26">
            <v>1.98</v>
          </cell>
          <cell r="I26">
            <v>0</v>
          </cell>
          <cell r="J26">
            <v>10.38</v>
          </cell>
          <cell r="K26">
            <v>0</v>
          </cell>
          <cell r="L26">
            <v>0</v>
          </cell>
          <cell r="M26">
            <v>0</v>
          </cell>
          <cell r="N26">
            <v>0.5</v>
          </cell>
          <cell r="O26">
            <v>0</v>
          </cell>
          <cell r="P26">
            <v>0</v>
          </cell>
          <cell r="Q26">
            <v>0</v>
          </cell>
          <cell r="R26">
            <v>1.4</v>
          </cell>
        </row>
        <row r="27">
          <cell r="E27">
            <v>1.5</v>
          </cell>
          <cell r="F27">
            <v>10.199999999999999</v>
          </cell>
          <cell r="G27">
            <v>3.48</v>
          </cell>
          <cell r="H27">
            <v>1.98</v>
          </cell>
          <cell r="I27">
            <v>0</v>
          </cell>
          <cell r="J27">
            <v>9.09</v>
          </cell>
          <cell r="K27">
            <v>1.57</v>
          </cell>
          <cell r="L27">
            <v>1.1100000000000001</v>
          </cell>
          <cell r="M27">
            <v>0</v>
          </cell>
          <cell r="N27">
            <v>0.47</v>
          </cell>
          <cell r="O27">
            <v>0</v>
          </cell>
          <cell r="P27">
            <v>0</v>
          </cell>
          <cell r="Q27">
            <v>0</v>
          </cell>
          <cell r="R27">
            <v>1.5</v>
          </cell>
        </row>
        <row r="28">
          <cell r="E28">
            <v>1.6</v>
          </cell>
          <cell r="F28">
            <v>10.6</v>
          </cell>
          <cell r="G28">
            <v>3.6</v>
          </cell>
          <cell r="H28">
            <v>1.98</v>
          </cell>
          <cell r="I28">
            <v>0</v>
          </cell>
          <cell r="J28">
            <v>10</v>
          </cell>
          <cell r="K28">
            <v>1.64</v>
          </cell>
          <cell r="L28">
            <v>1.17</v>
          </cell>
          <cell r="M28">
            <v>0</v>
          </cell>
          <cell r="N28">
            <v>0.47</v>
          </cell>
          <cell r="O28">
            <v>0</v>
          </cell>
          <cell r="P28">
            <v>0</v>
          </cell>
          <cell r="Q28">
            <v>0</v>
          </cell>
          <cell r="R28">
            <v>1.6</v>
          </cell>
        </row>
        <row r="29">
          <cell r="E29">
            <v>1.7</v>
          </cell>
          <cell r="F29">
            <v>11</v>
          </cell>
          <cell r="G29">
            <v>3.72</v>
          </cell>
          <cell r="H29">
            <v>1.98</v>
          </cell>
          <cell r="I29">
            <v>0</v>
          </cell>
          <cell r="J29">
            <v>10.95</v>
          </cell>
          <cell r="K29">
            <v>1.7</v>
          </cell>
          <cell r="L29">
            <v>1.24</v>
          </cell>
          <cell r="M29">
            <v>0</v>
          </cell>
          <cell r="N29">
            <v>0.47</v>
          </cell>
          <cell r="O29">
            <v>0</v>
          </cell>
          <cell r="P29">
            <v>0</v>
          </cell>
          <cell r="Q29">
            <v>0</v>
          </cell>
          <cell r="R29">
            <v>1.7</v>
          </cell>
        </row>
        <row r="30">
          <cell r="E30">
            <v>1.8</v>
          </cell>
          <cell r="F30">
            <v>11.4</v>
          </cell>
          <cell r="G30">
            <v>3.84</v>
          </cell>
          <cell r="H30">
            <v>1.98</v>
          </cell>
          <cell r="I30">
            <v>0</v>
          </cell>
          <cell r="J30">
            <v>11.93</v>
          </cell>
          <cell r="K30">
            <v>1.77</v>
          </cell>
          <cell r="L30">
            <v>1.31</v>
          </cell>
          <cell r="M30">
            <v>0</v>
          </cell>
          <cell r="N30">
            <v>0.47</v>
          </cell>
          <cell r="O30">
            <v>0</v>
          </cell>
          <cell r="P30">
            <v>0</v>
          </cell>
          <cell r="Q30">
            <v>0</v>
          </cell>
          <cell r="R30">
            <v>1.8</v>
          </cell>
        </row>
        <row r="31">
          <cell r="E31">
            <v>1.9</v>
          </cell>
          <cell r="F31">
            <v>11.8</v>
          </cell>
          <cell r="G31">
            <v>3.96</v>
          </cell>
          <cell r="H31">
            <v>1.98</v>
          </cell>
          <cell r="I31">
            <v>0</v>
          </cell>
          <cell r="J31">
            <v>12.95</v>
          </cell>
          <cell r="K31">
            <v>1.84</v>
          </cell>
          <cell r="L31">
            <v>1.38</v>
          </cell>
          <cell r="M31">
            <v>0</v>
          </cell>
          <cell r="N31">
            <v>0.47</v>
          </cell>
          <cell r="O31">
            <v>0</v>
          </cell>
          <cell r="P31">
            <v>0</v>
          </cell>
          <cell r="Q31">
            <v>0</v>
          </cell>
          <cell r="R31">
            <v>1.9</v>
          </cell>
        </row>
        <row r="32">
          <cell r="E32">
            <v>2</v>
          </cell>
          <cell r="F32">
            <v>12.2</v>
          </cell>
          <cell r="G32">
            <v>4.08</v>
          </cell>
          <cell r="H32">
            <v>1.98</v>
          </cell>
          <cell r="I32">
            <v>0</v>
          </cell>
          <cell r="J32">
            <v>14.03</v>
          </cell>
          <cell r="K32">
            <v>1.9</v>
          </cell>
          <cell r="L32">
            <v>1.44</v>
          </cell>
          <cell r="M32">
            <v>0</v>
          </cell>
          <cell r="N32">
            <v>0.47</v>
          </cell>
          <cell r="O32">
            <v>0</v>
          </cell>
          <cell r="P32">
            <v>0</v>
          </cell>
          <cell r="Q32">
            <v>0</v>
          </cell>
          <cell r="R32">
            <v>2</v>
          </cell>
        </row>
        <row r="33">
          <cell r="E33">
            <v>2.1</v>
          </cell>
          <cell r="F33">
            <v>12.6</v>
          </cell>
          <cell r="G33">
            <v>4.2</v>
          </cell>
          <cell r="H33">
            <v>1.98</v>
          </cell>
          <cell r="I33">
            <v>0</v>
          </cell>
          <cell r="J33">
            <v>15.13</v>
          </cell>
          <cell r="K33">
            <v>1.97</v>
          </cell>
          <cell r="L33">
            <v>1.51</v>
          </cell>
          <cell r="M33">
            <v>0</v>
          </cell>
          <cell r="N33">
            <v>0.47</v>
          </cell>
          <cell r="O33">
            <v>0</v>
          </cell>
          <cell r="P33">
            <v>0</v>
          </cell>
          <cell r="Q33">
            <v>0</v>
          </cell>
          <cell r="R33">
            <v>2.1</v>
          </cell>
        </row>
        <row r="34">
          <cell r="E34">
            <v>2.2000000000000002</v>
          </cell>
          <cell r="F34">
            <v>13</v>
          </cell>
          <cell r="G34">
            <v>4.32</v>
          </cell>
          <cell r="H34">
            <v>1.978</v>
          </cell>
          <cell r="I34">
            <v>0</v>
          </cell>
          <cell r="J34">
            <v>16.27</v>
          </cell>
          <cell r="K34">
            <v>2.04</v>
          </cell>
          <cell r="L34">
            <v>1.58</v>
          </cell>
          <cell r="M34">
            <v>0</v>
          </cell>
          <cell r="N34">
            <v>0.47</v>
          </cell>
          <cell r="O34">
            <v>0</v>
          </cell>
          <cell r="P34">
            <v>0</v>
          </cell>
          <cell r="Q34">
            <v>0</v>
          </cell>
          <cell r="R34">
            <v>2.2000000000000002</v>
          </cell>
        </row>
        <row r="35">
          <cell r="E35">
            <v>2.2999999999999998</v>
          </cell>
          <cell r="F35">
            <v>13.4</v>
          </cell>
          <cell r="G35">
            <v>4.4400000000000004</v>
          </cell>
          <cell r="H35">
            <v>1.98</v>
          </cell>
          <cell r="I35">
            <v>0</v>
          </cell>
          <cell r="J35">
            <v>17.47</v>
          </cell>
          <cell r="K35">
            <v>2.1</v>
          </cell>
          <cell r="L35">
            <v>1.64</v>
          </cell>
          <cell r="M35">
            <v>0</v>
          </cell>
          <cell r="N35">
            <v>0.47</v>
          </cell>
          <cell r="O35">
            <v>0</v>
          </cell>
          <cell r="P35">
            <v>0</v>
          </cell>
          <cell r="Q35">
            <v>0</v>
          </cell>
          <cell r="R35">
            <v>2.2999999999999998</v>
          </cell>
        </row>
        <row r="36">
          <cell r="E36">
            <v>2.4</v>
          </cell>
          <cell r="F36">
            <v>13.8</v>
          </cell>
          <cell r="G36">
            <v>4.5599999999999996</v>
          </cell>
          <cell r="H36">
            <v>1.98</v>
          </cell>
          <cell r="I36">
            <v>0</v>
          </cell>
          <cell r="J36">
            <v>18.690000000000001</v>
          </cell>
          <cell r="K36">
            <v>2.17</v>
          </cell>
          <cell r="L36">
            <v>1.71</v>
          </cell>
          <cell r="M36">
            <v>0</v>
          </cell>
          <cell r="N36">
            <v>0.47</v>
          </cell>
          <cell r="O36">
            <v>0</v>
          </cell>
          <cell r="P36">
            <v>0</v>
          </cell>
          <cell r="Q36">
            <v>0</v>
          </cell>
          <cell r="R36">
            <v>2.4</v>
          </cell>
        </row>
        <row r="37">
          <cell r="E37">
            <v>2.5</v>
          </cell>
          <cell r="F37">
            <v>14.2</v>
          </cell>
          <cell r="G37">
            <v>4.68</v>
          </cell>
          <cell r="H37">
            <v>1.98</v>
          </cell>
          <cell r="I37">
            <v>0</v>
          </cell>
          <cell r="J37">
            <v>19.95</v>
          </cell>
          <cell r="K37">
            <v>2.2400000000000002</v>
          </cell>
          <cell r="L37">
            <v>1.78</v>
          </cell>
          <cell r="M37">
            <v>0</v>
          </cell>
          <cell r="N37">
            <v>0.47</v>
          </cell>
          <cell r="O37">
            <v>0</v>
          </cell>
          <cell r="P37">
            <v>0</v>
          </cell>
          <cell r="Q37">
            <v>0</v>
          </cell>
          <cell r="R37">
            <v>2.5</v>
          </cell>
        </row>
        <row r="38">
          <cell r="E38">
            <v>2.6</v>
          </cell>
          <cell r="F38">
            <v>14.6</v>
          </cell>
          <cell r="G38">
            <v>4.8</v>
          </cell>
          <cell r="H38">
            <v>1.98</v>
          </cell>
          <cell r="I38">
            <v>0</v>
          </cell>
          <cell r="J38">
            <v>21.25</v>
          </cell>
          <cell r="K38">
            <v>2.31</v>
          </cell>
          <cell r="L38">
            <v>1.85</v>
          </cell>
          <cell r="M38">
            <v>0</v>
          </cell>
          <cell r="N38">
            <v>0.47</v>
          </cell>
          <cell r="O38">
            <v>0</v>
          </cell>
          <cell r="P38">
            <v>0</v>
          </cell>
          <cell r="Q38">
            <v>0</v>
          </cell>
          <cell r="R38">
            <v>2.6</v>
          </cell>
        </row>
        <row r="39">
          <cell r="E39">
            <v>2.7</v>
          </cell>
          <cell r="F39">
            <v>15</v>
          </cell>
          <cell r="G39">
            <v>4.92</v>
          </cell>
          <cell r="H39">
            <v>1.98</v>
          </cell>
          <cell r="I39">
            <v>0</v>
          </cell>
          <cell r="J39">
            <v>22.61</v>
          </cell>
          <cell r="K39">
            <v>2.37</v>
          </cell>
          <cell r="L39">
            <v>1.91</v>
          </cell>
          <cell r="M39">
            <v>0</v>
          </cell>
          <cell r="N39">
            <v>0.47</v>
          </cell>
          <cell r="O39">
            <v>0</v>
          </cell>
          <cell r="P39">
            <v>0</v>
          </cell>
          <cell r="Q39">
            <v>0</v>
          </cell>
          <cell r="R39">
            <v>2.7</v>
          </cell>
        </row>
        <row r="40">
          <cell r="E40">
            <v>2.8</v>
          </cell>
          <cell r="F40">
            <v>15.4</v>
          </cell>
          <cell r="G40">
            <v>5.04</v>
          </cell>
          <cell r="H40">
            <v>2.16</v>
          </cell>
          <cell r="I40">
            <v>0</v>
          </cell>
          <cell r="J40">
            <v>24.1</v>
          </cell>
          <cell r="K40">
            <v>2.44</v>
          </cell>
          <cell r="L40">
            <v>1.98</v>
          </cell>
          <cell r="M40">
            <v>0</v>
          </cell>
          <cell r="N40">
            <v>0.47</v>
          </cell>
          <cell r="O40">
            <v>0</v>
          </cell>
          <cell r="P40">
            <v>0</v>
          </cell>
          <cell r="Q40">
            <v>0</v>
          </cell>
          <cell r="R40">
            <v>2.8</v>
          </cell>
        </row>
        <row r="41">
          <cell r="E41">
            <v>2.9</v>
          </cell>
          <cell r="F41">
            <v>15.8</v>
          </cell>
          <cell r="G41">
            <v>5.16</v>
          </cell>
          <cell r="H41">
            <v>2.35</v>
          </cell>
          <cell r="I41">
            <v>0</v>
          </cell>
          <cell r="J41">
            <v>25.41</v>
          </cell>
          <cell r="K41">
            <v>2.5099999999999998</v>
          </cell>
          <cell r="L41">
            <v>2.0499999999999998</v>
          </cell>
          <cell r="M41">
            <v>0</v>
          </cell>
          <cell r="N41">
            <v>0.47</v>
          </cell>
          <cell r="O41">
            <v>0</v>
          </cell>
          <cell r="P41">
            <v>0</v>
          </cell>
          <cell r="Q41">
            <v>0</v>
          </cell>
          <cell r="R41">
            <v>2.9</v>
          </cell>
        </row>
        <row r="42">
          <cell r="E42">
            <v>3</v>
          </cell>
          <cell r="F42">
            <v>16.2</v>
          </cell>
          <cell r="G42">
            <v>5.28</v>
          </cell>
          <cell r="H42">
            <v>2.5299999999999998</v>
          </cell>
          <cell r="I42">
            <v>0</v>
          </cell>
          <cell r="J42">
            <v>26.89</v>
          </cell>
          <cell r="K42">
            <v>2.57</v>
          </cell>
          <cell r="L42">
            <v>2.11</v>
          </cell>
          <cell r="M42">
            <v>0</v>
          </cell>
          <cell r="N42">
            <v>0.47</v>
          </cell>
          <cell r="O42">
            <v>0</v>
          </cell>
          <cell r="P42">
            <v>0</v>
          </cell>
          <cell r="Q42">
            <v>0</v>
          </cell>
          <cell r="R42">
            <v>3</v>
          </cell>
        </row>
        <row r="43">
          <cell r="E43">
            <v>3.1</v>
          </cell>
          <cell r="F43">
            <v>16.600000000000001</v>
          </cell>
          <cell r="G43">
            <v>5.4</v>
          </cell>
          <cell r="H43">
            <v>2.72</v>
          </cell>
          <cell r="I43">
            <v>0</v>
          </cell>
          <cell r="J43">
            <v>28.39</v>
          </cell>
          <cell r="K43">
            <v>2.64</v>
          </cell>
          <cell r="L43">
            <v>2.1800000000000002</v>
          </cell>
          <cell r="M43">
            <v>0</v>
          </cell>
          <cell r="N43">
            <v>0.47</v>
          </cell>
          <cell r="O43">
            <v>0</v>
          </cell>
          <cell r="P43">
            <v>0</v>
          </cell>
          <cell r="Q43">
            <v>0</v>
          </cell>
          <cell r="R43">
            <v>3.1</v>
          </cell>
        </row>
        <row r="44">
          <cell r="E44">
            <v>3.2</v>
          </cell>
          <cell r="F44">
            <v>17</v>
          </cell>
          <cell r="G44">
            <v>5.52</v>
          </cell>
          <cell r="H44">
            <v>2.91</v>
          </cell>
          <cell r="I44">
            <v>0</v>
          </cell>
          <cell r="J44">
            <v>29.93</v>
          </cell>
          <cell r="K44">
            <v>2.71</v>
          </cell>
          <cell r="L44">
            <v>2.25</v>
          </cell>
          <cell r="M44">
            <v>0</v>
          </cell>
          <cell r="N44">
            <v>0.47</v>
          </cell>
          <cell r="O44">
            <v>0</v>
          </cell>
          <cell r="P44">
            <v>0</v>
          </cell>
          <cell r="Q44">
            <v>0</v>
          </cell>
          <cell r="R44">
            <v>3.2</v>
          </cell>
        </row>
        <row r="45">
          <cell r="E45">
            <v>3.3</v>
          </cell>
          <cell r="F45">
            <v>17.399999999999999</v>
          </cell>
          <cell r="G45">
            <v>5.64</v>
          </cell>
          <cell r="H45">
            <v>3.11</v>
          </cell>
          <cell r="I45">
            <v>0</v>
          </cell>
          <cell r="J45">
            <v>31.53</v>
          </cell>
          <cell r="K45">
            <v>2.77</v>
          </cell>
          <cell r="L45">
            <v>2.31</v>
          </cell>
          <cell r="M45">
            <v>0</v>
          </cell>
          <cell r="N45">
            <v>0.47</v>
          </cell>
          <cell r="O45">
            <v>0</v>
          </cell>
          <cell r="P45">
            <v>0</v>
          </cell>
          <cell r="Q45">
            <v>0</v>
          </cell>
          <cell r="R45">
            <v>3.3</v>
          </cell>
        </row>
        <row r="46">
          <cell r="E46">
            <v>3.4</v>
          </cell>
          <cell r="F46">
            <v>17.8</v>
          </cell>
          <cell r="G46">
            <v>5.76</v>
          </cell>
          <cell r="H46">
            <v>3.03</v>
          </cell>
          <cell r="I46">
            <v>0</v>
          </cell>
          <cell r="J46">
            <v>33.15</v>
          </cell>
          <cell r="K46">
            <v>2.84</v>
          </cell>
          <cell r="L46">
            <v>2.38</v>
          </cell>
          <cell r="M46">
            <v>0</v>
          </cell>
          <cell r="N46">
            <v>0.47</v>
          </cell>
          <cell r="O46">
            <v>0</v>
          </cell>
          <cell r="P46">
            <v>0</v>
          </cell>
          <cell r="Q46">
            <v>0</v>
          </cell>
          <cell r="R46">
            <v>3.4</v>
          </cell>
        </row>
        <row r="47">
          <cell r="E47">
            <v>3.5</v>
          </cell>
          <cell r="F47">
            <v>18</v>
          </cell>
          <cell r="G47">
            <v>7.82</v>
          </cell>
          <cell r="H47">
            <v>3.5</v>
          </cell>
          <cell r="I47">
            <v>0</v>
          </cell>
          <cell r="J47">
            <v>29.63</v>
          </cell>
          <cell r="K47">
            <v>2.91</v>
          </cell>
          <cell r="L47">
            <v>2.4500000000000002</v>
          </cell>
          <cell r="M47">
            <v>2.64</v>
          </cell>
          <cell r="N47">
            <v>0.47</v>
          </cell>
          <cell r="O47">
            <v>2.64</v>
          </cell>
          <cell r="P47">
            <v>0.38</v>
          </cell>
          <cell r="Q47">
            <v>1.01</v>
          </cell>
          <cell r="R47">
            <v>3.05</v>
          </cell>
        </row>
        <row r="48">
          <cell r="E48">
            <v>3.6</v>
          </cell>
          <cell r="F48">
            <v>18.399999999999999</v>
          </cell>
          <cell r="G48">
            <v>7.94</v>
          </cell>
          <cell r="H48">
            <v>3.7</v>
          </cell>
          <cell r="I48">
            <v>0</v>
          </cell>
          <cell r="J48">
            <v>31.17</v>
          </cell>
          <cell r="K48">
            <v>2.98</v>
          </cell>
          <cell r="L48">
            <v>2.52</v>
          </cell>
          <cell r="M48">
            <v>2.64</v>
          </cell>
          <cell r="N48">
            <v>0.47</v>
          </cell>
          <cell r="O48">
            <v>2.8</v>
          </cell>
          <cell r="P48">
            <v>0.38</v>
          </cell>
          <cell r="Q48">
            <v>1.01</v>
          </cell>
          <cell r="R48">
            <v>3.15</v>
          </cell>
        </row>
        <row r="49">
          <cell r="E49">
            <v>3.7</v>
          </cell>
          <cell r="F49">
            <v>18.8</v>
          </cell>
          <cell r="G49">
            <v>8.06</v>
          </cell>
          <cell r="H49">
            <v>3.91</v>
          </cell>
          <cell r="I49">
            <v>0</v>
          </cell>
          <cell r="J49">
            <v>32.78</v>
          </cell>
          <cell r="K49">
            <v>3.04</v>
          </cell>
          <cell r="L49">
            <v>2.58</v>
          </cell>
          <cell r="M49">
            <v>2.64</v>
          </cell>
          <cell r="N49">
            <v>0.47</v>
          </cell>
          <cell r="O49">
            <v>2.95</v>
          </cell>
          <cell r="P49">
            <v>0.38</v>
          </cell>
          <cell r="Q49">
            <v>1.01</v>
          </cell>
          <cell r="R49">
            <v>3.25</v>
          </cell>
        </row>
        <row r="50">
          <cell r="E50">
            <v>3.8</v>
          </cell>
          <cell r="F50">
            <v>19.2</v>
          </cell>
          <cell r="G50">
            <v>8.18</v>
          </cell>
          <cell r="H50">
            <v>4.1100000000000003</v>
          </cell>
          <cell r="I50">
            <v>0</v>
          </cell>
          <cell r="J50">
            <v>34.4</v>
          </cell>
          <cell r="K50">
            <v>3.11</v>
          </cell>
          <cell r="L50">
            <v>2.65</v>
          </cell>
          <cell r="M50">
            <v>2.64</v>
          </cell>
          <cell r="N50">
            <v>0.47</v>
          </cell>
          <cell r="O50">
            <v>3.11</v>
          </cell>
          <cell r="P50">
            <v>0.38</v>
          </cell>
          <cell r="Q50">
            <v>1.01</v>
          </cell>
          <cell r="R50">
            <v>3.35</v>
          </cell>
        </row>
        <row r="51">
          <cell r="E51">
            <v>3.9</v>
          </cell>
          <cell r="F51">
            <v>19.600000000000001</v>
          </cell>
          <cell r="G51">
            <v>8.3000000000000007</v>
          </cell>
          <cell r="H51">
            <v>4.32</v>
          </cell>
          <cell r="I51">
            <v>0</v>
          </cell>
          <cell r="J51">
            <v>36.06</v>
          </cell>
          <cell r="K51">
            <v>3.18</v>
          </cell>
          <cell r="L51">
            <v>2.72</v>
          </cell>
          <cell r="M51">
            <v>2.64</v>
          </cell>
          <cell r="N51">
            <v>0.47</v>
          </cell>
          <cell r="O51">
            <v>3.27</v>
          </cell>
          <cell r="P51">
            <v>0.38</v>
          </cell>
          <cell r="Q51">
            <v>1.01</v>
          </cell>
          <cell r="R51">
            <v>3.45</v>
          </cell>
        </row>
        <row r="52">
          <cell r="E52">
            <v>4</v>
          </cell>
          <cell r="F52">
            <v>20</v>
          </cell>
          <cell r="G52">
            <v>8.42</v>
          </cell>
          <cell r="H52">
            <v>4.53</v>
          </cell>
          <cell r="I52">
            <v>0</v>
          </cell>
          <cell r="J52">
            <v>37.79</v>
          </cell>
          <cell r="K52">
            <v>3.24</v>
          </cell>
          <cell r="L52">
            <v>2.78</v>
          </cell>
          <cell r="M52">
            <v>2.64</v>
          </cell>
          <cell r="N52">
            <v>0.47</v>
          </cell>
          <cell r="O52">
            <v>3.42</v>
          </cell>
          <cell r="P52">
            <v>0.38</v>
          </cell>
          <cell r="Q52">
            <v>1.01</v>
          </cell>
          <cell r="R52">
            <v>3.55</v>
          </cell>
        </row>
        <row r="53">
          <cell r="E53">
            <v>4.0999999999999996</v>
          </cell>
          <cell r="F53">
            <v>20.399999999999999</v>
          </cell>
          <cell r="G53">
            <v>8.5399999999999991</v>
          </cell>
          <cell r="H53">
            <v>4.75</v>
          </cell>
          <cell r="I53">
            <v>0</v>
          </cell>
          <cell r="J53">
            <v>39.53</v>
          </cell>
          <cell r="K53">
            <v>3.31</v>
          </cell>
          <cell r="L53">
            <v>2.85</v>
          </cell>
          <cell r="M53">
            <v>2.64</v>
          </cell>
          <cell r="N53">
            <v>0.47</v>
          </cell>
          <cell r="O53">
            <v>3.58</v>
          </cell>
          <cell r="P53">
            <v>0.38</v>
          </cell>
          <cell r="Q53">
            <v>1.01</v>
          </cell>
          <cell r="R53">
            <v>3.65</v>
          </cell>
        </row>
        <row r="54">
          <cell r="E54">
            <v>4.2</v>
          </cell>
          <cell r="F54">
            <v>20.8</v>
          </cell>
          <cell r="G54">
            <v>8.66</v>
          </cell>
          <cell r="H54">
            <v>4.96</v>
          </cell>
          <cell r="I54">
            <v>0</v>
          </cell>
          <cell r="J54">
            <v>41.31</v>
          </cell>
          <cell r="K54">
            <v>3.38</v>
          </cell>
          <cell r="L54">
            <v>2.92</v>
          </cell>
          <cell r="M54">
            <v>2.64</v>
          </cell>
          <cell r="N54">
            <v>0.47</v>
          </cell>
          <cell r="O54">
            <v>3.74</v>
          </cell>
          <cell r="P54">
            <v>0.38</v>
          </cell>
          <cell r="Q54">
            <v>1.01</v>
          </cell>
          <cell r="R54">
            <v>3.75</v>
          </cell>
        </row>
        <row r="55">
          <cell r="E55">
            <v>4.3</v>
          </cell>
          <cell r="F55">
            <v>21.2</v>
          </cell>
          <cell r="G55">
            <v>8.7799999999999994</v>
          </cell>
          <cell r="H55">
            <v>5.18</v>
          </cell>
          <cell r="I55">
            <v>0</v>
          </cell>
          <cell r="J55">
            <v>43.13</v>
          </cell>
          <cell r="K55">
            <v>3.45</v>
          </cell>
          <cell r="L55">
            <v>2.99</v>
          </cell>
          <cell r="M55">
            <v>2.64</v>
          </cell>
          <cell r="N55">
            <v>0.47</v>
          </cell>
          <cell r="O55">
            <v>3.9</v>
          </cell>
          <cell r="P55">
            <v>0.38</v>
          </cell>
          <cell r="Q55">
            <v>1.01</v>
          </cell>
          <cell r="R55">
            <v>3.85</v>
          </cell>
        </row>
        <row r="56">
          <cell r="E56">
            <v>4.4000000000000004</v>
          </cell>
          <cell r="F56">
            <v>21.6</v>
          </cell>
          <cell r="G56">
            <v>8.9</v>
          </cell>
          <cell r="H56">
            <v>5.4</v>
          </cell>
          <cell r="I56">
            <v>0</v>
          </cell>
          <cell r="J56">
            <v>45.02</v>
          </cell>
          <cell r="K56">
            <v>3.51</v>
          </cell>
          <cell r="L56">
            <v>3.05</v>
          </cell>
          <cell r="M56">
            <v>2.64</v>
          </cell>
          <cell r="N56">
            <v>0.47</v>
          </cell>
          <cell r="O56">
            <v>4.05</v>
          </cell>
          <cell r="P56">
            <v>0.38</v>
          </cell>
          <cell r="Q56">
            <v>1.01</v>
          </cell>
          <cell r="R56">
            <v>3.95</v>
          </cell>
        </row>
        <row r="57">
          <cell r="E57">
            <v>4.5</v>
          </cell>
          <cell r="F57">
            <v>22</v>
          </cell>
          <cell r="G57">
            <v>9.02</v>
          </cell>
          <cell r="H57">
            <v>5.63</v>
          </cell>
          <cell r="I57">
            <v>0</v>
          </cell>
          <cell r="J57">
            <v>46.92</v>
          </cell>
          <cell r="K57">
            <v>3.58</v>
          </cell>
          <cell r="L57">
            <v>3.12</v>
          </cell>
          <cell r="M57">
            <v>2.64</v>
          </cell>
          <cell r="N57">
            <v>0.47</v>
          </cell>
          <cell r="O57">
            <v>4.21</v>
          </cell>
          <cell r="P57">
            <v>0.38</v>
          </cell>
          <cell r="Q57">
            <v>1.01</v>
          </cell>
          <cell r="R57">
            <v>4.05</v>
          </cell>
        </row>
        <row r="58">
          <cell r="E58">
            <v>4.5999999999999996</v>
          </cell>
          <cell r="F58">
            <v>22.4</v>
          </cell>
          <cell r="G58">
            <v>9.14</v>
          </cell>
          <cell r="H58">
            <v>5.85</v>
          </cell>
          <cell r="I58">
            <v>0</v>
          </cell>
          <cell r="J58">
            <v>48.86</v>
          </cell>
          <cell r="K58">
            <v>3.65</v>
          </cell>
          <cell r="L58">
            <v>3.19</v>
          </cell>
          <cell r="M58">
            <v>2.64</v>
          </cell>
          <cell r="N58">
            <v>0.47</v>
          </cell>
          <cell r="O58">
            <v>4.37</v>
          </cell>
          <cell r="P58">
            <v>0.38</v>
          </cell>
          <cell r="Q58">
            <v>1.01</v>
          </cell>
          <cell r="R58">
            <v>4.1500000000000004</v>
          </cell>
        </row>
        <row r="59">
          <cell r="E59">
            <v>4.7</v>
          </cell>
          <cell r="F59">
            <v>22.8</v>
          </cell>
          <cell r="G59">
            <v>9.26</v>
          </cell>
          <cell r="H59">
            <v>6.08</v>
          </cell>
          <cell r="I59">
            <v>0</v>
          </cell>
          <cell r="J59">
            <v>50.86</v>
          </cell>
          <cell r="K59">
            <v>3.71</v>
          </cell>
          <cell r="L59">
            <v>3.25</v>
          </cell>
          <cell r="M59">
            <v>2.64</v>
          </cell>
          <cell r="N59">
            <v>0.47</v>
          </cell>
          <cell r="O59">
            <v>4.53</v>
          </cell>
          <cell r="P59">
            <v>0.38</v>
          </cell>
          <cell r="Q59">
            <v>1.01</v>
          </cell>
          <cell r="R59">
            <v>4.25</v>
          </cell>
        </row>
        <row r="60">
          <cell r="E60">
            <v>4.8</v>
          </cell>
          <cell r="F60">
            <v>23.2</v>
          </cell>
          <cell r="G60">
            <v>9.3800000000000008</v>
          </cell>
          <cell r="H60">
            <v>6.31</v>
          </cell>
          <cell r="I60">
            <v>0</v>
          </cell>
          <cell r="J60">
            <v>52.89</v>
          </cell>
          <cell r="K60">
            <v>3.78</v>
          </cell>
          <cell r="L60">
            <v>3.32</v>
          </cell>
          <cell r="M60">
            <v>2.64</v>
          </cell>
          <cell r="N60">
            <v>0.47</v>
          </cell>
          <cell r="O60">
            <v>4.68</v>
          </cell>
          <cell r="P60">
            <v>0.38</v>
          </cell>
          <cell r="Q60">
            <v>1.01</v>
          </cell>
          <cell r="R60">
            <v>4.3499999999999996</v>
          </cell>
        </row>
        <row r="61">
          <cell r="E61">
            <v>4.9000000000000004</v>
          </cell>
          <cell r="F61">
            <v>23.6</v>
          </cell>
          <cell r="G61">
            <v>9.5</v>
          </cell>
          <cell r="H61">
            <v>6.55</v>
          </cell>
          <cell r="I61">
            <v>0</v>
          </cell>
          <cell r="J61">
            <v>54.95</v>
          </cell>
          <cell r="K61">
            <v>3.85</v>
          </cell>
          <cell r="L61">
            <v>3.39</v>
          </cell>
          <cell r="M61">
            <v>2.64</v>
          </cell>
          <cell r="N61">
            <v>0.47</v>
          </cell>
          <cell r="O61">
            <v>4.84</v>
          </cell>
          <cell r="P61">
            <v>0.38</v>
          </cell>
          <cell r="Q61">
            <v>1.01</v>
          </cell>
          <cell r="R61">
            <v>4.45</v>
          </cell>
        </row>
        <row r="62">
          <cell r="E62">
            <v>5</v>
          </cell>
          <cell r="F62">
            <v>24</v>
          </cell>
          <cell r="G62">
            <v>9.6199999999999992</v>
          </cell>
          <cell r="H62">
            <v>6.78</v>
          </cell>
          <cell r="I62">
            <v>0</v>
          </cell>
          <cell r="J62">
            <v>57.05</v>
          </cell>
          <cell r="K62">
            <v>3.92</v>
          </cell>
          <cell r="L62">
            <v>3.46</v>
          </cell>
          <cell r="M62">
            <v>2.64</v>
          </cell>
          <cell r="N62">
            <v>0.47</v>
          </cell>
          <cell r="O62">
            <v>5</v>
          </cell>
          <cell r="P62">
            <v>0.38</v>
          </cell>
          <cell r="Q62">
            <v>1.01</v>
          </cell>
          <cell r="R62">
            <v>4.55</v>
          </cell>
        </row>
        <row r="63">
          <cell r="E63">
            <v>5.0999999999999996</v>
          </cell>
          <cell r="F63">
            <v>24.4</v>
          </cell>
          <cell r="G63">
            <v>9.74</v>
          </cell>
          <cell r="H63">
            <v>7.01</v>
          </cell>
          <cell r="I63">
            <v>0</v>
          </cell>
          <cell r="J63">
            <v>59.21</v>
          </cell>
          <cell r="K63">
            <v>3.98</v>
          </cell>
          <cell r="L63">
            <v>3.52</v>
          </cell>
          <cell r="M63">
            <v>2.64</v>
          </cell>
          <cell r="N63">
            <v>0.47</v>
          </cell>
          <cell r="O63">
            <v>5.16</v>
          </cell>
          <cell r="P63">
            <v>0.38</v>
          </cell>
          <cell r="Q63">
            <v>1.01</v>
          </cell>
          <cell r="R63">
            <v>4.6500000000000004</v>
          </cell>
        </row>
        <row r="64">
          <cell r="E64">
            <v>5.2</v>
          </cell>
          <cell r="F64">
            <v>24.8</v>
          </cell>
          <cell r="G64">
            <v>9.86</v>
          </cell>
          <cell r="H64">
            <v>7.26</v>
          </cell>
          <cell r="I64">
            <v>0</v>
          </cell>
          <cell r="J64">
            <v>61.4</v>
          </cell>
          <cell r="K64">
            <v>4.05</v>
          </cell>
          <cell r="L64">
            <v>3.59</v>
          </cell>
          <cell r="M64">
            <v>2.64</v>
          </cell>
          <cell r="N64">
            <v>0.47</v>
          </cell>
          <cell r="O64">
            <v>5.31</v>
          </cell>
          <cell r="P64">
            <v>0.38</v>
          </cell>
          <cell r="Q64">
            <v>1.01</v>
          </cell>
          <cell r="R64">
            <v>4.75</v>
          </cell>
        </row>
        <row r="65">
          <cell r="E65">
            <v>5.3</v>
          </cell>
          <cell r="F65">
            <v>25.2</v>
          </cell>
          <cell r="G65">
            <v>9.98</v>
          </cell>
          <cell r="H65">
            <v>7.51</v>
          </cell>
          <cell r="I65">
            <v>0</v>
          </cell>
          <cell r="J65">
            <v>63.62</v>
          </cell>
          <cell r="K65">
            <v>4.12</v>
          </cell>
          <cell r="L65">
            <v>3.66</v>
          </cell>
          <cell r="M65">
            <v>2.64</v>
          </cell>
          <cell r="N65">
            <v>0.47</v>
          </cell>
          <cell r="O65">
            <v>5.47</v>
          </cell>
          <cell r="P65">
            <v>0.38</v>
          </cell>
          <cell r="Q65">
            <v>1.01</v>
          </cell>
          <cell r="R65">
            <v>4.8499999999999996</v>
          </cell>
        </row>
        <row r="66">
          <cell r="E66">
            <v>5.4</v>
          </cell>
          <cell r="F66">
            <v>25.6</v>
          </cell>
          <cell r="G66">
            <v>10.1</v>
          </cell>
          <cell r="H66">
            <v>7.75</v>
          </cell>
          <cell r="I66">
            <v>0</v>
          </cell>
          <cell r="J66">
            <v>65.89</v>
          </cell>
          <cell r="K66">
            <v>4.1900000000000004</v>
          </cell>
          <cell r="L66">
            <v>3.72</v>
          </cell>
          <cell r="M66">
            <v>2.64</v>
          </cell>
          <cell r="N66">
            <v>0.47</v>
          </cell>
          <cell r="O66">
            <v>5.63</v>
          </cell>
          <cell r="P66">
            <v>0.38</v>
          </cell>
          <cell r="Q66">
            <v>1.01</v>
          </cell>
          <cell r="R66">
            <v>4.95</v>
          </cell>
        </row>
        <row r="67">
          <cell r="E67">
            <v>5.5</v>
          </cell>
          <cell r="F67">
            <v>26</v>
          </cell>
          <cell r="G67">
            <v>10.220000000000001</v>
          </cell>
          <cell r="H67">
            <v>8</v>
          </cell>
          <cell r="I67">
            <v>0</v>
          </cell>
          <cell r="J67">
            <v>68.2</v>
          </cell>
          <cell r="K67">
            <v>4.25</v>
          </cell>
          <cell r="L67">
            <v>3.79</v>
          </cell>
          <cell r="M67">
            <v>2.64</v>
          </cell>
          <cell r="N67">
            <v>0.47</v>
          </cell>
          <cell r="O67">
            <v>5.79</v>
          </cell>
          <cell r="P67">
            <v>0.38</v>
          </cell>
          <cell r="Q67">
            <v>1.01</v>
          </cell>
          <cell r="R67">
            <v>5.05</v>
          </cell>
        </row>
        <row r="68">
          <cell r="E68">
            <v>5.6</v>
          </cell>
          <cell r="F68">
            <v>26.4</v>
          </cell>
          <cell r="G68">
            <v>10.34</v>
          </cell>
          <cell r="H68">
            <v>8.25</v>
          </cell>
          <cell r="I68">
            <v>0</v>
          </cell>
          <cell r="J68">
            <v>70.55</v>
          </cell>
          <cell r="K68">
            <v>4.32</v>
          </cell>
          <cell r="L68">
            <v>3.86</v>
          </cell>
          <cell r="M68">
            <v>2.64</v>
          </cell>
          <cell r="N68">
            <v>0.47</v>
          </cell>
          <cell r="O68">
            <v>5.94</v>
          </cell>
          <cell r="P68">
            <v>0.38</v>
          </cell>
          <cell r="Q68">
            <v>1.01</v>
          </cell>
          <cell r="R68">
            <v>5.15</v>
          </cell>
        </row>
        <row r="69">
          <cell r="E69">
            <v>5.7</v>
          </cell>
          <cell r="F69">
            <v>26.8</v>
          </cell>
          <cell r="G69">
            <v>10.46</v>
          </cell>
          <cell r="H69">
            <v>8.51</v>
          </cell>
          <cell r="I69">
            <v>0</v>
          </cell>
          <cell r="J69">
            <v>72.95</v>
          </cell>
          <cell r="K69">
            <v>4.38</v>
          </cell>
          <cell r="L69">
            <v>3.92</v>
          </cell>
          <cell r="M69">
            <v>2.64</v>
          </cell>
          <cell r="N69">
            <v>0.47</v>
          </cell>
          <cell r="O69">
            <v>6.1</v>
          </cell>
          <cell r="P69">
            <v>0.38</v>
          </cell>
          <cell r="Q69">
            <v>1.01</v>
          </cell>
          <cell r="R69">
            <v>5.25</v>
          </cell>
        </row>
        <row r="70">
          <cell r="E70">
            <v>5.8</v>
          </cell>
          <cell r="F70">
            <v>27.2</v>
          </cell>
          <cell r="G70">
            <v>10.58</v>
          </cell>
          <cell r="H70">
            <v>8.76</v>
          </cell>
          <cell r="I70">
            <v>0</v>
          </cell>
          <cell r="J70">
            <v>75.37</v>
          </cell>
          <cell r="K70">
            <v>4.45</v>
          </cell>
          <cell r="L70">
            <v>3.99</v>
          </cell>
          <cell r="M70">
            <v>2.64</v>
          </cell>
          <cell r="N70">
            <v>0.47</v>
          </cell>
          <cell r="O70">
            <v>6.26</v>
          </cell>
          <cell r="P70">
            <v>0.38</v>
          </cell>
          <cell r="Q70">
            <v>1.01</v>
          </cell>
          <cell r="R70">
            <v>5.35</v>
          </cell>
        </row>
        <row r="71">
          <cell r="E71">
            <v>5.9</v>
          </cell>
          <cell r="F71">
            <v>27.6</v>
          </cell>
          <cell r="G71">
            <v>10.7</v>
          </cell>
          <cell r="H71">
            <v>9.02</v>
          </cell>
          <cell r="I71">
            <v>0</v>
          </cell>
          <cell r="J71">
            <v>77.83</v>
          </cell>
          <cell r="K71">
            <v>4.5199999999999996</v>
          </cell>
          <cell r="L71">
            <v>4.0599999999999996</v>
          </cell>
          <cell r="M71">
            <v>2.64</v>
          </cell>
          <cell r="N71">
            <v>0.47</v>
          </cell>
          <cell r="O71">
            <v>6.42</v>
          </cell>
          <cell r="P71">
            <v>0.38</v>
          </cell>
          <cell r="Q71">
            <v>1.01</v>
          </cell>
          <cell r="R71">
            <v>5.45</v>
          </cell>
        </row>
        <row r="72">
          <cell r="E72">
            <v>6</v>
          </cell>
          <cell r="F72">
            <v>28</v>
          </cell>
          <cell r="G72">
            <v>10.82</v>
          </cell>
          <cell r="H72">
            <v>9.2799999999999994</v>
          </cell>
          <cell r="I72">
            <v>0</v>
          </cell>
          <cell r="J72">
            <v>80.34</v>
          </cell>
          <cell r="K72">
            <v>4.59</v>
          </cell>
          <cell r="L72">
            <v>4.13</v>
          </cell>
          <cell r="M72">
            <v>2.64</v>
          </cell>
          <cell r="N72">
            <v>0.47</v>
          </cell>
          <cell r="O72">
            <v>6.57</v>
          </cell>
          <cell r="P72">
            <v>0.38</v>
          </cell>
          <cell r="Q72">
            <v>1.01</v>
          </cell>
          <cell r="R72">
            <v>5.55</v>
          </cell>
        </row>
        <row r="73">
          <cell r="E73">
            <v>6.1</v>
          </cell>
          <cell r="F73">
            <v>28.4</v>
          </cell>
          <cell r="G73">
            <v>10.94</v>
          </cell>
          <cell r="H73">
            <v>9.5500000000000007</v>
          </cell>
          <cell r="I73">
            <v>0</v>
          </cell>
          <cell r="J73">
            <v>82.9</v>
          </cell>
          <cell r="K73">
            <v>4.6500000000000004</v>
          </cell>
          <cell r="L73">
            <v>4.1900000000000004</v>
          </cell>
          <cell r="M73">
            <v>2.64</v>
          </cell>
          <cell r="N73">
            <v>0.47</v>
          </cell>
          <cell r="O73">
            <v>6.73</v>
          </cell>
          <cell r="P73">
            <v>0.38</v>
          </cell>
          <cell r="Q73">
            <v>1.01</v>
          </cell>
          <cell r="R73">
            <v>5.65</v>
          </cell>
        </row>
        <row r="74">
          <cell r="E74">
            <v>6.2</v>
          </cell>
          <cell r="F74">
            <v>28.8</v>
          </cell>
          <cell r="G74">
            <v>11.06</v>
          </cell>
          <cell r="H74">
            <v>9.81</v>
          </cell>
          <cell r="I74">
            <v>0</v>
          </cell>
          <cell r="J74">
            <v>85.48</v>
          </cell>
          <cell r="K74">
            <v>4.72</v>
          </cell>
          <cell r="L74">
            <v>4.26</v>
          </cell>
          <cell r="M74">
            <v>2.64</v>
          </cell>
          <cell r="N74">
            <v>0.47</v>
          </cell>
          <cell r="O74">
            <v>6.89</v>
          </cell>
          <cell r="P74">
            <v>0.38</v>
          </cell>
          <cell r="Q74">
            <v>1.01</v>
          </cell>
          <cell r="R74">
            <v>5.75</v>
          </cell>
        </row>
        <row r="75">
          <cell r="E75">
            <v>6.3</v>
          </cell>
          <cell r="F75">
            <v>29.2</v>
          </cell>
          <cell r="G75">
            <v>11.18</v>
          </cell>
          <cell r="H75">
            <v>10.08</v>
          </cell>
          <cell r="I75">
            <v>0</v>
          </cell>
          <cell r="J75">
            <v>88.1</v>
          </cell>
          <cell r="K75">
            <v>4.79</v>
          </cell>
          <cell r="L75">
            <v>4.33</v>
          </cell>
          <cell r="M75">
            <v>2.64</v>
          </cell>
          <cell r="N75">
            <v>0.47</v>
          </cell>
          <cell r="O75">
            <v>7.05</v>
          </cell>
          <cell r="P75">
            <v>0.38</v>
          </cell>
          <cell r="Q75">
            <v>1.01</v>
          </cell>
          <cell r="R75">
            <v>5.85</v>
          </cell>
        </row>
        <row r="76">
          <cell r="E76">
            <v>6.4</v>
          </cell>
          <cell r="F76">
            <v>29.6</v>
          </cell>
          <cell r="G76">
            <v>11.3</v>
          </cell>
          <cell r="H76">
            <v>10.35</v>
          </cell>
          <cell r="I76">
            <v>0</v>
          </cell>
          <cell r="J76">
            <v>90.79</v>
          </cell>
          <cell r="K76">
            <v>4.8499999999999996</v>
          </cell>
          <cell r="L76">
            <v>4.3899999999999997</v>
          </cell>
          <cell r="M76">
            <v>2.64</v>
          </cell>
          <cell r="N76">
            <v>0.47</v>
          </cell>
          <cell r="O76">
            <v>7.2</v>
          </cell>
          <cell r="P76">
            <v>0.38</v>
          </cell>
          <cell r="Q76">
            <v>1.01</v>
          </cell>
          <cell r="R76">
            <v>5.95</v>
          </cell>
        </row>
        <row r="77">
          <cell r="E77">
            <v>6.5</v>
          </cell>
          <cell r="F77">
            <v>30</v>
          </cell>
          <cell r="G77">
            <v>11.42</v>
          </cell>
          <cell r="H77">
            <v>10.63</v>
          </cell>
          <cell r="I77">
            <v>0</v>
          </cell>
          <cell r="J77">
            <v>93.5</v>
          </cell>
          <cell r="K77">
            <v>4.92</v>
          </cell>
          <cell r="L77">
            <v>4.46</v>
          </cell>
          <cell r="M77">
            <v>2.64</v>
          </cell>
          <cell r="N77">
            <v>0.47</v>
          </cell>
          <cell r="O77">
            <v>7.36</v>
          </cell>
          <cell r="P77">
            <v>0.38</v>
          </cell>
          <cell r="Q77">
            <v>1.01</v>
          </cell>
          <cell r="R77">
            <v>6.05</v>
          </cell>
        </row>
        <row r="78">
          <cell r="E78">
            <v>6.6</v>
          </cell>
          <cell r="F78">
            <v>30.4</v>
          </cell>
          <cell r="G78">
            <v>11.54</v>
          </cell>
          <cell r="H78">
            <v>10.9</v>
          </cell>
          <cell r="I78">
            <v>0</v>
          </cell>
          <cell r="J78">
            <v>96.23</v>
          </cell>
          <cell r="K78">
            <v>4.99</v>
          </cell>
          <cell r="L78">
            <v>4.53</v>
          </cell>
          <cell r="M78">
            <v>2.64</v>
          </cell>
          <cell r="N78">
            <v>0.47</v>
          </cell>
          <cell r="O78">
            <v>7.52</v>
          </cell>
          <cell r="P78">
            <v>0.38</v>
          </cell>
          <cell r="Q78">
            <v>1.01</v>
          </cell>
          <cell r="R78">
            <v>6.15</v>
          </cell>
        </row>
        <row r="79">
          <cell r="E79">
            <v>6.7</v>
          </cell>
          <cell r="F79">
            <v>30.8</v>
          </cell>
          <cell r="G79">
            <v>11.66</v>
          </cell>
          <cell r="H79">
            <v>11.18</v>
          </cell>
          <cell r="I79">
            <v>0</v>
          </cell>
          <cell r="J79">
            <v>99.01</v>
          </cell>
          <cell r="K79">
            <v>5.0599999999999996</v>
          </cell>
          <cell r="L79">
            <v>4.5999999999999996</v>
          </cell>
          <cell r="M79">
            <v>2.64</v>
          </cell>
          <cell r="N79">
            <v>0.47</v>
          </cell>
          <cell r="O79">
            <v>7.68</v>
          </cell>
          <cell r="P79">
            <v>0.38</v>
          </cell>
          <cell r="Q79">
            <v>1.01</v>
          </cell>
          <cell r="R79">
            <v>6.25</v>
          </cell>
        </row>
        <row r="80">
          <cell r="E80">
            <v>6.8</v>
          </cell>
          <cell r="F80">
            <v>31.2</v>
          </cell>
          <cell r="G80">
            <v>11.78</v>
          </cell>
          <cell r="H80">
            <v>11.46</v>
          </cell>
          <cell r="I80">
            <v>0</v>
          </cell>
          <cell r="J80">
            <v>101.86</v>
          </cell>
          <cell r="K80">
            <v>5.12</v>
          </cell>
          <cell r="L80">
            <v>4.66</v>
          </cell>
          <cell r="M80">
            <v>2.64</v>
          </cell>
          <cell r="N80">
            <v>0.47</v>
          </cell>
          <cell r="O80">
            <v>7.83</v>
          </cell>
          <cell r="P80">
            <v>0.38</v>
          </cell>
          <cell r="Q80">
            <v>1.01</v>
          </cell>
          <cell r="R80">
            <v>6.35</v>
          </cell>
        </row>
        <row r="81">
          <cell r="E81">
            <v>6.9</v>
          </cell>
          <cell r="F81">
            <v>31.6</v>
          </cell>
          <cell r="G81">
            <v>11.9</v>
          </cell>
          <cell r="H81">
            <v>11.75</v>
          </cell>
          <cell r="I81">
            <v>0</v>
          </cell>
          <cell r="J81">
            <v>104.72</v>
          </cell>
          <cell r="K81">
            <v>5.19</v>
          </cell>
          <cell r="L81">
            <v>4.7300000000000004</v>
          </cell>
          <cell r="M81">
            <v>2.64</v>
          </cell>
          <cell r="N81">
            <v>0.47</v>
          </cell>
          <cell r="O81">
            <v>7.99</v>
          </cell>
          <cell r="P81">
            <v>0.38</v>
          </cell>
          <cell r="Q81">
            <v>1.01</v>
          </cell>
          <cell r="R81">
            <v>6.45</v>
          </cell>
        </row>
        <row r="82">
          <cell r="E82">
            <v>7</v>
          </cell>
          <cell r="F82">
            <v>32</v>
          </cell>
          <cell r="G82">
            <v>12.02</v>
          </cell>
          <cell r="H82">
            <v>12.03</v>
          </cell>
          <cell r="I82">
            <v>0</v>
          </cell>
          <cell r="J82">
            <v>107.62</v>
          </cell>
          <cell r="K82">
            <v>5.26</v>
          </cell>
          <cell r="L82">
            <v>4.8</v>
          </cell>
          <cell r="M82">
            <v>2.64</v>
          </cell>
          <cell r="N82">
            <v>0.47</v>
          </cell>
          <cell r="O82">
            <v>8.15</v>
          </cell>
          <cell r="P82">
            <v>0.38</v>
          </cell>
          <cell r="Q82">
            <v>1.01</v>
          </cell>
          <cell r="R82">
            <v>6.55</v>
          </cell>
        </row>
        <row r="83">
          <cell r="E83">
            <v>7.1</v>
          </cell>
          <cell r="F83">
            <v>32.4</v>
          </cell>
          <cell r="G83">
            <v>12.14</v>
          </cell>
          <cell r="H83">
            <v>12.32</v>
          </cell>
          <cell r="I83">
            <v>0</v>
          </cell>
          <cell r="J83">
            <v>110.58</v>
          </cell>
          <cell r="K83">
            <v>5.32</v>
          </cell>
          <cell r="L83">
            <v>4.8600000000000003</v>
          </cell>
          <cell r="M83">
            <v>2.64</v>
          </cell>
          <cell r="N83">
            <v>0.47</v>
          </cell>
          <cell r="O83">
            <v>8.31</v>
          </cell>
          <cell r="P83">
            <v>0.38</v>
          </cell>
          <cell r="Q83">
            <v>1.01</v>
          </cell>
          <cell r="R83">
            <v>6.65</v>
          </cell>
        </row>
        <row r="84">
          <cell r="E84">
            <v>7.2</v>
          </cell>
          <cell r="F84">
            <v>32.799999999999997</v>
          </cell>
          <cell r="G84">
            <v>12.26</v>
          </cell>
          <cell r="H84">
            <v>12.61</v>
          </cell>
          <cell r="I84">
            <v>0</v>
          </cell>
          <cell r="J84">
            <v>113.57</v>
          </cell>
          <cell r="K84">
            <v>5.39</v>
          </cell>
          <cell r="L84">
            <v>4.93</v>
          </cell>
          <cell r="M84">
            <v>2.64</v>
          </cell>
          <cell r="N84">
            <v>0.47</v>
          </cell>
          <cell r="O84">
            <v>8.4600000000000009</v>
          </cell>
          <cell r="P84">
            <v>0.38</v>
          </cell>
          <cell r="Q84">
            <v>1.01</v>
          </cell>
          <cell r="R84">
            <v>6.75</v>
          </cell>
        </row>
        <row r="85">
          <cell r="E85">
            <v>7.3</v>
          </cell>
          <cell r="F85">
            <v>33.200000000000003</v>
          </cell>
          <cell r="G85">
            <v>12.38</v>
          </cell>
          <cell r="H85">
            <v>12.91</v>
          </cell>
          <cell r="I85">
            <v>0</v>
          </cell>
          <cell r="J85">
            <v>116.59</v>
          </cell>
          <cell r="K85">
            <v>5.46</v>
          </cell>
          <cell r="L85">
            <v>5</v>
          </cell>
          <cell r="M85">
            <v>2.64</v>
          </cell>
          <cell r="N85">
            <v>0.47</v>
          </cell>
          <cell r="O85">
            <v>8.6199999999999992</v>
          </cell>
          <cell r="P85">
            <v>0.38</v>
          </cell>
          <cell r="Q85">
            <v>1.01</v>
          </cell>
          <cell r="R85">
            <v>6.85</v>
          </cell>
        </row>
        <row r="86">
          <cell r="E86">
            <v>7.4</v>
          </cell>
          <cell r="F86">
            <v>33.6</v>
          </cell>
          <cell r="G86">
            <v>12.5</v>
          </cell>
          <cell r="H86">
            <v>13.2</v>
          </cell>
          <cell r="I86">
            <v>0</v>
          </cell>
          <cell r="J86">
            <v>119.65</v>
          </cell>
          <cell r="K86">
            <v>5.53</v>
          </cell>
          <cell r="L86">
            <v>5.07</v>
          </cell>
          <cell r="M86">
            <v>2.64</v>
          </cell>
          <cell r="N86">
            <v>0.47</v>
          </cell>
          <cell r="O86">
            <v>8.7799999999999994</v>
          </cell>
          <cell r="P86">
            <v>0.38</v>
          </cell>
          <cell r="Q86">
            <v>1.01</v>
          </cell>
          <cell r="R86">
            <v>6.95</v>
          </cell>
        </row>
        <row r="87">
          <cell r="E87">
            <v>7.5</v>
          </cell>
          <cell r="F87">
            <v>34</v>
          </cell>
          <cell r="G87">
            <v>12.62</v>
          </cell>
          <cell r="H87">
            <v>13.54</v>
          </cell>
          <cell r="I87">
            <v>34.97</v>
          </cell>
          <cell r="J87">
            <v>82.87</v>
          </cell>
          <cell r="K87">
            <v>5.59</v>
          </cell>
          <cell r="L87">
            <v>5.13</v>
          </cell>
          <cell r="M87">
            <v>2.64</v>
          </cell>
          <cell r="N87">
            <v>0.47</v>
          </cell>
          <cell r="O87">
            <v>13.87</v>
          </cell>
          <cell r="P87">
            <v>0.38</v>
          </cell>
          <cell r="Q87">
            <v>1.01</v>
          </cell>
          <cell r="R87">
            <v>7.05</v>
          </cell>
        </row>
        <row r="88">
          <cell r="E88">
            <v>7.6</v>
          </cell>
          <cell r="F88">
            <v>34.4</v>
          </cell>
          <cell r="G88">
            <v>12.74</v>
          </cell>
          <cell r="H88">
            <v>13.8</v>
          </cell>
          <cell r="I88">
            <v>35.840000000000003</v>
          </cell>
          <cell r="J88">
            <v>85.07</v>
          </cell>
          <cell r="K88">
            <v>5.66</v>
          </cell>
          <cell r="L88">
            <v>5.2</v>
          </cell>
          <cell r="M88">
            <v>2.64</v>
          </cell>
          <cell r="N88">
            <v>0.47</v>
          </cell>
          <cell r="O88">
            <v>14.1</v>
          </cell>
          <cell r="P88">
            <v>0.38</v>
          </cell>
          <cell r="Q88">
            <v>1.01</v>
          </cell>
          <cell r="R88">
            <v>7.15</v>
          </cell>
        </row>
        <row r="89">
          <cell r="E89">
            <v>7.7</v>
          </cell>
          <cell r="F89">
            <v>34.799999999999997</v>
          </cell>
          <cell r="G89">
            <v>12.86</v>
          </cell>
          <cell r="H89">
            <v>14.11</v>
          </cell>
          <cell r="I89">
            <v>36.729999999999997</v>
          </cell>
          <cell r="J89">
            <v>87.28</v>
          </cell>
          <cell r="K89">
            <v>5.73</v>
          </cell>
          <cell r="L89">
            <v>5.27</v>
          </cell>
          <cell r="M89">
            <v>2.64</v>
          </cell>
          <cell r="N89">
            <v>0.47</v>
          </cell>
          <cell r="O89">
            <v>14.34</v>
          </cell>
          <cell r="P89">
            <v>0.38</v>
          </cell>
          <cell r="Q89">
            <v>1.01</v>
          </cell>
          <cell r="R89">
            <v>7.25</v>
          </cell>
        </row>
        <row r="90">
          <cell r="E90">
            <v>7.8</v>
          </cell>
          <cell r="F90">
            <v>35.200000000000003</v>
          </cell>
          <cell r="G90">
            <v>12.98</v>
          </cell>
          <cell r="H90">
            <v>14.41</v>
          </cell>
          <cell r="I90">
            <v>37.619999999999997</v>
          </cell>
          <cell r="J90">
            <v>89.56</v>
          </cell>
          <cell r="K90">
            <v>5.79</v>
          </cell>
          <cell r="L90">
            <v>5.33</v>
          </cell>
          <cell r="M90">
            <v>2.64</v>
          </cell>
          <cell r="N90">
            <v>0.47</v>
          </cell>
          <cell r="O90">
            <v>14.57</v>
          </cell>
          <cell r="P90">
            <v>0.38</v>
          </cell>
          <cell r="Q90">
            <v>1.01</v>
          </cell>
          <cell r="R90">
            <v>7.35</v>
          </cell>
        </row>
        <row r="91">
          <cell r="E91">
            <v>7.9</v>
          </cell>
          <cell r="F91">
            <v>35.6</v>
          </cell>
          <cell r="G91">
            <v>13.1</v>
          </cell>
          <cell r="H91">
            <v>14.72</v>
          </cell>
          <cell r="I91">
            <v>38.53</v>
          </cell>
          <cell r="J91">
            <v>91.83</v>
          </cell>
          <cell r="K91">
            <v>5.86</v>
          </cell>
          <cell r="L91">
            <v>5.4</v>
          </cell>
          <cell r="M91">
            <v>2.64</v>
          </cell>
          <cell r="N91">
            <v>0.47</v>
          </cell>
          <cell r="O91">
            <v>14.81</v>
          </cell>
          <cell r="P91">
            <v>0.38</v>
          </cell>
          <cell r="Q91">
            <v>1.01</v>
          </cell>
          <cell r="R91">
            <v>7.45</v>
          </cell>
        </row>
        <row r="92">
          <cell r="E92">
            <v>8</v>
          </cell>
          <cell r="F92">
            <v>36</v>
          </cell>
          <cell r="G92">
            <v>13.22</v>
          </cell>
          <cell r="H92">
            <v>15.03</v>
          </cell>
          <cell r="I92">
            <v>39.44</v>
          </cell>
          <cell r="J92">
            <v>94.15</v>
          </cell>
          <cell r="K92">
            <v>5.93</v>
          </cell>
          <cell r="L92">
            <v>5.47</v>
          </cell>
          <cell r="M92">
            <v>2.64</v>
          </cell>
          <cell r="N92">
            <v>0.47</v>
          </cell>
          <cell r="O92">
            <v>15.04</v>
          </cell>
          <cell r="P92">
            <v>0.38</v>
          </cell>
          <cell r="Q92">
            <v>1.01</v>
          </cell>
          <cell r="R92">
            <v>7.55</v>
          </cell>
        </row>
        <row r="93">
          <cell r="E93">
            <v>8.1</v>
          </cell>
          <cell r="F93">
            <v>36.4</v>
          </cell>
          <cell r="G93">
            <v>13.34</v>
          </cell>
          <cell r="H93">
            <v>15.35</v>
          </cell>
          <cell r="I93">
            <v>40.369999999999997</v>
          </cell>
          <cell r="J93">
            <v>96.48</v>
          </cell>
          <cell r="K93">
            <v>6</v>
          </cell>
          <cell r="L93">
            <v>5.54</v>
          </cell>
          <cell r="M93">
            <v>2.64</v>
          </cell>
          <cell r="N93">
            <v>0.47</v>
          </cell>
          <cell r="O93">
            <v>15.28</v>
          </cell>
          <cell r="P93">
            <v>0.38</v>
          </cell>
          <cell r="Q93">
            <v>1.01</v>
          </cell>
          <cell r="R93">
            <v>7.65</v>
          </cell>
        </row>
        <row r="94">
          <cell r="E94">
            <v>8.1999999999999993</v>
          </cell>
          <cell r="F94">
            <v>36.799999999999997</v>
          </cell>
          <cell r="G94">
            <v>13.46</v>
          </cell>
          <cell r="H94">
            <v>15.66</v>
          </cell>
          <cell r="I94">
            <v>41.3</v>
          </cell>
          <cell r="J94">
            <v>98.88</v>
          </cell>
          <cell r="K94">
            <v>6.06</v>
          </cell>
          <cell r="L94">
            <v>5.6</v>
          </cell>
          <cell r="M94">
            <v>2.64</v>
          </cell>
          <cell r="N94">
            <v>0.47</v>
          </cell>
          <cell r="O94">
            <v>15.51</v>
          </cell>
          <cell r="P94">
            <v>0.38</v>
          </cell>
          <cell r="Q94">
            <v>1.01</v>
          </cell>
          <cell r="R94">
            <v>7.75</v>
          </cell>
        </row>
        <row r="95">
          <cell r="E95">
            <v>8.3000000000000007</v>
          </cell>
          <cell r="F95">
            <v>37.200000000000003</v>
          </cell>
          <cell r="G95">
            <v>13.58</v>
          </cell>
          <cell r="H95">
            <v>15.98</v>
          </cell>
          <cell r="I95">
            <v>42.25</v>
          </cell>
          <cell r="J95">
            <v>101.27</v>
          </cell>
          <cell r="K95">
            <v>6.13</v>
          </cell>
          <cell r="L95">
            <v>5.67</v>
          </cell>
          <cell r="M95">
            <v>2.64</v>
          </cell>
          <cell r="N95">
            <v>0.47</v>
          </cell>
          <cell r="O95">
            <v>15.75</v>
          </cell>
          <cell r="P95">
            <v>0.38</v>
          </cell>
          <cell r="Q95">
            <v>1.01</v>
          </cell>
          <cell r="R95">
            <v>7.85</v>
          </cell>
        </row>
        <row r="96">
          <cell r="E96">
            <v>8.4</v>
          </cell>
          <cell r="F96">
            <v>37.6</v>
          </cell>
          <cell r="G96">
            <v>13.7</v>
          </cell>
          <cell r="H96">
            <v>16.3</v>
          </cell>
          <cell r="I96">
            <v>43.2</v>
          </cell>
          <cell r="J96">
            <v>103.71</v>
          </cell>
          <cell r="K96">
            <v>6.2</v>
          </cell>
          <cell r="L96">
            <v>5.74</v>
          </cell>
          <cell r="M96">
            <v>2.64</v>
          </cell>
          <cell r="N96">
            <v>0.47</v>
          </cell>
          <cell r="O96">
            <v>15.98</v>
          </cell>
          <cell r="P96">
            <v>0.38</v>
          </cell>
          <cell r="Q96">
            <v>1.01</v>
          </cell>
          <cell r="R96">
            <v>7.95</v>
          </cell>
        </row>
        <row r="97">
          <cell r="E97">
            <v>8.5</v>
          </cell>
          <cell r="F97">
            <v>38</v>
          </cell>
          <cell r="G97">
            <v>13.82</v>
          </cell>
          <cell r="H97">
            <v>16.63</v>
          </cell>
          <cell r="I97">
            <v>44.17</v>
          </cell>
          <cell r="J97">
            <v>106.18</v>
          </cell>
          <cell r="K97">
            <v>6.26</v>
          </cell>
          <cell r="L97">
            <v>5.8</v>
          </cell>
          <cell r="M97">
            <v>2.64</v>
          </cell>
          <cell r="N97">
            <v>0.47</v>
          </cell>
          <cell r="O97">
            <v>16.22</v>
          </cell>
          <cell r="P97">
            <v>0.38</v>
          </cell>
          <cell r="Q97">
            <v>1.01</v>
          </cell>
          <cell r="R97">
            <v>8.0500000000000007</v>
          </cell>
        </row>
        <row r="98">
          <cell r="E98">
            <v>8.6</v>
          </cell>
          <cell r="F98">
            <v>38.4</v>
          </cell>
          <cell r="G98">
            <v>13.94</v>
          </cell>
          <cell r="H98">
            <v>16.95</v>
          </cell>
          <cell r="I98">
            <v>45.15</v>
          </cell>
          <cell r="J98">
            <v>108.67</v>
          </cell>
          <cell r="K98">
            <v>6.33</v>
          </cell>
          <cell r="L98">
            <v>5.84</v>
          </cell>
          <cell r="M98">
            <v>2.64</v>
          </cell>
          <cell r="N98">
            <v>0.47</v>
          </cell>
          <cell r="O98">
            <v>16.45</v>
          </cell>
          <cell r="P98">
            <v>0.38</v>
          </cell>
          <cell r="Q98">
            <v>1.01</v>
          </cell>
          <cell r="R98">
            <v>8.15</v>
          </cell>
        </row>
        <row r="99">
          <cell r="E99">
            <v>8.6999999999999993</v>
          </cell>
          <cell r="F99">
            <v>38.799999999999997</v>
          </cell>
          <cell r="G99">
            <v>14.06</v>
          </cell>
          <cell r="H99">
            <v>17.25</v>
          </cell>
          <cell r="I99">
            <v>46.13</v>
          </cell>
          <cell r="J99">
            <v>111.19</v>
          </cell>
          <cell r="K99">
            <v>6.4</v>
          </cell>
          <cell r="L99">
            <v>5.94</v>
          </cell>
          <cell r="M99">
            <v>2.64</v>
          </cell>
          <cell r="N99">
            <v>0.47</v>
          </cell>
          <cell r="O99">
            <v>16.690000000000001</v>
          </cell>
          <cell r="P99">
            <v>0.38</v>
          </cell>
          <cell r="Q99">
            <v>1.01</v>
          </cell>
          <cell r="R99">
            <v>8.25</v>
          </cell>
        </row>
        <row r="100">
          <cell r="E100">
            <v>8.8000000000000007</v>
          </cell>
          <cell r="F100">
            <v>39.200000000000003</v>
          </cell>
          <cell r="G100">
            <v>14.18</v>
          </cell>
          <cell r="H100">
            <v>17.61</v>
          </cell>
          <cell r="I100">
            <v>47.12</v>
          </cell>
          <cell r="J100">
            <v>113.69</v>
          </cell>
          <cell r="K100">
            <v>6.46</v>
          </cell>
          <cell r="L100">
            <v>6</v>
          </cell>
          <cell r="M100">
            <v>2.64</v>
          </cell>
          <cell r="N100">
            <v>0.47</v>
          </cell>
          <cell r="O100">
            <v>16.920000000000002</v>
          </cell>
          <cell r="P100">
            <v>0.38</v>
          </cell>
          <cell r="Q100">
            <v>1.01</v>
          </cell>
          <cell r="R100">
            <v>8.35</v>
          </cell>
        </row>
        <row r="101">
          <cell r="E101">
            <v>8.9</v>
          </cell>
          <cell r="F101">
            <v>39.6</v>
          </cell>
          <cell r="G101">
            <v>14.3</v>
          </cell>
          <cell r="H101">
            <v>17.95</v>
          </cell>
          <cell r="I101">
            <v>48.13</v>
          </cell>
          <cell r="J101">
            <v>116.34</v>
          </cell>
          <cell r="K101">
            <v>6.53</v>
          </cell>
          <cell r="L101">
            <v>6.07</v>
          </cell>
          <cell r="M101">
            <v>2.64</v>
          </cell>
          <cell r="N101">
            <v>0.47</v>
          </cell>
          <cell r="O101">
            <v>17.16</v>
          </cell>
          <cell r="P101">
            <v>0.38</v>
          </cell>
          <cell r="Q101">
            <v>1.01</v>
          </cell>
          <cell r="R101">
            <v>8.4499999999999993</v>
          </cell>
        </row>
        <row r="102">
          <cell r="E102">
            <v>9</v>
          </cell>
          <cell r="F102">
            <v>40</v>
          </cell>
          <cell r="G102">
            <v>14.42</v>
          </cell>
          <cell r="H102">
            <v>18.28</v>
          </cell>
          <cell r="I102">
            <v>49.14</v>
          </cell>
          <cell r="J102">
            <v>18.96</v>
          </cell>
          <cell r="K102">
            <v>6.6</v>
          </cell>
          <cell r="L102">
            <v>6.14</v>
          </cell>
          <cell r="M102">
            <v>2.64</v>
          </cell>
          <cell r="N102">
            <v>0.47</v>
          </cell>
          <cell r="O102">
            <v>17.39</v>
          </cell>
          <cell r="P102">
            <v>0.38</v>
          </cell>
          <cell r="Q102">
            <v>1.01</v>
          </cell>
          <cell r="R102">
            <v>8.5500000000000007</v>
          </cell>
        </row>
        <row r="103">
          <cell r="E103">
            <v>9.1</v>
          </cell>
          <cell r="F103">
            <v>40.4</v>
          </cell>
          <cell r="G103">
            <v>14.54</v>
          </cell>
          <cell r="H103">
            <v>18.64</v>
          </cell>
          <cell r="I103">
            <v>50.17</v>
          </cell>
          <cell r="J103">
            <v>121.59</v>
          </cell>
          <cell r="K103">
            <v>6.67</v>
          </cell>
          <cell r="L103">
            <v>6.21</v>
          </cell>
          <cell r="M103">
            <v>2.64</v>
          </cell>
          <cell r="N103">
            <v>0.47</v>
          </cell>
          <cell r="O103">
            <v>17.63</v>
          </cell>
          <cell r="P103">
            <v>0.38</v>
          </cell>
          <cell r="Q103">
            <v>1.01</v>
          </cell>
          <cell r="R103">
            <v>8.65</v>
          </cell>
        </row>
        <row r="104">
          <cell r="E104">
            <v>9.1999999999999993</v>
          </cell>
          <cell r="F104">
            <v>40.799999999999997</v>
          </cell>
          <cell r="G104">
            <v>14.66</v>
          </cell>
          <cell r="H104">
            <v>18.96</v>
          </cell>
          <cell r="I104">
            <v>51.2</v>
          </cell>
          <cell r="J104">
            <v>124.29</v>
          </cell>
          <cell r="K104">
            <v>6.73</v>
          </cell>
          <cell r="L104">
            <v>6.27</v>
          </cell>
          <cell r="M104">
            <v>2.64</v>
          </cell>
          <cell r="N104">
            <v>0.47</v>
          </cell>
          <cell r="O104">
            <v>17.86</v>
          </cell>
          <cell r="P104">
            <v>0.38</v>
          </cell>
          <cell r="Q104">
            <v>1.01</v>
          </cell>
          <cell r="R104">
            <v>8.7499999999999893</v>
          </cell>
        </row>
        <row r="105">
          <cell r="E105">
            <v>9.3000000000000007</v>
          </cell>
          <cell r="F105">
            <v>41.2</v>
          </cell>
          <cell r="G105">
            <v>14.78</v>
          </cell>
          <cell r="H105">
            <v>19.309999999999999</v>
          </cell>
          <cell r="I105">
            <v>52.25</v>
          </cell>
          <cell r="J105">
            <v>126.98</v>
          </cell>
          <cell r="K105">
            <v>6.8</v>
          </cell>
          <cell r="L105">
            <v>6.34</v>
          </cell>
          <cell r="M105">
            <v>2.64</v>
          </cell>
          <cell r="N105">
            <v>0.47</v>
          </cell>
          <cell r="O105">
            <v>18.100000000000001</v>
          </cell>
          <cell r="P105">
            <v>0.38</v>
          </cell>
          <cell r="Q105">
            <v>1.01</v>
          </cell>
          <cell r="R105">
            <v>8.8499999999999908</v>
          </cell>
        </row>
        <row r="106">
          <cell r="E106">
            <v>9.4</v>
          </cell>
          <cell r="F106">
            <v>41.6</v>
          </cell>
          <cell r="G106">
            <v>14.9</v>
          </cell>
          <cell r="H106">
            <v>19.649999999999999</v>
          </cell>
          <cell r="I106">
            <v>53.3</v>
          </cell>
          <cell r="J106">
            <v>129.72</v>
          </cell>
          <cell r="K106">
            <v>6.87</v>
          </cell>
          <cell r="L106">
            <v>6.41</v>
          </cell>
          <cell r="M106">
            <v>2.64</v>
          </cell>
          <cell r="N106">
            <v>0.47</v>
          </cell>
          <cell r="O106">
            <v>18.329999999999998</v>
          </cell>
          <cell r="P106">
            <v>0.38</v>
          </cell>
          <cell r="Q106">
            <v>1.01</v>
          </cell>
          <cell r="R106">
            <v>8.9499999999999904</v>
          </cell>
        </row>
        <row r="107">
          <cell r="E107">
            <v>9.5</v>
          </cell>
          <cell r="F107">
            <v>42</v>
          </cell>
          <cell r="G107">
            <v>15.02</v>
          </cell>
          <cell r="H107">
            <v>20.2</v>
          </cell>
          <cell r="I107">
            <v>54.37</v>
          </cell>
          <cell r="J107">
            <v>132.49</v>
          </cell>
          <cell r="K107">
            <v>6.93</v>
          </cell>
          <cell r="L107">
            <v>6.47</v>
          </cell>
          <cell r="M107">
            <v>2.64</v>
          </cell>
          <cell r="N107">
            <v>0.47</v>
          </cell>
          <cell r="O107">
            <v>18.57</v>
          </cell>
          <cell r="P107">
            <v>0.38</v>
          </cell>
          <cell r="Q107">
            <v>1.01</v>
          </cell>
          <cell r="R107">
            <v>9.0499999999999901</v>
          </cell>
        </row>
        <row r="108">
          <cell r="E108">
            <v>9.6</v>
          </cell>
          <cell r="F108">
            <v>42.4</v>
          </cell>
          <cell r="G108">
            <v>15.14</v>
          </cell>
          <cell r="H108">
            <v>20.350000000000001</v>
          </cell>
          <cell r="I108">
            <v>55.44</v>
          </cell>
          <cell r="J108">
            <v>135.29</v>
          </cell>
          <cell r="K108">
            <v>7</v>
          </cell>
          <cell r="L108">
            <v>6.54</v>
          </cell>
          <cell r="M108">
            <v>2.64</v>
          </cell>
          <cell r="N108">
            <v>0.47</v>
          </cell>
          <cell r="O108">
            <v>18.8</v>
          </cell>
          <cell r="P108">
            <v>0.38</v>
          </cell>
          <cell r="Q108">
            <v>1.01</v>
          </cell>
          <cell r="R108">
            <v>9.1499999999999897</v>
          </cell>
        </row>
        <row r="109">
          <cell r="E109">
            <v>9.6999999999999993</v>
          </cell>
          <cell r="F109">
            <v>42.8</v>
          </cell>
          <cell r="G109">
            <v>15.26</v>
          </cell>
          <cell r="H109">
            <v>20.71</v>
          </cell>
          <cell r="I109">
            <v>56.53</v>
          </cell>
          <cell r="J109">
            <v>138.1</v>
          </cell>
          <cell r="K109">
            <v>7.07</v>
          </cell>
          <cell r="L109">
            <v>6.61</v>
          </cell>
          <cell r="M109">
            <v>2.64</v>
          </cell>
          <cell r="N109">
            <v>0.47</v>
          </cell>
          <cell r="O109">
            <v>19.04</v>
          </cell>
          <cell r="P109">
            <v>0.38</v>
          </cell>
          <cell r="Q109">
            <v>1.01</v>
          </cell>
          <cell r="R109">
            <v>9.2499999999999893</v>
          </cell>
        </row>
        <row r="110">
          <cell r="E110">
            <v>9.8000000000000007</v>
          </cell>
          <cell r="F110">
            <v>43.2</v>
          </cell>
          <cell r="G110">
            <v>15.38</v>
          </cell>
          <cell r="H110">
            <v>21.06</v>
          </cell>
          <cell r="I110">
            <v>57.62</v>
          </cell>
          <cell r="J110">
            <v>140.96</v>
          </cell>
          <cell r="K110">
            <v>7.14</v>
          </cell>
          <cell r="L110">
            <v>6.68</v>
          </cell>
          <cell r="M110">
            <v>2.64</v>
          </cell>
          <cell r="N110">
            <v>0.47</v>
          </cell>
          <cell r="O110">
            <v>19.27</v>
          </cell>
          <cell r="P110">
            <v>0.38</v>
          </cell>
          <cell r="Q110">
            <v>1.01</v>
          </cell>
          <cell r="R110">
            <v>9.3499999999999908</v>
          </cell>
        </row>
        <row r="111">
          <cell r="E111">
            <v>9.9</v>
          </cell>
          <cell r="F111">
            <v>43.6</v>
          </cell>
          <cell r="G111">
            <v>15.5</v>
          </cell>
          <cell r="H111">
            <v>21.42</v>
          </cell>
          <cell r="I111">
            <v>58.73</v>
          </cell>
          <cell r="J111">
            <v>143.85</v>
          </cell>
          <cell r="K111">
            <v>7.2</v>
          </cell>
          <cell r="L111">
            <v>6.74</v>
          </cell>
          <cell r="M111">
            <v>2.64</v>
          </cell>
          <cell r="N111">
            <v>0.47</v>
          </cell>
          <cell r="O111">
            <v>19.510000000000002</v>
          </cell>
          <cell r="P111">
            <v>0.38</v>
          </cell>
          <cell r="Q111">
            <v>1.01</v>
          </cell>
          <cell r="R111">
            <v>9.4499999999999904</v>
          </cell>
        </row>
        <row r="112">
          <cell r="E112">
            <v>10</v>
          </cell>
          <cell r="F112">
            <v>44</v>
          </cell>
          <cell r="G112">
            <v>15.62</v>
          </cell>
          <cell r="H112">
            <v>21.78</v>
          </cell>
          <cell r="I112">
            <v>59.84</v>
          </cell>
          <cell r="J112">
            <v>146.77000000000001</v>
          </cell>
          <cell r="K112">
            <v>7.27</v>
          </cell>
          <cell r="L112">
            <v>6.81</v>
          </cell>
          <cell r="M112">
            <v>2.64</v>
          </cell>
          <cell r="N112">
            <v>0.47</v>
          </cell>
          <cell r="O112">
            <v>19.739999999999998</v>
          </cell>
          <cell r="P112">
            <v>0.38</v>
          </cell>
          <cell r="Q112">
            <v>1.01</v>
          </cell>
          <cell r="R112">
            <v>9.5499999999999901</v>
          </cell>
        </row>
        <row r="113">
          <cell r="E113">
            <v>10.1</v>
          </cell>
          <cell r="F113">
            <v>44.4</v>
          </cell>
          <cell r="G113">
            <v>15.74</v>
          </cell>
          <cell r="H113">
            <v>22.15</v>
          </cell>
          <cell r="I113">
            <v>60.97</v>
          </cell>
          <cell r="J113">
            <v>149.69999999999999</v>
          </cell>
          <cell r="K113">
            <v>7.34</v>
          </cell>
          <cell r="L113">
            <v>6.88</v>
          </cell>
          <cell r="M113">
            <v>2.64</v>
          </cell>
          <cell r="N113">
            <v>0.47</v>
          </cell>
          <cell r="O113">
            <v>19.98</v>
          </cell>
          <cell r="P113">
            <v>0.38</v>
          </cell>
          <cell r="Q113">
            <v>1.01</v>
          </cell>
          <cell r="R113">
            <v>9.6499999999999897</v>
          </cell>
        </row>
        <row r="114">
          <cell r="E114">
            <v>10.199999999999999</v>
          </cell>
          <cell r="F114">
            <v>44.8</v>
          </cell>
          <cell r="G114">
            <v>15.86</v>
          </cell>
          <cell r="H114">
            <v>22.51</v>
          </cell>
          <cell r="I114">
            <v>62.1</v>
          </cell>
          <cell r="J114">
            <v>152.69999999999999</v>
          </cell>
          <cell r="K114">
            <v>7.4</v>
          </cell>
          <cell r="L114">
            <v>6.94</v>
          </cell>
          <cell r="M114">
            <v>2.64</v>
          </cell>
          <cell r="N114">
            <v>0.47</v>
          </cell>
          <cell r="O114">
            <v>20.21</v>
          </cell>
          <cell r="P114">
            <v>0.38</v>
          </cell>
          <cell r="Q114">
            <v>1.01</v>
          </cell>
          <cell r="R114">
            <v>9.7499999999999893</v>
          </cell>
        </row>
        <row r="115">
          <cell r="E115">
            <v>10.3</v>
          </cell>
          <cell r="F115">
            <v>45.2</v>
          </cell>
          <cell r="G115">
            <v>15.98</v>
          </cell>
          <cell r="H115">
            <v>22.88</v>
          </cell>
          <cell r="I115">
            <v>63.25</v>
          </cell>
          <cell r="J115">
            <v>155.69</v>
          </cell>
          <cell r="K115">
            <v>7.47</v>
          </cell>
          <cell r="L115">
            <v>7.01</v>
          </cell>
          <cell r="M115">
            <v>2.64</v>
          </cell>
          <cell r="N115">
            <v>0.47</v>
          </cell>
          <cell r="O115">
            <v>20.45</v>
          </cell>
          <cell r="P115">
            <v>0.38</v>
          </cell>
          <cell r="Q115">
            <v>1.01</v>
          </cell>
          <cell r="R115">
            <v>9.8499999999999908</v>
          </cell>
        </row>
        <row r="116">
          <cell r="E116">
            <v>10.4</v>
          </cell>
          <cell r="F116">
            <v>45.6</v>
          </cell>
          <cell r="G116">
            <v>16.100000000000001</v>
          </cell>
          <cell r="H116">
            <v>23.25</v>
          </cell>
          <cell r="I116">
            <v>64.400000000000006</v>
          </cell>
          <cell r="J116">
            <v>158.72999999999999</v>
          </cell>
          <cell r="K116">
            <v>7.54</v>
          </cell>
          <cell r="L116">
            <v>7.08</v>
          </cell>
          <cell r="M116">
            <v>2.64</v>
          </cell>
          <cell r="N116">
            <v>0.47</v>
          </cell>
          <cell r="O116">
            <v>20.68</v>
          </cell>
          <cell r="P116">
            <v>0.38</v>
          </cell>
          <cell r="Q116">
            <v>1.01</v>
          </cell>
          <cell r="R116">
            <v>9.9499999999999904</v>
          </cell>
        </row>
        <row r="117">
          <cell r="E117">
            <v>10.5</v>
          </cell>
          <cell r="F117">
            <v>45.7</v>
          </cell>
          <cell r="G117">
            <v>16.13</v>
          </cell>
          <cell r="H117">
            <v>23.63</v>
          </cell>
          <cell r="I117">
            <v>65.67</v>
          </cell>
          <cell r="J117">
            <v>161.29</v>
          </cell>
          <cell r="K117">
            <v>7.6</v>
          </cell>
          <cell r="L117">
            <v>7.15</v>
          </cell>
          <cell r="M117">
            <v>3.75</v>
          </cell>
          <cell r="N117">
            <v>0.47</v>
          </cell>
          <cell r="O117">
            <v>20.11</v>
          </cell>
          <cell r="P117">
            <v>0.38</v>
          </cell>
          <cell r="Q117">
            <v>1.01</v>
          </cell>
          <cell r="R117">
            <v>9.9</v>
          </cell>
        </row>
        <row r="118">
          <cell r="E118">
            <v>10.6</v>
          </cell>
          <cell r="F118">
            <v>46.3</v>
          </cell>
          <cell r="G118">
            <v>16.309999999999999</v>
          </cell>
          <cell r="H118">
            <v>24</v>
          </cell>
          <cell r="I118">
            <v>66.739999999999995</v>
          </cell>
          <cell r="J118">
            <v>164.55</v>
          </cell>
          <cell r="K118">
            <v>7.72</v>
          </cell>
          <cell r="L118">
            <v>7.26</v>
          </cell>
          <cell r="M118">
            <v>3.75</v>
          </cell>
          <cell r="N118">
            <v>0.47</v>
          </cell>
          <cell r="O118">
            <v>20.34</v>
          </cell>
          <cell r="P118">
            <v>0.38</v>
          </cell>
          <cell r="Q118">
            <v>1.01</v>
          </cell>
          <cell r="R118">
            <v>10</v>
          </cell>
        </row>
        <row r="119">
          <cell r="E119">
            <v>10.7</v>
          </cell>
          <cell r="F119">
            <v>46.75</v>
          </cell>
          <cell r="G119">
            <v>16.45</v>
          </cell>
          <cell r="H119">
            <v>24.38</v>
          </cell>
          <cell r="I119">
            <v>67.930000000000007</v>
          </cell>
          <cell r="J119">
            <v>167.67</v>
          </cell>
          <cell r="K119">
            <v>7.8</v>
          </cell>
          <cell r="L119">
            <v>7.34</v>
          </cell>
          <cell r="M119">
            <v>3.75</v>
          </cell>
          <cell r="N119">
            <v>0.47</v>
          </cell>
          <cell r="O119">
            <v>20.58</v>
          </cell>
          <cell r="P119">
            <v>0.38</v>
          </cell>
          <cell r="Q119">
            <v>1.01</v>
          </cell>
          <cell r="R119">
            <v>10.1</v>
          </cell>
        </row>
        <row r="120">
          <cell r="E120">
            <v>10.8</v>
          </cell>
          <cell r="F120">
            <v>47.2</v>
          </cell>
          <cell r="G120">
            <v>16.579999999999998</v>
          </cell>
          <cell r="H120">
            <v>24.76</v>
          </cell>
          <cell r="I120">
            <v>69.12</v>
          </cell>
          <cell r="J120">
            <v>170.84</v>
          </cell>
          <cell r="K120">
            <v>7.88</v>
          </cell>
          <cell r="L120">
            <v>7.43</v>
          </cell>
          <cell r="M120">
            <v>3.75</v>
          </cell>
          <cell r="N120">
            <v>0.47</v>
          </cell>
          <cell r="O120">
            <v>20.81</v>
          </cell>
          <cell r="P120">
            <v>0.38</v>
          </cell>
          <cell r="Q120">
            <v>1.01</v>
          </cell>
          <cell r="R120">
            <v>10.199999999999999</v>
          </cell>
        </row>
        <row r="121">
          <cell r="E121">
            <v>10.9</v>
          </cell>
          <cell r="F121">
            <v>47.65</v>
          </cell>
          <cell r="G121">
            <v>16.72</v>
          </cell>
          <cell r="H121">
            <v>25.15</v>
          </cell>
          <cell r="I121">
            <v>70.33</v>
          </cell>
          <cell r="J121">
            <v>174.02</v>
          </cell>
          <cell r="K121">
            <v>7.97</v>
          </cell>
          <cell r="L121">
            <v>7.51</v>
          </cell>
          <cell r="M121">
            <v>3.75</v>
          </cell>
          <cell r="N121">
            <v>0.47</v>
          </cell>
          <cell r="O121">
            <v>21.05</v>
          </cell>
          <cell r="P121">
            <v>0.38</v>
          </cell>
          <cell r="Q121">
            <v>1.01</v>
          </cell>
          <cell r="R121">
            <v>10.3</v>
          </cell>
        </row>
        <row r="122">
          <cell r="E122">
            <v>11</v>
          </cell>
          <cell r="F122">
            <v>48.1</v>
          </cell>
          <cell r="G122">
            <v>16.850000000000001</v>
          </cell>
          <cell r="H122">
            <v>25.52</v>
          </cell>
          <cell r="I122">
            <v>71.540000000000006</v>
          </cell>
          <cell r="J122">
            <v>177.26</v>
          </cell>
          <cell r="K122">
            <v>8.0500000000000007</v>
          </cell>
          <cell r="L122">
            <v>7.59</v>
          </cell>
          <cell r="M122">
            <v>3.75</v>
          </cell>
          <cell r="N122">
            <v>0.47</v>
          </cell>
          <cell r="O122">
            <v>21.28</v>
          </cell>
          <cell r="P122">
            <v>0.38</v>
          </cell>
          <cell r="Q122">
            <v>1.01</v>
          </cell>
          <cell r="R122">
            <v>10.4</v>
          </cell>
        </row>
        <row r="123">
          <cell r="E123">
            <v>11.1</v>
          </cell>
          <cell r="F123">
            <v>48.55</v>
          </cell>
          <cell r="G123">
            <v>16.989999999999998</v>
          </cell>
          <cell r="H123">
            <v>25.92</v>
          </cell>
          <cell r="I123">
            <v>72.77</v>
          </cell>
          <cell r="J123">
            <v>180.5</v>
          </cell>
          <cell r="K123">
            <v>8.1300000000000008</v>
          </cell>
          <cell r="L123">
            <v>7.67</v>
          </cell>
          <cell r="M123">
            <v>3.75</v>
          </cell>
          <cell r="N123">
            <v>0.47</v>
          </cell>
          <cell r="O123">
            <v>21.52</v>
          </cell>
          <cell r="P123">
            <v>0.38</v>
          </cell>
          <cell r="Q123">
            <v>1.01</v>
          </cell>
          <cell r="R123">
            <v>10.5</v>
          </cell>
        </row>
        <row r="124">
          <cell r="E124">
            <v>11.2</v>
          </cell>
          <cell r="F124">
            <v>49</v>
          </cell>
          <cell r="G124">
            <v>17.12</v>
          </cell>
          <cell r="H124">
            <v>26.31</v>
          </cell>
          <cell r="I124">
            <v>74</v>
          </cell>
          <cell r="J124">
            <v>183.8</v>
          </cell>
          <cell r="K124">
            <v>8.2100000000000009</v>
          </cell>
          <cell r="L124">
            <v>7.75</v>
          </cell>
          <cell r="M124">
            <v>3.75</v>
          </cell>
          <cell r="N124">
            <v>0.47</v>
          </cell>
          <cell r="O124">
            <v>21.75</v>
          </cell>
          <cell r="P124">
            <v>0.38</v>
          </cell>
          <cell r="Q124">
            <v>1.01</v>
          </cell>
          <cell r="R124">
            <v>10.6</v>
          </cell>
        </row>
        <row r="125">
          <cell r="E125">
            <v>11.3</v>
          </cell>
          <cell r="F125">
            <v>49.45</v>
          </cell>
          <cell r="G125">
            <v>17.25</v>
          </cell>
          <cell r="H125">
            <v>26.71</v>
          </cell>
          <cell r="I125">
            <v>75.25</v>
          </cell>
          <cell r="J125">
            <v>187.11</v>
          </cell>
          <cell r="K125">
            <v>8.2899999999999991</v>
          </cell>
          <cell r="L125">
            <v>7.83</v>
          </cell>
          <cell r="M125">
            <v>3.75</v>
          </cell>
          <cell r="N125">
            <v>0.47</v>
          </cell>
          <cell r="O125">
            <v>21.79</v>
          </cell>
          <cell r="P125">
            <v>0.38</v>
          </cell>
          <cell r="Q125">
            <v>1.01</v>
          </cell>
          <cell r="R125">
            <v>10.7</v>
          </cell>
        </row>
        <row r="126">
          <cell r="E126">
            <v>11.4</v>
          </cell>
          <cell r="F126">
            <v>49.9</v>
          </cell>
          <cell r="G126">
            <v>17.39</v>
          </cell>
          <cell r="H126">
            <v>27.1</v>
          </cell>
          <cell r="I126">
            <v>76.5</v>
          </cell>
          <cell r="J126">
            <v>190.47</v>
          </cell>
          <cell r="K126">
            <v>8.3699999999999992</v>
          </cell>
          <cell r="L126">
            <v>7.91</v>
          </cell>
          <cell r="M126">
            <v>3.75</v>
          </cell>
          <cell r="N126">
            <v>0.47</v>
          </cell>
          <cell r="O126">
            <v>22.22</v>
          </cell>
          <cell r="P126">
            <v>0.38</v>
          </cell>
          <cell r="Q126">
            <v>1.01</v>
          </cell>
          <cell r="R126">
            <v>10.8</v>
          </cell>
        </row>
        <row r="127">
          <cell r="E127">
            <v>11.5</v>
          </cell>
          <cell r="F127">
            <v>50.35</v>
          </cell>
          <cell r="G127">
            <v>17.53</v>
          </cell>
          <cell r="H127">
            <v>27.5</v>
          </cell>
          <cell r="I127">
            <v>77.77</v>
          </cell>
          <cell r="J127">
            <v>193.83</v>
          </cell>
          <cell r="K127">
            <v>8.4499999999999993</v>
          </cell>
          <cell r="L127">
            <v>7.99</v>
          </cell>
          <cell r="M127">
            <v>3.75</v>
          </cell>
          <cell r="N127">
            <v>0.47</v>
          </cell>
          <cell r="O127">
            <v>22.46</v>
          </cell>
          <cell r="P127">
            <v>0.38</v>
          </cell>
          <cell r="Q127">
            <v>1.01</v>
          </cell>
          <cell r="R127">
            <v>10.9</v>
          </cell>
        </row>
        <row r="128">
          <cell r="E128">
            <v>11.6</v>
          </cell>
          <cell r="F128">
            <v>50.8</v>
          </cell>
          <cell r="G128">
            <v>17.66</v>
          </cell>
          <cell r="H128">
            <v>26.9</v>
          </cell>
          <cell r="I128">
            <v>79.040000000000006</v>
          </cell>
          <cell r="J128">
            <v>197.25</v>
          </cell>
          <cell r="K128">
            <v>8.5299999999999994</v>
          </cell>
          <cell r="L128">
            <v>8.07</v>
          </cell>
          <cell r="M128">
            <v>3.75</v>
          </cell>
          <cell r="N128">
            <v>0.47</v>
          </cell>
          <cell r="O128">
            <v>22.69</v>
          </cell>
          <cell r="P128">
            <v>0.38</v>
          </cell>
          <cell r="Q128">
            <v>1.01</v>
          </cell>
          <cell r="R128">
            <v>11</v>
          </cell>
        </row>
        <row r="129">
          <cell r="E129">
            <v>11.7</v>
          </cell>
          <cell r="F129">
            <v>51.25</v>
          </cell>
          <cell r="G129">
            <v>17.8</v>
          </cell>
          <cell r="H129">
            <v>28.31</v>
          </cell>
          <cell r="I129">
            <v>80.33</v>
          </cell>
          <cell r="J129">
            <v>200.68</v>
          </cell>
          <cell r="K129">
            <v>8.61</v>
          </cell>
          <cell r="L129">
            <v>8.15</v>
          </cell>
          <cell r="M129">
            <v>3.75</v>
          </cell>
          <cell r="N129">
            <v>0.47</v>
          </cell>
          <cell r="O129">
            <v>22.93</v>
          </cell>
          <cell r="P129">
            <v>0.38</v>
          </cell>
          <cell r="Q129">
            <v>1.01</v>
          </cell>
          <cell r="R129">
            <v>11.1</v>
          </cell>
        </row>
        <row r="130">
          <cell r="E130">
            <v>11.8</v>
          </cell>
          <cell r="F130">
            <v>51.7</v>
          </cell>
          <cell r="G130">
            <v>17.93</v>
          </cell>
          <cell r="H130">
            <v>28.71</v>
          </cell>
          <cell r="I130">
            <v>81.62</v>
          </cell>
          <cell r="J130">
            <v>204.19</v>
          </cell>
          <cell r="K130">
            <v>8.69</v>
          </cell>
          <cell r="L130">
            <v>8.23</v>
          </cell>
          <cell r="M130">
            <v>3.75</v>
          </cell>
          <cell r="N130">
            <v>0.47</v>
          </cell>
          <cell r="O130">
            <v>23.16</v>
          </cell>
          <cell r="P130">
            <v>0.38</v>
          </cell>
          <cell r="Q130">
            <v>1.01</v>
          </cell>
          <cell r="R130">
            <v>11.2</v>
          </cell>
        </row>
        <row r="131">
          <cell r="E131">
            <v>11.9</v>
          </cell>
          <cell r="F131">
            <v>52.15</v>
          </cell>
          <cell r="G131">
            <v>18.07</v>
          </cell>
          <cell r="H131">
            <v>29.12</v>
          </cell>
          <cell r="I131">
            <v>82.93</v>
          </cell>
          <cell r="J131">
            <v>207.73</v>
          </cell>
          <cell r="K131">
            <v>8.77</v>
          </cell>
          <cell r="L131">
            <v>7.31</v>
          </cell>
          <cell r="M131">
            <v>3.75</v>
          </cell>
          <cell r="N131">
            <v>0.47</v>
          </cell>
          <cell r="O131">
            <v>23.4</v>
          </cell>
          <cell r="P131">
            <v>0.38</v>
          </cell>
          <cell r="Q131">
            <v>1.01</v>
          </cell>
          <cell r="R131">
            <v>11.3</v>
          </cell>
        </row>
        <row r="132">
          <cell r="E132">
            <v>12</v>
          </cell>
          <cell r="F132">
            <v>52.6</v>
          </cell>
          <cell r="G132">
            <v>18.2</v>
          </cell>
          <cell r="H132">
            <v>29.53</v>
          </cell>
          <cell r="I132">
            <v>84.24</v>
          </cell>
          <cell r="J132">
            <v>211.22</v>
          </cell>
          <cell r="K132">
            <v>8.85</v>
          </cell>
          <cell r="L132">
            <v>8.39</v>
          </cell>
          <cell r="M132">
            <v>3.75</v>
          </cell>
          <cell r="N132">
            <v>0.47</v>
          </cell>
          <cell r="O132">
            <v>23.63</v>
          </cell>
          <cell r="P132">
            <v>0.38</v>
          </cell>
          <cell r="Q132">
            <v>1.01</v>
          </cell>
          <cell r="R132">
            <v>11.4</v>
          </cell>
        </row>
        <row r="133">
          <cell r="E133">
            <v>12.1</v>
          </cell>
          <cell r="F133">
            <v>53.05</v>
          </cell>
          <cell r="G133">
            <v>18.34</v>
          </cell>
          <cell r="H133">
            <v>29.95</v>
          </cell>
          <cell r="I133">
            <v>85.57</v>
          </cell>
          <cell r="J133">
            <v>214.9</v>
          </cell>
          <cell r="K133">
            <v>8.94</v>
          </cell>
          <cell r="L133">
            <v>8.48</v>
          </cell>
          <cell r="M133">
            <v>3.75</v>
          </cell>
          <cell r="N133">
            <v>0.47</v>
          </cell>
          <cell r="O133">
            <v>23.87</v>
          </cell>
          <cell r="P133">
            <v>0.38</v>
          </cell>
          <cell r="Q133">
            <v>1.01</v>
          </cell>
          <cell r="R133">
            <v>11.5</v>
          </cell>
        </row>
        <row r="134">
          <cell r="E134">
            <v>12.2</v>
          </cell>
          <cell r="F134">
            <v>53.5</v>
          </cell>
          <cell r="G134">
            <v>18.47</v>
          </cell>
          <cell r="H134">
            <v>30.36</v>
          </cell>
          <cell r="I134">
            <v>86.9</v>
          </cell>
          <cell r="J134">
            <v>218.56</v>
          </cell>
          <cell r="K134">
            <v>9.02</v>
          </cell>
          <cell r="L134">
            <v>8.56</v>
          </cell>
          <cell r="M134">
            <v>3.75</v>
          </cell>
          <cell r="N134">
            <v>0.47</v>
          </cell>
          <cell r="O134">
            <v>24.1</v>
          </cell>
          <cell r="P134">
            <v>0.38</v>
          </cell>
          <cell r="Q134">
            <v>1.01</v>
          </cell>
          <cell r="R134">
            <v>11.6</v>
          </cell>
        </row>
        <row r="135">
          <cell r="E135">
            <v>12.3</v>
          </cell>
          <cell r="F135">
            <v>53.95</v>
          </cell>
          <cell r="G135">
            <v>18.61</v>
          </cell>
          <cell r="H135">
            <v>30.78</v>
          </cell>
          <cell r="I135">
            <v>88.25</v>
          </cell>
          <cell r="J135">
            <v>222.23</v>
          </cell>
          <cell r="K135">
            <v>9.1</v>
          </cell>
          <cell r="L135">
            <v>8.64</v>
          </cell>
          <cell r="M135">
            <v>3.75</v>
          </cell>
          <cell r="N135">
            <v>0.47</v>
          </cell>
          <cell r="O135">
            <v>24.34</v>
          </cell>
          <cell r="P135">
            <v>0.38</v>
          </cell>
          <cell r="Q135">
            <v>1.01</v>
          </cell>
          <cell r="R135">
            <v>11.7</v>
          </cell>
        </row>
        <row r="136">
          <cell r="E136">
            <v>12.4</v>
          </cell>
          <cell r="F136">
            <v>54.4</v>
          </cell>
          <cell r="G136">
            <v>18.739999999999998</v>
          </cell>
          <cell r="H136">
            <v>31.2</v>
          </cell>
          <cell r="I136">
            <v>89.6</v>
          </cell>
          <cell r="J136">
            <v>225.96</v>
          </cell>
          <cell r="K136">
            <v>9.18</v>
          </cell>
          <cell r="L136">
            <v>8.7200000000000006</v>
          </cell>
          <cell r="M136">
            <v>3.75</v>
          </cell>
          <cell r="N136">
            <v>0.47</v>
          </cell>
          <cell r="O136">
            <v>24.57</v>
          </cell>
          <cell r="P136">
            <v>0.38</v>
          </cell>
          <cell r="Q136">
            <v>1.01</v>
          </cell>
          <cell r="R136">
            <v>11.8</v>
          </cell>
        </row>
        <row r="137">
          <cell r="E137">
            <v>12.5</v>
          </cell>
          <cell r="F137">
            <v>54.85</v>
          </cell>
          <cell r="G137">
            <v>18.88</v>
          </cell>
          <cell r="H137">
            <v>31.63</v>
          </cell>
          <cell r="I137">
            <v>90.97</v>
          </cell>
          <cell r="J137">
            <v>229.71</v>
          </cell>
          <cell r="K137">
            <v>9.26</v>
          </cell>
          <cell r="L137">
            <v>8.8000000000000007</v>
          </cell>
          <cell r="M137">
            <v>3.75</v>
          </cell>
          <cell r="N137">
            <v>0.47</v>
          </cell>
          <cell r="O137">
            <v>24.81</v>
          </cell>
          <cell r="P137">
            <v>0.38</v>
          </cell>
          <cell r="Q137">
            <v>1.01</v>
          </cell>
          <cell r="R137">
            <v>11.9</v>
          </cell>
        </row>
        <row r="138">
          <cell r="E138">
            <v>12.6</v>
          </cell>
          <cell r="F138">
            <v>55.3</v>
          </cell>
          <cell r="G138">
            <v>19.010000000000002</v>
          </cell>
          <cell r="H138">
            <v>32.049999999999997</v>
          </cell>
          <cell r="I138">
            <v>92.34</v>
          </cell>
          <cell r="J138">
            <v>233.5</v>
          </cell>
          <cell r="K138">
            <v>9.34</v>
          </cell>
          <cell r="L138">
            <v>8.8800000000000008</v>
          </cell>
          <cell r="M138">
            <v>3.75</v>
          </cell>
          <cell r="N138">
            <v>0.47</v>
          </cell>
          <cell r="O138">
            <v>25.04</v>
          </cell>
          <cell r="P138">
            <v>0.38</v>
          </cell>
          <cell r="Q138">
            <v>1.01</v>
          </cell>
          <cell r="R138">
            <v>12</v>
          </cell>
        </row>
        <row r="139">
          <cell r="E139">
            <v>12.7</v>
          </cell>
          <cell r="F139">
            <v>55.75</v>
          </cell>
          <cell r="G139">
            <v>19.149999999999999</v>
          </cell>
          <cell r="H139">
            <v>32.479999999999997</v>
          </cell>
          <cell r="I139">
            <v>93.73</v>
          </cell>
          <cell r="J139">
            <v>237.32</v>
          </cell>
          <cell r="K139">
            <v>9.42</v>
          </cell>
          <cell r="L139">
            <v>8.9600000000000009</v>
          </cell>
          <cell r="M139">
            <v>3.75</v>
          </cell>
          <cell r="N139">
            <v>0.47</v>
          </cell>
          <cell r="O139">
            <v>25.28</v>
          </cell>
          <cell r="P139">
            <v>0.38</v>
          </cell>
          <cell r="Q139">
            <v>1.01</v>
          </cell>
          <cell r="R139">
            <v>12.1</v>
          </cell>
        </row>
        <row r="140">
          <cell r="E140">
            <v>12.8</v>
          </cell>
          <cell r="F140">
            <v>56.2</v>
          </cell>
          <cell r="G140">
            <v>19.28</v>
          </cell>
          <cell r="H140">
            <v>32.909999999999997</v>
          </cell>
          <cell r="I140">
            <v>95.12</v>
          </cell>
          <cell r="J140">
            <v>241.18</v>
          </cell>
          <cell r="K140">
            <v>9.5</v>
          </cell>
          <cell r="L140">
            <v>9.0399999999999991</v>
          </cell>
          <cell r="M140">
            <v>3.75</v>
          </cell>
          <cell r="N140">
            <v>0.47</v>
          </cell>
          <cell r="O140">
            <v>25.51</v>
          </cell>
          <cell r="P140">
            <v>0.38</v>
          </cell>
          <cell r="Q140">
            <v>1.01</v>
          </cell>
          <cell r="R140">
            <v>12.2</v>
          </cell>
        </row>
        <row r="141">
          <cell r="E141">
            <v>12.9</v>
          </cell>
          <cell r="F141">
            <v>56.65</v>
          </cell>
          <cell r="G141">
            <v>19.420000000000002</v>
          </cell>
          <cell r="H141">
            <v>33.35</v>
          </cell>
          <cell r="I141">
            <v>96.53</v>
          </cell>
          <cell r="J141">
            <v>245.07</v>
          </cell>
          <cell r="K141">
            <v>9.58</v>
          </cell>
          <cell r="L141">
            <v>9.1199999999999992</v>
          </cell>
          <cell r="M141">
            <v>3.75</v>
          </cell>
          <cell r="N141">
            <v>0.47</v>
          </cell>
          <cell r="O141">
            <v>25.75</v>
          </cell>
          <cell r="P141">
            <v>0.38</v>
          </cell>
          <cell r="Q141">
            <v>1.01</v>
          </cell>
          <cell r="R141">
            <v>12.3</v>
          </cell>
        </row>
        <row r="142">
          <cell r="E142">
            <v>13</v>
          </cell>
          <cell r="F142">
            <v>57.1</v>
          </cell>
          <cell r="G142">
            <v>19.55</v>
          </cell>
          <cell r="H142">
            <v>33.78</v>
          </cell>
          <cell r="I142">
            <v>97.94</v>
          </cell>
          <cell r="J142">
            <v>249</v>
          </cell>
          <cell r="K142">
            <v>9.66</v>
          </cell>
          <cell r="L142">
            <v>9.1999999999999993</v>
          </cell>
          <cell r="M142">
            <v>3.75</v>
          </cell>
          <cell r="N142">
            <v>0.47</v>
          </cell>
          <cell r="O142">
            <v>25.98</v>
          </cell>
          <cell r="P142">
            <v>0.38</v>
          </cell>
          <cell r="Q142">
            <v>1.01</v>
          </cell>
          <cell r="R142">
            <v>12.4</v>
          </cell>
        </row>
        <row r="143">
          <cell r="E143">
            <v>13.1</v>
          </cell>
          <cell r="F143">
            <v>57.55</v>
          </cell>
          <cell r="G143">
            <v>19.690000000000001</v>
          </cell>
          <cell r="H143">
            <v>34.22</v>
          </cell>
          <cell r="I143">
            <v>99.37</v>
          </cell>
          <cell r="J143">
            <v>252.96</v>
          </cell>
          <cell r="K143">
            <v>9.74</v>
          </cell>
          <cell r="L143">
            <v>9.2799999999999994</v>
          </cell>
          <cell r="M143">
            <v>3.75</v>
          </cell>
          <cell r="N143">
            <v>0.47</v>
          </cell>
          <cell r="O143">
            <v>26.22</v>
          </cell>
          <cell r="P143">
            <v>0.38</v>
          </cell>
          <cell r="Q143">
            <v>1.01</v>
          </cell>
          <cell r="R143">
            <v>12.5</v>
          </cell>
        </row>
        <row r="144">
          <cell r="E144">
            <v>13.2</v>
          </cell>
          <cell r="F144">
            <v>58</v>
          </cell>
          <cell r="G144">
            <v>19.82</v>
          </cell>
          <cell r="H144">
            <v>34.659999999999997</v>
          </cell>
          <cell r="I144">
            <v>100.8</v>
          </cell>
          <cell r="J144">
            <v>256.95999999999998</v>
          </cell>
          <cell r="K144">
            <v>9.82</v>
          </cell>
          <cell r="L144">
            <v>9.36</v>
          </cell>
          <cell r="M144">
            <v>3.75</v>
          </cell>
          <cell r="N144">
            <v>0.47</v>
          </cell>
          <cell r="O144">
            <v>26.45</v>
          </cell>
          <cell r="P144">
            <v>0.38</v>
          </cell>
          <cell r="Q144">
            <v>1.01</v>
          </cell>
          <cell r="R144">
            <v>12.6</v>
          </cell>
        </row>
        <row r="145">
          <cell r="E145">
            <v>13.3</v>
          </cell>
          <cell r="F145">
            <v>58.45</v>
          </cell>
          <cell r="G145">
            <v>19.96</v>
          </cell>
          <cell r="H145">
            <v>35.11</v>
          </cell>
          <cell r="I145">
            <v>102.25</v>
          </cell>
          <cell r="J145">
            <v>260.97000000000003</v>
          </cell>
          <cell r="K145">
            <v>9.91</v>
          </cell>
          <cell r="L145">
            <v>9.4499999999999993</v>
          </cell>
          <cell r="M145">
            <v>3.75</v>
          </cell>
          <cell r="N145">
            <v>0.47</v>
          </cell>
          <cell r="O145">
            <v>26.69</v>
          </cell>
          <cell r="P145">
            <v>0.38</v>
          </cell>
          <cell r="Q145">
            <v>1.01</v>
          </cell>
          <cell r="R145">
            <v>12.7</v>
          </cell>
        </row>
        <row r="146">
          <cell r="E146">
            <v>13.4</v>
          </cell>
          <cell r="F146">
            <v>58.9</v>
          </cell>
          <cell r="G146">
            <v>20.09</v>
          </cell>
          <cell r="H146">
            <v>35.549999999999997</v>
          </cell>
          <cell r="I146">
            <v>103.7</v>
          </cell>
          <cell r="J146">
            <v>265.04000000000002</v>
          </cell>
          <cell r="K146">
            <v>9.99</v>
          </cell>
          <cell r="L146">
            <v>9.5299999999999994</v>
          </cell>
          <cell r="M146">
            <v>3.75</v>
          </cell>
          <cell r="N146">
            <v>0.47</v>
          </cell>
          <cell r="O146">
            <v>26.92</v>
          </cell>
          <cell r="P146">
            <v>0.38</v>
          </cell>
          <cell r="Q146">
            <v>1.01</v>
          </cell>
          <cell r="R146">
            <v>12.8</v>
          </cell>
        </row>
        <row r="147">
          <cell r="E147">
            <v>13.5</v>
          </cell>
          <cell r="F147">
            <v>59.35</v>
          </cell>
          <cell r="G147">
            <v>20.23</v>
          </cell>
          <cell r="H147">
            <v>36</v>
          </cell>
          <cell r="I147">
            <v>105.17</v>
          </cell>
          <cell r="J147">
            <v>269.13</v>
          </cell>
          <cell r="K147">
            <v>10.07</v>
          </cell>
          <cell r="L147">
            <v>9.61</v>
          </cell>
          <cell r="M147">
            <v>3.75</v>
          </cell>
          <cell r="N147">
            <v>0.47</v>
          </cell>
          <cell r="O147">
            <v>27.16</v>
          </cell>
          <cell r="P147">
            <v>0.38</v>
          </cell>
          <cell r="Q147">
            <v>1.01</v>
          </cell>
          <cell r="R147">
            <v>12.9</v>
          </cell>
        </row>
        <row r="148">
          <cell r="E148">
            <v>13.600000000000099</v>
          </cell>
          <cell r="F148">
            <v>59.8</v>
          </cell>
          <cell r="G148">
            <v>20.36</v>
          </cell>
          <cell r="H148">
            <v>36.450000000000003</v>
          </cell>
          <cell r="I148">
            <v>106.64</v>
          </cell>
          <cell r="J148">
            <v>273.27999999999997</v>
          </cell>
          <cell r="K148">
            <v>10.15</v>
          </cell>
          <cell r="L148">
            <v>9.69</v>
          </cell>
          <cell r="M148">
            <v>3.75</v>
          </cell>
          <cell r="N148">
            <v>0.47</v>
          </cell>
          <cell r="O148">
            <v>27.39</v>
          </cell>
          <cell r="P148">
            <v>0.38</v>
          </cell>
          <cell r="Q148">
            <v>1.01</v>
          </cell>
          <cell r="R148">
            <v>13</v>
          </cell>
        </row>
        <row r="149">
          <cell r="E149">
            <v>13.700000000000101</v>
          </cell>
          <cell r="F149">
            <v>60.25</v>
          </cell>
          <cell r="G149">
            <v>20.5</v>
          </cell>
          <cell r="H149">
            <v>36.909999999999997</v>
          </cell>
          <cell r="I149">
            <v>108.13</v>
          </cell>
          <cell r="J149">
            <v>277.45</v>
          </cell>
          <cell r="K149">
            <v>10.23</v>
          </cell>
          <cell r="L149">
            <v>9.77</v>
          </cell>
          <cell r="M149">
            <v>3.75</v>
          </cell>
          <cell r="N149">
            <v>0.47</v>
          </cell>
          <cell r="O149">
            <v>27.63</v>
          </cell>
          <cell r="P149">
            <v>0.38</v>
          </cell>
          <cell r="Q149">
            <v>1.01</v>
          </cell>
          <cell r="R149">
            <v>13.1</v>
          </cell>
        </row>
        <row r="150">
          <cell r="E150">
            <v>13.8000000000001</v>
          </cell>
          <cell r="F150">
            <v>60.7</v>
          </cell>
          <cell r="G150">
            <v>20.63</v>
          </cell>
          <cell r="H150">
            <v>37.36</v>
          </cell>
          <cell r="I150">
            <v>109.62</v>
          </cell>
          <cell r="J150">
            <v>281.66000000000003</v>
          </cell>
          <cell r="K150">
            <v>10.31</v>
          </cell>
          <cell r="L150">
            <v>9.85</v>
          </cell>
          <cell r="M150">
            <v>3.75</v>
          </cell>
          <cell r="N150">
            <v>0.47</v>
          </cell>
          <cell r="O150">
            <v>27.86</v>
          </cell>
          <cell r="P150">
            <v>0.38</v>
          </cell>
          <cell r="Q150">
            <v>1.01</v>
          </cell>
          <cell r="R150">
            <v>13.2</v>
          </cell>
        </row>
        <row r="151">
          <cell r="E151">
            <v>13.9000000000001</v>
          </cell>
          <cell r="F151">
            <v>61.15</v>
          </cell>
          <cell r="G151">
            <v>20.77</v>
          </cell>
          <cell r="H151">
            <v>37.82</v>
          </cell>
          <cell r="I151">
            <v>111.13</v>
          </cell>
          <cell r="J151">
            <v>285.89999999999998</v>
          </cell>
          <cell r="K151">
            <v>10.39</v>
          </cell>
          <cell r="L151">
            <v>9.93</v>
          </cell>
          <cell r="M151">
            <v>3.75</v>
          </cell>
          <cell r="N151">
            <v>0.47</v>
          </cell>
          <cell r="O151">
            <v>28.1</v>
          </cell>
          <cell r="P151">
            <v>0.38</v>
          </cell>
          <cell r="Q151">
            <v>1.01</v>
          </cell>
          <cell r="R151">
            <v>13.3</v>
          </cell>
        </row>
        <row r="152">
          <cell r="E152">
            <v>14.000000000000099</v>
          </cell>
          <cell r="F152">
            <v>61.6</v>
          </cell>
          <cell r="G152">
            <v>20.9</v>
          </cell>
          <cell r="H152">
            <v>38.28</v>
          </cell>
          <cell r="I152">
            <v>112.64</v>
          </cell>
          <cell r="J152">
            <v>290.18</v>
          </cell>
          <cell r="K152">
            <v>10.47</v>
          </cell>
          <cell r="L152">
            <v>10.01</v>
          </cell>
          <cell r="M152">
            <v>3.75</v>
          </cell>
          <cell r="N152">
            <v>0.47</v>
          </cell>
          <cell r="O152">
            <v>28.33</v>
          </cell>
          <cell r="P152">
            <v>0.38</v>
          </cell>
          <cell r="Q152">
            <v>1.01</v>
          </cell>
          <cell r="R152">
            <v>13.4</v>
          </cell>
        </row>
        <row r="153">
          <cell r="E153">
            <v>14.100000000000099</v>
          </cell>
          <cell r="F153">
            <v>62.05</v>
          </cell>
          <cell r="G153">
            <v>21.04</v>
          </cell>
          <cell r="H153">
            <v>38.75</v>
          </cell>
          <cell r="I153">
            <v>114.17</v>
          </cell>
          <cell r="J153">
            <v>294.56</v>
          </cell>
          <cell r="K153">
            <v>10.55</v>
          </cell>
          <cell r="L153">
            <v>10.09</v>
          </cell>
          <cell r="M153">
            <v>3.75</v>
          </cell>
          <cell r="N153">
            <v>0.47</v>
          </cell>
          <cell r="O153">
            <v>28.57</v>
          </cell>
          <cell r="P153">
            <v>0.38</v>
          </cell>
          <cell r="Q153">
            <v>1.01</v>
          </cell>
          <cell r="R153">
            <v>13.5</v>
          </cell>
        </row>
        <row r="154">
          <cell r="E154">
            <v>14.200000000000101</v>
          </cell>
          <cell r="F154">
            <v>62.3</v>
          </cell>
          <cell r="G154">
            <v>21.17</v>
          </cell>
          <cell r="H154">
            <v>39.21</v>
          </cell>
          <cell r="I154">
            <v>115.7</v>
          </cell>
          <cell r="J154">
            <v>298.83999999999997</v>
          </cell>
          <cell r="K154">
            <v>10.63</v>
          </cell>
          <cell r="L154">
            <v>10.17</v>
          </cell>
          <cell r="M154">
            <v>3.75</v>
          </cell>
          <cell r="N154">
            <v>0.47</v>
          </cell>
          <cell r="O154">
            <v>28.8</v>
          </cell>
          <cell r="P154">
            <v>0.38</v>
          </cell>
          <cell r="Q154">
            <v>1.01</v>
          </cell>
          <cell r="R154">
            <v>13.6</v>
          </cell>
        </row>
        <row r="155">
          <cell r="E155">
            <v>14.3000000000001</v>
          </cell>
          <cell r="F155">
            <v>62.95</v>
          </cell>
          <cell r="G155">
            <v>21.31</v>
          </cell>
          <cell r="H155">
            <v>39.68</v>
          </cell>
          <cell r="I155">
            <v>117.25</v>
          </cell>
          <cell r="J155">
            <v>303.22000000000003</v>
          </cell>
          <cell r="K155">
            <v>10.71</v>
          </cell>
          <cell r="L155">
            <v>10.25</v>
          </cell>
          <cell r="M155">
            <v>3.75</v>
          </cell>
          <cell r="N155">
            <v>0.47</v>
          </cell>
          <cell r="O155">
            <v>29.04</v>
          </cell>
          <cell r="P155">
            <v>0.38</v>
          </cell>
          <cell r="Q155">
            <v>1.01</v>
          </cell>
          <cell r="R155">
            <v>13.7</v>
          </cell>
        </row>
        <row r="156">
          <cell r="E156">
            <v>14.4000000000001</v>
          </cell>
          <cell r="F156">
            <v>63.4</v>
          </cell>
          <cell r="G156">
            <v>21.44</v>
          </cell>
          <cell r="H156">
            <v>40.15</v>
          </cell>
          <cell r="I156">
            <v>118.8</v>
          </cell>
          <cell r="J156">
            <v>307.64</v>
          </cell>
          <cell r="K156">
            <v>10.79</v>
          </cell>
          <cell r="L156">
            <v>10.33</v>
          </cell>
          <cell r="M156">
            <v>3.75</v>
          </cell>
          <cell r="N156">
            <v>0.47</v>
          </cell>
          <cell r="O156">
            <v>29.27</v>
          </cell>
          <cell r="P156">
            <v>0.38</v>
          </cell>
          <cell r="Q156">
            <v>1.01</v>
          </cell>
          <cell r="R156">
            <v>13.8</v>
          </cell>
        </row>
        <row r="157">
          <cell r="E157">
            <v>14.500000000000099</v>
          </cell>
          <cell r="F157">
            <v>63.85</v>
          </cell>
          <cell r="G157">
            <v>21.58</v>
          </cell>
          <cell r="H157">
            <v>40.630000000000003</v>
          </cell>
          <cell r="I157">
            <v>120.37</v>
          </cell>
          <cell r="J157">
            <v>312.08999999999997</v>
          </cell>
          <cell r="K157">
            <v>10.87</v>
          </cell>
          <cell r="L157">
            <v>10.41</v>
          </cell>
          <cell r="M157">
            <v>3.75</v>
          </cell>
          <cell r="N157">
            <v>0.47</v>
          </cell>
          <cell r="O157">
            <v>29.51</v>
          </cell>
          <cell r="P157">
            <v>0.38</v>
          </cell>
          <cell r="Q157">
            <v>1.01</v>
          </cell>
          <cell r="R157">
            <v>13.9</v>
          </cell>
        </row>
        <row r="158">
          <cell r="E158">
            <v>14.600000000000099</v>
          </cell>
          <cell r="F158">
            <v>64.3</v>
          </cell>
          <cell r="G158">
            <v>21.71</v>
          </cell>
          <cell r="H158">
            <v>41.1</v>
          </cell>
          <cell r="I158">
            <v>121.94</v>
          </cell>
          <cell r="J158">
            <v>316.56</v>
          </cell>
          <cell r="K158">
            <v>10.96</v>
          </cell>
          <cell r="L158">
            <v>10.5</v>
          </cell>
          <cell r="M158">
            <v>3.75</v>
          </cell>
          <cell r="N158">
            <v>0.47</v>
          </cell>
          <cell r="O158">
            <v>29.74</v>
          </cell>
          <cell r="P158">
            <v>0.38</v>
          </cell>
          <cell r="Q158">
            <v>1.01</v>
          </cell>
          <cell r="R158">
            <v>14</v>
          </cell>
        </row>
        <row r="159">
          <cell r="E159">
            <v>14.700000000000101</v>
          </cell>
          <cell r="F159">
            <v>64.75</v>
          </cell>
          <cell r="G159">
            <v>21.85</v>
          </cell>
          <cell r="H159">
            <v>41.58</v>
          </cell>
          <cell r="I159">
            <v>123.53</v>
          </cell>
          <cell r="J159">
            <v>312.08</v>
          </cell>
          <cell r="K159">
            <v>11.04</v>
          </cell>
          <cell r="L159">
            <v>10.58</v>
          </cell>
          <cell r="M159">
            <v>3.75</v>
          </cell>
          <cell r="N159">
            <v>0.47</v>
          </cell>
          <cell r="O159">
            <v>29.98</v>
          </cell>
          <cell r="P159">
            <v>0.38</v>
          </cell>
          <cell r="Q159">
            <v>1.01</v>
          </cell>
          <cell r="R159">
            <v>14.1</v>
          </cell>
        </row>
        <row r="160">
          <cell r="E160">
            <v>14.8000000000001</v>
          </cell>
          <cell r="F160">
            <v>65.2</v>
          </cell>
          <cell r="G160">
            <v>21.9</v>
          </cell>
          <cell r="H160">
            <v>42.06</v>
          </cell>
          <cell r="I160">
            <v>125.12</v>
          </cell>
          <cell r="J160">
            <v>325.64</v>
          </cell>
          <cell r="K160">
            <v>11.12</v>
          </cell>
          <cell r="L160">
            <v>10.66</v>
          </cell>
          <cell r="M160">
            <v>3.75</v>
          </cell>
          <cell r="N160">
            <v>0.47</v>
          </cell>
          <cell r="O160">
            <v>30.21</v>
          </cell>
          <cell r="P160">
            <v>0.38</v>
          </cell>
          <cell r="Q160">
            <v>1.01</v>
          </cell>
          <cell r="R160">
            <v>14.2</v>
          </cell>
        </row>
        <row r="161">
          <cell r="E161">
            <v>14.9000000000001</v>
          </cell>
          <cell r="F161">
            <v>65.650000000000006</v>
          </cell>
          <cell r="G161">
            <v>22.12</v>
          </cell>
          <cell r="H161">
            <v>42.55</v>
          </cell>
          <cell r="I161">
            <v>126.73</v>
          </cell>
          <cell r="J161">
            <v>330.22</v>
          </cell>
          <cell r="K161">
            <v>11.2</v>
          </cell>
          <cell r="L161">
            <v>10.74</v>
          </cell>
          <cell r="M161">
            <v>3.75</v>
          </cell>
          <cell r="N161">
            <v>0.47</v>
          </cell>
          <cell r="O161">
            <v>30.45</v>
          </cell>
          <cell r="P161">
            <v>0.38</v>
          </cell>
          <cell r="Q161">
            <v>1.01</v>
          </cell>
          <cell r="R161">
            <v>14.3</v>
          </cell>
        </row>
        <row r="162">
          <cell r="E162">
            <v>15.000000000000099</v>
          </cell>
          <cell r="F162">
            <v>66.099999999999994</v>
          </cell>
          <cell r="G162">
            <v>22.25</v>
          </cell>
          <cell r="H162">
            <v>43.03</v>
          </cell>
          <cell r="I162">
            <v>128.34</v>
          </cell>
          <cell r="J162">
            <v>334.86</v>
          </cell>
          <cell r="K162">
            <v>11.28</v>
          </cell>
          <cell r="L162">
            <v>10.82</v>
          </cell>
          <cell r="M162">
            <v>3.75</v>
          </cell>
          <cell r="N162">
            <v>0.47</v>
          </cell>
          <cell r="O162">
            <v>30.68</v>
          </cell>
          <cell r="P162">
            <v>0.38</v>
          </cell>
          <cell r="Q162">
            <v>1.01</v>
          </cell>
          <cell r="R162">
            <v>14.4</v>
          </cell>
        </row>
        <row r="163">
          <cell r="E163">
            <v>15.100000000000099</v>
          </cell>
          <cell r="F163">
            <v>66.55</v>
          </cell>
          <cell r="G163">
            <v>22.39</v>
          </cell>
          <cell r="H163">
            <v>43.52</v>
          </cell>
          <cell r="I163">
            <v>129.97</v>
          </cell>
          <cell r="J163">
            <v>339.52</v>
          </cell>
          <cell r="K163">
            <v>11.36</v>
          </cell>
          <cell r="L163">
            <v>10.9</v>
          </cell>
          <cell r="M163">
            <v>3.75</v>
          </cell>
          <cell r="N163">
            <v>0.47</v>
          </cell>
          <cell r="O163">
            <v>30.92</v>
          </cell>
          <cell r="P163">
            <v>0.38</v>
          </cell>
          <cell r="Q163">
            <v>1.01</v>
          </cell>
          <cell r="R163">
            <v>14.5</v>
          </cell>
        </row>
        <row r="164">
          <cell r="E164">
            <v>15.200000000000101</v>
          </cell>
          <cell r="F164">
            <v>67</v>
          </cell>
          <cell r="G164">
            <v>22.52</v>
          </cell>
          <cell r="H164">
            <v>44.01</v>
          </cell>
          <cell r="I164">
            <v>131.6</v>
          </cell>
          <cell r="J164">
            <v>344.22</v>
          </cell>
          <cell r="K164">
            <v>11.44</v>
          </cell>
          <cell r="L164">
            <v>10.98</v>
          </cell>
          <cell r="M164">
            <v>3.75</v>
          </cell>
          <cell r="N164">
            <v>0.47</v>
          </cell>
          <cell r="O164">
            <v>31.15</v>
          </cell>
          <cell r="P164">
            <v>0.38</v>
          </cell>
          <cell r="Q164">
            <v>1.01</v>
          </cell>
          <cell r="R164">
            <v>14.6</v>
          </cell>
        </row>
        <row r="165">
          <cell r="E165">
            <v>15.3000000000001</v>
          </cell>
          <cell r="F165">
            <v>67.45</v>
          </cell>
          <cell r="G165">
            <v>22.66</v>
          </cell>
          <cell r="H165">
            <v>44.51</v>
          </cell>
          <cell r="I165">
            <v>133.25</v>
          </cell>
          <cell r="J165">
            <v>348.95</v>
          </cell>
          <cell r="K165">
            <v>11.52</v>
          </cell>
          <cell r="L165">
            <v>11.06</v>
          </cell>
          <cell r="M165">
            <v>3.75</v>
          </cell>
          <cell r="N165">
            <v>0.47</v>
          </cell>
          <cell r="O165">
            <v>31.39</v>
          </cell>
          <cell r="P165">
            <v>0.38</v>
          </cell>
          <cell r="Q165">
            <v>1.01</v>
          </cell>
          <cell r="R165">
            <v>14.7</v>
          </cell>
        </row>
        <row r="166">
          <cell r="E166">
            <v>15.4000000000001</v>
          </cell>
          <cell r="F166">
            <v>67.900000000000006</v>
          </cell>
          <cell r="G166">
            <v>22.79</v>
          </cell>
          <cell r="H166">
            <v>45</v>
          </cell>
          <cell r="I166">
            <v>134.9</v>
          </cell>
          <cell r="J166">
            <v>353.72</v>
          </cell>
          <cell r="K166">
            <v>11.6</v>
          </cell>
          <cell r="L166">
            <v>11.14</v>
          </cell>
          <cell r="M166">
            <v>3.75</v>
          </cell>
          <cell r="N166">
            <v>0.47</v>
          </cell>
          <cell r="O166">
            <v>31.62</v>
          </cell>
          <cell r="P166">
            <v>0.38</v>
          </cell>
          <cell r="Q166">
            <v>1.01</v>
          </cell>
          <cell r="R166">
            <v>14.8</v>
          </cell>
        </row>
        <row r="167">
          <cell r="E167">
            <v>15.500000000000099</v>
          </cell>
          <cell r="F167">
            <v>68.349999999999994</v>
          </cell>
          <cell r="G167">
            <v>22.93</v>
          </cell>
          <cell r="H167">
            <v>45.5</v>
          </cell>
          <cell r="I167">
            <v>136.57</v>
          </cell>
          <cell r="J167">
            <v>358.52</v>
          </cell>
          <cell r="K167">
            <v>11.68</v>
          </cell>
          <cell r="L167">
            <v>11.22</v>
          </cell>
          <cell r="M167">
            <v>3.75</v>
          </cell>
          <cell r="N167">
            <v>0.47</v>
          </cell>
          <cell r="O167">
            <v>31.86</v>
          </cell>
          <cell r="P167">
            <v>0.38</v>
          </cell>
          <cell r="Q167">
            <v>1.01</v>
          </cell>
          <cell r="R167">
            <v>14.9</v>
          </cell>
        </row>
        <row r="168">
          <cell r="E168">
            <v>15.600000000000099</v>
          </cell>
          <cell r="F168">
            <v>68.8</v>
          </cell>
          <cell r="G168">
            <v>23.06</v>
          </cell>
          <cell r="H168">
            <v>46</v>
          </cell>
          <cell r="I168">
            <v>138.34</v>
          </cell>
          <cell r="J168">
            <v>363.26</v>
          </cell>
          <cell r="K168">
            <v>11.76</v>
          </cell>
          <cell r="L168">
            <v>11.3</v>
          </cell>
          <cell r="M168">
            <v>3.75</v>
          </cell>
          <cell r="N168">
            <v>0.47</v>
          </cell>
          <cell r="O168">
            <v>32.090000000000003</v>
          </cell>
          <cell r="P168">
            <v>0.38</v>
          </cell>
          <cell r="Q168">
            <v>1.01</v>
          </cell>
          <cell r="R168">
            <v>15</v>
          </cell>
        </row>
        <row r="169">
          <cell r="E169">
            <v>15.700000000000101</v>
          </cell>
          <cell r="F169">
            <v>69.25</v>
          </cell>
          <cell r="G169">
            <v>23.2</v>
          </cell>
          <cell r="H169">
            <v>46.51</v>
          </cell>
          <cell r="I169">
            <v>139.93</v>
          </cell>
          <cell r="J169">
            <v>638.23</v>
          </cell>
          <cell r="K169">
            <v>11.84</v>
          </cell>
          <cell r="L169">
            <v>11.38</v>
          </cell>
          <cell r="M169">
            <v>3.75</v>
          </cell>
          <cell r="N169">
            <v>0.47</v>
          </cell>
          <cell r="O169">
            <v>32.33</v>
          </cell>
          <cell r="P169">
            <v>0.38</v>
          </cell>
          <cell r="Q169">
            <v>1.01</v>
          </cell>
          <cell r="R169">
            <v>15.1</v>
          </cell>
        </row>
        <row r="170">
          <cell r="E170">
            <v>15.8000000000001</v>
          </cell>
          <cell r="F170">
            <v>69.7</v>
          </cell>
          <cell r="G170">
            <v>23.33</v>
          </cell>
          <cell r="H170">
            <v>47.01</v>
          </cell>
          <cell r="I170">
            <v>141.62</v>
          </cell>
          <cell r="J170">
            <v>373.14</v>
          </cell>
          <cell r="K170">
            <v>11.92</v>
          </cell>
          <cell r="L170">
            <v>11.46</v>
          </cell>
          <cell r="M170">
            <v>3.75</v>
          </cell>
          <cell r="N170">
            <v>0.47</v>
          </cell>
          <cell r="O170">
            <v>32.56</v>
          </cell>
          <cell r="P170">
            <v>0.38</v>
          </cell>
          <cell r="Q170">
            <v>1.01</v>
          </cell>
          <cell r="R170">
            <v>15.2</v>
          </cell>
        </row>
        <row r="171">
          <cell r="E171">
            <v>15.9000000000001</v>
          </cell>
          <cell r="F171">
            <v>70.150000000000006</v>
          </cell>
          <cell r="G171">
            <v>23.47</v>
          </cell>
          <cell r="H171">
            <v>47.52</v>
          </cell>
          <cell r="I171">
            <v>143.33000000000001</v>
          </cell>
          <cell r="J171">
            <v>378.05</v>
          </cell>
          <cell r="K171">
            <v>12.01</v>
          </cell>
          <cell r="L171">
            <v>11.55</v>
          </cell>
          <cell r="M171">
            <v>3.75</v>
          </cell>
          <cell r="N171">
            <v>0.47</v>
          </cell>
          <cell r="O171">
            <v>32.799999999999997</v>
          </cell>
          <cell r="P171">
            <v>0.38</v>
          </cell>
          <cell r="Q171">
            <v>1.01</v>
          </cell>
          <cell r="R171">
            <v>15.3</v>
          </cell>
        </row>
        <row r="172">
          <cell r="E172">
            <v>16.000000000000099</v>
          </cell>
          <cell r="F172">
            <v>70.599999999999994</v>
          </cell>
          <cell r="G172">
            <v>23.6</v>
          </cell>
          <cell r="H172">
            <v>48.03</v>
          </cell>
          <cell r="I172">
            <v>145.04</v>
          </cell>
          <cell r="J172">
            <v>383.03</v>
          </cell>
          <cell r="K172">
            <v>12.09</v>
          </cell>
          <cell r="L172">
            <v>11.63</v>
          </cell>
          <cell r="M172">
            <v>3.75</v>
          </cell>
          <cell r="N172">
            <v>0.47</v>
          </cell>
          <cell r="O172">
            <v>33.03</v>
          </cell>
          <cell r="P172">
            <v>0.38</v>
          </cell>
          <cell r="Q172">
            <v>1.01</v>
          </cell>
          <cell r="R172">
            <v>15.4</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2000000000000"/>
      <sheetName val="3000000000000"/>
      <sheetName val="4000000000000"/>
      <sheetName val="5000000000000"/>
      <sheetName val="COVER"/>
      <sheetName val="index"/>
      <sheetName val="Report"/>
      <sheetName val="BCR"/>
      <sheetName val="inspn"/>
      <sheetName val="abstract"/>
      <sheetName val="cd works"/>
      <sheetName val="desig cd works"/>
      <sheetName val="proposal"/>
      <sheetName val="rainfall"/>
      <sheetName val="weir"/>
      <sheetName val="l.s bund"/>
      <sheetName val="bundqty"/>
      <sheetName val="est canal"/>
      <sheetName val="certifc"/>
      <sheetName val="Data"/>
      <sheetName val="Lead "/>
      <sheetName val="Regime"/>
      <sheetName val="qrmap"/>
      <sheetName val="LFcanal"/>
      <sheetName val="RFcanal"/>
      <sheetName val="route map"/>
      <sheetName val="weir heads (2)"/>
      <sheetName val="basicdata"/>
      <sheetName val="weir heads"/>
      <sheetName val="Data-abs"/>
      <sheetName val="draw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sheetData sheetId="14"/>
      <sheetData sheetId="15" refreshError="1"/>
      <sheetData sheetId="16"/>
      <sheetData sheetId="17"/>
      <sheetData sheetId="18"/>
      <sheetData sheetId="19"/>
      <sheetData sheetId="20" refreshError="1"/>
      <sheetData sheetId="21"/>
      <sheetData sheetId="22" refreshError="1"/>
      <sheetData sheetId="23"/>
      <sheetData sheetId="24" refreshError="1"/>
      <sheetData sheetId="25" refreshError="1"/>
      <sheetData sheetId="26"/>
      <sheetData sheetId="27" refreshError="1"/>
      <sheetData sheetId="28" refreshError="1"/>
      <sheetData sheetId="29" refreshError="1"/>
      <sheetData sheetId="30" refreshError="1"/>
      <sheetData sheetId="31"/>
      <sheetData sheetId="32"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leads"/>
      <sheetName val="lead statement"/>
      <sheetName val="data"/>
      <sheetName val="data existing_do not delete"/>
      <sheetName val="pipe line rates"/>
      <sheetName val="platform estimate"/>
      <sheetName val="bore well ori estimate"/>
      <sheetName val="pipe line sub estimate"/>
      <sheetName val="pipe line data"/>
      <sheetName val="pumpset estimate"/>
      <sheetName val="general abstract"/>
      <sheetName val="Sheet3"/>
      <sheetName val="r"/>
    </sheetNames>
    <sheetDataSet>
      <sheetData sheetId="0"/>
      <sheetData sheetId="1"/>
      <sheetData sheetId="2"/>
      <sheetData sheetId="3"/>
      <sheetData sheetId="4">
        <row r="2">
          <cell r="J2">
            <v>28.5</v>
          </cell>
        </row>
        <row r="3">
          <cell r="J3">
            <v>30.5</v>
          </cell>
        </row>
        <row r="4">
          <cell r="J4">
            <v>31.5</v>
          </cell>
        </row>
        <row r="5">
          <cell r="J5">
            <v>36.5</v>
          </cell>
        </row>
        <row r="6">
          <cell r="J6">
            <v>38</v>
          </cell>
        </row>
        <row r="7">
          <cell r="J7">
            <v>49.5</v>
          </cell>
        </row>
        <row r="8">
          <cell r="J8">
            <v>66</v>
          </cell>
        </row>
        <row r="9">
          <cell r="J9">
            <v>342</v>
          </cell>
        </row>
      </sheetData>
      <sheetData sheetId="5"/>
      <sheetData sheetId="6"/>
      <sheetData sheetId="7"/>
      <sheetData sheetId="8"/>
      <sheetData sheetId="9"/>
      <sheetData sheetId="10"/>
      <sheetData sheetId="11"/>
      <sheetData sheetId="12"/>
      <sheetData sheetId="13"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S"/>
      <sheetName val="Inventory"/>
      <sheetName val="FLOW DIAGRAM1"/>
      <sheetName val="Contents"/>
      <sheetName val="Check slip"/>
      <sheetName val="List of Canals"/>
      <sheetName val="General Abstract"/>
      <sheetName val="BOQ"/>
      <sheetName val="Abstract"/>
      <sheetName val="Steps"/>
      <sheetName val="Qty STATEMENT STUCTURES"/>
      <sheetName val="Mech work 0.35x0.425"/>
      <sheetName val="Weighted Average"/>
      <sheetName val="Flow Diagram"/>
      <sheetName val="0.30x0.30"/>
      <sheetName val="Lead computation"/>
      <sheetName val="Lead"/>
      <sheetName val="Data.EarthWork"/>
      <sheetName val="Data.Lining"/>
      <sheetName val="Data.Structures"/>
      <sheetName val="Data.Pipes"/>
      <sheetName val="Data.Mech"/>
      <sheetName val="S.Qty."/>
      <sheetName val="NP2 pipes"/>
      <sheetName val="EW D.ES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alient Features"/>
      <sheetName val="Report"/>
      <sheetName val="Fixing Sill Level"/>
      <sheetName val="Cut Off Statement"/>
      <sheetName val="structures2"/>
      <sheetName val="structures3"/>
      <sheetName val="Design Statement"/>
      <sheetName val="Grading and Velocities"/>
      <sheetName val="HPs Statement"/>
      <sheetName val="OTs"/>
      <sheetName val="CM Works"/>
      <sheetName val="CD Works"/>
      <sheetName val="Drops"/>
      <sheetName val="Curve Particulars"/>
      <sheetName val="Ls"/>
      <sheetName val="lsdat"/>
      <sheetName val="Reach (2)"/>
      <sheetName val="Structures"/>
      <sheetName val="structures _2_"/>
      <sheetName val="Sructures As per Curve Leng _2_"/>
      <sheetName val="Sructures As per Curve Leng _3_"/>
      <sheetName val="Sheet1"/>
      <sheetName val="Bearings"/>
      <sheetName val="Master Data"/>
      <sheetName val="spdat"/>
      <sheetName val="Bed Width _ Depth"/>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refreshError="1"/>
      <sheetData sheetId="11"/>
      <sheetData sheetId="12"/>
      <sheetData sheetId="13" refreshError="1"/>
      <sheetData sheetId="14" refreshError="1"/>
      <sheetData sheetId="15"/>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alient Features"/>
      <sheetName val="Report"/>
      <sheetName val="Fixing Sill Level"/>
      <sheetName val="Cut Off Statement"/>
      <sheetName val="structures2"/>
      <sheetName val="structures3"/>
      <sheetName val="Design Statement"/>
      <sheetName val="Grading and Velocities"/>
      <sheetName val="HPs Statement"/>
      <sheetName val="OTs"/>
      <sheetName val="CM Works"/>
      <sheetName val="CD Works"/>
      <sheetName val="Drops"/>
      <sheetName val="Curve Particulars"/>
      <sheetName val="Ls"/>
      <sheetName val="lsdat"/>
      <sheetName val="Reach (2)"/>
      <sheetName val="Structures"/>
      <sheetName val="structures _2_"/>
      <sheetName val="Sructures As per Curve Leng _2_"/>
      <sheetName val="Sructures As per Curve Leng _3_"/>
      <sheetName val="Sheet1"/>
      <sheetName val="Bearings"/>
      <sheetName val="Master Data"/>
      <sheetName val="spdat"/>
      <sheetName val="Bed Width _ Depth"/>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refreshError="1"/>
      <sheetData sheetId="11"/>
      <sheetData sheetId="12"/>
      <sheetData sheetId="13" refreshError="1"/>
      <sheetData sheetId="14" refreshError="1"/>
      <sheetData sheetId="15"/>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s Abs "/>
      <sheetName val="CM GST"/>
      <sheetName val="CM KF"/>
      <sheetName val="CM FN"/>
      <sheetName val="CM NM"/>
      <sheetName val="CM CR"/>
      <sheetName val="CM NB"/>
      <sheetName val="CM CL"/>
      <sheetName val="CMN420"/>
      <sheetName val="BOQ"/>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General Abs."/>
      <sheetName val="ABS WEIR"/>
      <sheetName val="DET WEIR"/>
      <sheetName val="LATEST DATA"/>
      <sheetName val="lead"/>
      <sheetName val="(-) lead"/>
      <sheetName val="INPUT"/>
      <sheetName val="Det bund (2)"/>
      <sheetName val="abs bund"/>
      <sheetName val="ABS SLuice"/>
      <sheetName val="DET SLUICE"/>
      <sheetName val="cs of 2side G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_bldg"/>
      <sheetName val="mpp_bldg"/>
      <sheetName val="abstract"/>
      <sheetName val="detailed"/>
      <sheetName val="sanitory"/>
      <sheetName val="septic_tank"/>
      <sheetName val="electri"/>
      <sheetName val="c_wall"/>
      <sheetName val="data_sein"/>
      <sheetName val="v"/>
      <sheetName val="r"/>
      <sheetName val="l"/>
      <sheetName val="door"/>
      <sheetName val="w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v>1</v>
          </cell>
          <cell r="B2" t="str">
            <v>Name of the work</v>
          </cell>
          <cell r="C2" t="str">
            <v>Construction of MPP Building at  Nadigudem</v>
          </cell>
        </row>
        <row r="3">
          <cell r="A3">
            <v>2</v>
          </cell>
          <cell r="B3" t="str">
            <v>Est.cost</v>
          </cell>
          <cell r="C3">
            <v>17</v>
          </cell>
        </row>
        <row r="4">
          <cell r="A4">
            <v>3</v>
          </cell>
          <cell r="B4" t="str">
            <v>Grant</v>
          </cell>
          <cell r="C4" t="str">
            <v>MPP</v>
          </cell>
        </row>
        <row r="5">
          <cell r="A5">
            <v>4</v>
          </cell>
          <cell r="B5" t="str">
            <v>Soils</v>
          </cell>
          <cell r="C5" t="str">
            <v>og</v>
          </cell>
        </row>
        <row r="6">
          <cell r="A6">
            <v>5</v>
          </cell>
          <cell r="B6" t="str">
            <v>Cement</v>
          </cell>
          <cell r="D6">
            <v>2500</v>
          </cell>
          <cell r="E6" t="str">
            <v>/MT</v>
          </cell>
        </row>
        <row r="7">
          <cell r="A7">
            <v>6</v>
          </cell>
          <cell r="B7" t="str">
            <v>Steel</v>
          </cell>
          <cell r="D7">
            <v>15000</v>
          </cell>
          <cell r="E7" t="str">
            <v>/MT</v>
          </cell>
        </row>
        <row r="8">
          <cell r="A8">
            <v>7</v>
          </cell>
          <cell r="B8" t="str">
            <v>Metal lead</v>
          </cell>
          <cell r="C8" t="str">
            <v>Akupamula</v>
          </cell>
          <cell r="D8">
            <v>15</v>
          </cell>
          <cell r="E8" t="str">
            <v>KM</v>
          </cell>
        </row>
        <row r="9">
          <cell r="A9">
            <v>8</v>
          </cell>
          <cell r="B9" t="str">
            <v>Crushed meal lead</v>
          </cell>
          <cell r="C9" t="str">
            <v>Akupamula</v>
          </cell>
          <cell r="D9">
            <v>15</v>
          </cell>
          <cell r="E9" t="str">
            <v>KM</v>
          </cell>
        </row>
        <row r="10">
          <cell r="A10">
            <v>9</v>
          </cell>
          <cell r="B10" t="str">
            <v>Sand Lead</v>
          </cell>
          <cell r="C10" t="str">
            <v>Palair</v>
          </cell>
          <cell r="D10">
            <v>32</v>
          </cell>
          <cell r="E10" t="str">
            <v>KM</v>
          </cell>
        </row>
        <row r="11">
          <cell r="A11">
            <v>10</v>
          </cell>
          <cell r="B11" t="str">
            <v>Bricks lead</v>
          </cell>
          <cell r="C11" t="str">
            <v>Kishnavagu</v>
          </cell>
          <cell r="D11">
            <v>6</v>
          </cell>
          <cell r="E11" t="str">
            <v>KM</v>
          </cell>
        </row>
        <row r="12">
          <cell r="A12">
            <v>11</v>
          </cell>
          <cell r="B12" t="str">
            <v>Polished Shabad Stone lead</v>
          </cell>
          <cell r="C12" t="str">
            <v>Kodad</v>
          </cell>
          <cell r="D12">
            <v>22</v>
          </cell>
          <cell r="E12" t="str">
            <v>KM</v>
          </cell>
        </row>
        <row r="13">
          <cell r="A13">
            <v>12</v>
          </cell>
          <cell r="B13" t="str">
            <v>Village</v>
          </cell>
          <cell r="C13" t="str">
            <v>Nadigudem</v>
          </cell>
        </row>
        <row r="14">
          <cell r="A14">
            <v>13</v>
          </cell>
          <cell r="B14" t="str">
            <v>mandal code</v>
          </cell>
          <cell r="D14">
            <v>145</v>
          </cell>
        </row>
        <row r="15">
          <cell r="A15">
            <v>14</v>
          </cell>
          <cell r="B15" t="str">
            <v>Acco proof powder</v>
          </cell>
          <cell r="C15">
            <v>30</v>
          </cell>
          <cell r="D15" t="str">
            <v>per kg</v>
          </cell>
        </row>
        <row r="16">
          <cell r="A16">
            <v>15</v>
          </cell>
          <cell r="B16" t="str">
            <v>Mandal</v>
          </cell>
          <cell r="C16" t="str">
            <v>Kodad</v>
          </cell>
        </row>
        <row r="17">
          <cell r="A17">
            <v>16</v>
          </cell>
          <cell r="B17" t="str">
            <v>Sub-division</v>
          </cell>
          <cell r="C17" t="str">
            <v>Kodad</v>
          </cell>
        </row>
        <row r="18">
          <cell r="A18">
            <v>17</v>
          </cell>
          <cell r="B18" t="str">
            <v>Division</v>
          </cell>
          <cell r="C18" t="str">
            <v>Miryalaguda</v>
          </cell>
        </row>
        <row r="19">
          <cell r="A19">
            <v>18</v>
          </cell>
          <cell r="B19" t="str">
            <v>SO</v>
          </cell>
          <cell r="C19" t="str">
            <v>ae</v>
          </cell>
        </row>
        <row r="20">
          <cell r="A20">
            <v>19</v>
          </cell>
          <cell r="B20" t="str">
            <v>AE</v>
          </cell>
          <cell r="C20" t="str">
            <v>K.Ranadheer Reddy</v>
          </cell>
        </row>
        <row r="21">
          <cell r="A21">
            <v>20</v>
          </cell>
          <cell r="B21" t="str">
            <v>DEE</v>
          </cell>
          <cell r="C21" t="str">
            <v>D.Vijaya Kumar</v>
          </cell>
        </row>
        <row r="22">
          <cell r="A22">
            <v>21</v>
          </cell>
          <cell r="B22" t="str">
            <v>EE</v>
          </cell>
          <cell r="C22" t="str">
            <v>VVRAS Jagannatha Rao</v>
          </cell>
        </row>
      </sheetData>
      <sheetData sheetId="10" refreshError="1"/>
      <sheetData sheetId="11"/>
      <sheetData sheetId="12" refreshError="1"/>
      <sheetData sheetId="13"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p"/>
      <sheetName val="data_new"/>
      <sheetName val="lead-st"/>
      <sheetName val="v"/>
      <sheetName val="r"/>
      <sheetName val="l"/>
      <sheetName val="Lead"/>
      <sheetName val="leads"/>
      <sheetName val="Sheet1"/>
    </sheetNames>
    <sheetDataSet>
      <sheetData sheetId="0" refreshError="1"/>
      <sheetData sheetId="1" refreshError="1"/>
      <sheetData sheetId="2" refreshError="1"/>
      <sheetData sheetId="3" refreshError="1"/>
      <sheetData sheetId="4" refreshError="1">
        <row r="29">
          <cell r="F29">
            <v>44</v>
          </cell>
        </row>
        <row r="30">
          <cell r="F30">
            <v>0.25</v>
          </cell>
        </row>
      </sheetData>
      <sheetData sheetId="5" refreshError="1"/>
      <sheetData sheetId="6" refreshError="1"/>
      <sheetData sheetId="7" refreshError="1"/>
      <sheetData sheetId="8"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 abst 2018-19"/>
      <sheetName val="Seign DMF Gangadhara"/>
      <sheetName val=" tank abst 2004-05"/>
      <sheetName val="total qty tank"/>
      <sheetName val="Gang-Deta"/>
      <sheetName val="Cut &amp; covr abst 2018-19"/>
      <sheetName val="CUT AND COVER"/>
      <sheetName val="c &amp; C 2004-05"/>
      <sheetName val="EW C&amp;C"/>
      <sheetName val="cut and cover det"/>
      <sheetName val="dlrb 2018-19 abs 2.967 abs"/>
      <sheetName val="DLRB abs 2004-05"/>
      <sheetName val="2.967 DLRB"/>
      <sheetName val="datas 2018-19"/>
      <sheetName val="General ABST2018-19"/>
      <sheetName val="data 2004-05  modififed"/>
      <sheetName val="lead chart Ganga 2018-19"/>
      <sheetName val="Sheet1"/>
      <sheetName val="KolnurSheet1"/>
      <sheetName val="NT420Sheet1"/>
      <sheetName val="Gan_est weir"/>
      <sheetName val="lead chart 2018-19 cut cover IB"/>
      <sheetName val="DATA cut &amp; cover With IBM Lead"/>
      <sheetName val=" Lead 2004-05 "/>
      <sheetName val="Seign DMF CUT AND COVER"/>
      <sheetName val="Steel c &amp; C-1"/>
      <sheetName val="steel C &amp; C-2"/>
      <sheetName val="steel C &amp; C3"/>
      <sheetName val="Sheet2"/>
      <sheetName val="GA 2004-05"/>
    </sheetNames>
    <sheetDataSet>
      <sheetData sheetId="0"/>
      <sheetData sheetId="1"/>
      <sheetData sheetId="2"/>
      <sheetData sheetId="3"/>
      <sheetData sheetId="4">
        <row r="13">
          <cell r="AM13">
            <v>349.4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heck Slip"/>
      <sheetName val="Check slips"/>
      <sheetName val="BCR"/>
      <sheetName val="TABLE-1"/>
      <sheetName val="GEN. ABS"/>
      <sheetName val="Trash Rack-14-8"/>
      <sheetName val="Ring Bund"/>
      <sheetName val="Intake pipe line"/>
      <sheetName val="Cal"/>
      <sheetName val="In Cal"/>
      <sheetName val="Sump  Well"/>
      <sheetName val="Sump Cal-14-8"/>
      <sheetName val="Pump House"/>
      <sheetName val="Railing"/>
      <sheetName val="Lighting"/>
      <sheetName val="Fencing"/>
      <sheetName val="Manifold &amp;thrust blocks"/>
      <sheetName val="Pressuremain"/>
      <sheetName val="EWE.Pr. Main"/>
      <sheetName val="Earth work Cal"/>
      <sheetName val="ZV"/>
      <sheetName val="ZV Drawing"/>
      <sheetName val="D.C"/>
      <sheetName val="Approach"/>
      <sheetName val="50x50 S.G Shutter"/>
      <sheetName val="DESIGNS"/>
      <sheetName val="Designs of Cisterns"/>
      <sheetName val="Cement and Steel Rates"/>
      <sheetName val="Leads"/>
      <sheetName val="Input"/>
      <sheetName val="Esc"/>
      <sheetName val="Well sink"/>
      <sheetName val="Civil works"/>
      <sheetName val="L&amp;J"/>
      <sheetName val="Pipes"/>
      <sheetName val="PVC Pipes"/>
      <sheetName val="PVC L&amp;J "/>
      <sheetName val="Valves"/>
      <sheetName val="MS pipes"/>
      <sheetName val="Ring"/>
      <sheetName val="Pump sets "/>
      <sheetName val="Pump Sets"/>
      <sheetName val="MSDF"/>
      <sheetName val="Manifold"/>
      <sheetName val="fencin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heck Slip"/>
      <sheetName val="Check slips"/>
      <sheetName val="BCR"/>
      <sheetName val="TABLE-1"/>
      <sheetName val="GEN. ABS"/>
      <sheetName val="Trash Rack-14-8"/>
      <sheetName val="Ring Bund"/>
      <sheetName val="Intake pipe line"/>
      <sheetName val="Cal"/>
      <sheetName val="In Cal"/>
      <sheetName val="Sump  Well"/>
      <sheetName val="Sump Cal-14-8"/>
      <sheetName val="Pump House"/>
      <sheetName val="Railing"/>
      <sheetName val="Lighting"/>
      <sheetName val="Fencing"/>
      <sheetName val="Manifold &amp;thrust blocks"/>
      <sheetName val="Pressuremain"/>
      <sheetName val="EWE.Pr. Main"/>
      <sheetName val="Earth work Cal"/>
      <sheetName val="ZV"/>
      <sheetName val="ZV Drawing"/>
      <sheetName val="D.C"/>
      <sheetName val="Approach"/>
      <sheetName val="50x50 S.G Shutter"/>
      <sheetName val="DESIGNS"/>
      <sheetName val="Designs of Cisterns"/>
      <sheetName val="Cement and Steel Rates"/>
      <sheetName val="Leads"/>
      <sheetName val="Input"/>
      <sheetName val="Esc"/>
      <sheetName val="Well sink"/>
      <sheetName val="Civil works"/>
      <sheetName val="L&amp;J"/>
      <sheetName val="Pipes"/>
      <sheetName val="PVC Pipes"/>
      <sheetName val="PVC L&amp;J "/>
      <sheetName val="Valves"/>
      <sheetName val="MS pipes"/>
      <sheetName val="Ring"/>
      <sheetName val="Pump sets "/>
      <sheetName val="Pump Sets"/>
      <sheetName val="MSDF"/>
      <sheetName val="Manifold"/>
      <sheetName val="fencin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71">
          <cell r="G171">
            <v>208.5</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vent Pipe"/>
      <sheetName val="Four vents"/>
      <sheetName val="two vents"/>
      <sheetName val="data"/>
      <sheetName val="Lead"/>
      <sheetName val="Designs"/>
      <sheetName val="3Vents"/>
      <sheetName val="Abut"/>
      <sheetName val="Pier"/>
      <sheetName val="Speci"/>
      <sheetName val="One vent "/>
      <sheetName val="Material"/>
      <sheetName val="Sheet1"/>
      <sheetName val="Contents"/>
      <sheetName val="Plant &amp;  Machinery"/>
      <sheetName val="Labour"/>
      <sheetName val="Lead statement (2)"/>
      <sheetName val="Lead statement"/>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Lead (2)"/>
      <sheetName val="Data (2)"/>
      <sheetName val="Estimate"/>
      <sheetName val="XXXXXXXXXXXXX"/>
      <sheetName val="0000000000000"/>
      <sheetName val="6.5% (2)"/>
      <sheetName val="est (2)"/>
      <sheetName val="XXXXXXXXXXXX0"/>
      <sheetName val="Abstract (2)"/>
      <sheetName val="Detailed"/>
      <sheetName val="key (2)"/>
      <sheetName val="pro-B (2)"/>
      <sheetName val="est  (mord)"/>
      <sheetName val="est(old) "/>
      <sheetName val="6.5%"/>
      <sheetName val="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3">
          <cell r="G53">
            <v>234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sheetName val="coln.sys"/>
      <sheetName val="PH"/>
      <sheetName val="Analy"/>
      <sheetName val="shut"/>
      <sheetName val="pipe"/>
      <sheetName val="flnge"/>
      <sheetName val="rate"/>
      <sheetName val="L&amp;J"/>
      <sheetName val="MH"/>
      <sheetName val="MH-abs"/>
      <sheetName val="gas"/>
      <sheetName val="pip"/>
      <sheetName val="PM"/>
      <sheetName val="Bill-1"/>
      <sheetName val="Bill-2&amp;4"/>
      <sheetName val="tan-abs"/>
      <sheetName val="tb"/>
      <sheetName val="coln_sys"/>
      <sheetName val="CABLE"/>
      <sheetName val="number"/>
      <sheetName val="tanjore"/>
      <sheetName val="BOQ"/>
      <sheetName val="Elect."/>
      <sheetName val="Material "/>
      <sheetName val="Labour &amp; Plant"/>
      <sheetName val="E-sch."/>
      <sheetName val="H-Sched"/>
      <sheetName val="Process"/>
      <sheetName val="Detail In Door Stad"/>
      <sheetName val="Client Bill 2 26 11"/>
      <sheetName val="estimate"/>
      <sheetName val="Voucher"/>
      <sheetName val="Data"/>
      <sheetName val="Cal"/>
      <sheetName val="Hardware"/>
      <sheetName val="CST-Pur fr sept'05 to Dec'06"/>
      <sheetName val="Crate"/>
      <sheetName val="MRate"/>
      <sheetName val="Load Details(B2)"/>
      <sheetName val="PETR PUR"/>
      <sheetName val="Boiler&amp;TG"/>
      <sheetName val="02"/>
      <sheetName val="03"/>
      <sheetName val="04"/>
      <sheetName val="05"/>
      <sheetName val="analysis"/>
      <sheetName val="coln_sys1"/>
      <sheetName val="Elect_"/>
      <sheetName val="Detail_In_Door_Stad"/>
      <sheetName val="E-sch_"/>
      <sheetName val="CST-Pur_fr_sept'05_to_Dec'06"/>
      <sheetName val="Client_Bill_2_26_11"/>
      <sheetName val="Load_Details(B2)"/>
      <sheetName val="PETR_PUR"/>
      <sheetName val="typetest"/>
      <sheetName v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refreshError="1"/>
      <sheetData sheetId="5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Sheet1 (3)"/>
      <sheetName val="Sheet2"/>
      <sheetName val="Sheet3"/>
    </sheetNames>
    <sheetDataSet>
      <sheetData sheetId="0"/>
      <sheetData sheetId="1"/>
      <sheetData sheetId="2"/>
      <sheetData sheetId="3"/>
      <sheetData sheetId="4"/>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Abstract"/>
      <sheetName val="BCRatio"/>
      <sheetName val="NetAnnualBenefits"/>
      <sheetName val="Abstract_Bund"/>
      <sheetName val="GorgeGrouting"/>
      <sheetName val="Abstract_Weir"/>
      <sheetName val="AbstractLFSluice"/>
      <sheetName val="AbstractRFSluice"/>
      <sheetName val="AbstractCanals"/>
      <sheetName val="AbstrctQuantities"/>
      <sheetName val="RF_AbsRFot11.0"/>
      <sheetName val="RF_DesignOT@11.0"/>
      <sheetName val="AbsRFctsp53.0"/>
      <sheetName val="RF_CTSP@53.0"/>
      <sheetName val="RF_DesignCT_Sp@53.0"/>
      <sheetName val="Abs2VpipeUT@17.50"/>
      <sheetName val="RF_DEst2VUT@17.50"/>
      <sheetName val="Design2VUT@17.50"/>
      <sheetName val="Abs2VpipeUT@33.50"/>
      <sheetName val="RF_DEst2VUT@33.50"/>
      <sheetName val="Design2VUT@33.50"/>
      <sheetName val="EWLFCanal"/>
      <sheetName val="LF Canal "/>
      <sheetName val="EWRFCanal"/>
      <sheetName val="RF Canal"/>
      <sheetName val="Land Acqi"/>
      <sheetName val="Land Acqin"/>
      <sheetName val="Labour_Charges"/>
      <sheetName val="Leadchart"/>
      <sheetName val="Material_Cos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9">
          <cell r="D39">
            <v>0.89999999999999147</v>
          </cell>
        </row>
        <row r="41">
          <cell r="D41">
            <v>0.45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BTR"/>
      <sheetName val="specification"/>
      <sheetName val="RMR"/>
      <sheetName val="Road data"/>
      <sheetName val="GenAbst"/>
      <sheetName val="Quarry"/>
      <sheetName val="Detailed"/>
      <sheetName val="Rates"/>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QC check slip"/>
      <sheetName val="Det bund"/>
      <sheetName val="Sluice abs"/>
      <sheetName val="DET SLUICE"/>
      <sheetName val="ABS weir"/>
      <sheetName val="det weir"/>
      <sheetName val="ABS IC"/>
      <sheetName val="DET IC"/>
      <sheetName val="DP &amp; CB"/>
      <sheetName val="abs kind"/>
      <sheetName val="det kind"/>
      <sheetName val="QC check slip (2)"/>
      <sheetName val="PP11"/>
      <sheetName val="PP12"/>
      <sheetName val="CC.Run."/>
      <sheetName val="Part"/>
      <sheetName val="CC.Fin"/>
      <sheetName val="Final"/>
      <sheetName val="Cert."/>
      <sheetName val="VAT"/>
      <sheetName val="NAC"/>
      <sheetName val="Com.Rpt"/>
      <sheetName val="SC"/>
      <sheetName val="Workslip"/>
      <sheetName val="WD com.stt."/>
      <sheetName val="LATEST DATA"/>
      <sheetName val="lead"/>
      <sheetName val="(-) lead"/>
      <sheetName val="INPUT"/>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MEstt."/>
      <sheetName val="ABST(PART B) "/>
      <sheetName val="F6-Gnrl Abstrt"/>
      <sheetName val="Lead"/>
      <sheetName val="Data.F8.BTR"/>
      <sheetName val="F6-Estt"/>
      <sheetName val="sub-data -no full"/>
      <sheetName val="Labour"/>
      <sheetName val="Machinery"/>
      <sheetName val="Sheet1"/>
      <sheetName val="Diff stmnt (2)"/>
      <sheetName val="ewst"/>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Arrp data (3)"/>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vent Pipe"/>
      <sheetName val="Four vents"/>
      <sheetName val="two vents"/>
      <sheetName val="data"/>
      <sheetName val="Lead"/>
      <sheetName val="Designs"/>
      <sheetName val="3Vents"/>
      <sheetName val="Abut"/>
      <sheetName val="Pier"/>
      <sheetName val="Speci"/>
      <sheetName val="One vent "/>
      <sheetName val="Material"/>
      <sheetName val="Sheet1"/>
      <sheetName val="Contents"/>
      <sheetName val="Plant &amp;  Machinery"/>
      <sheetName val="Labour"/>
      <sheetName val="Lead statement (2)"/>
      <sheetName val="Lead statement"/>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Lead (2)"/>
      <sheetName val="Data (2)"/>
      <sheetName val="Estimate"/>
      <sheetName val="XXXXXXXXXXXXX"/>
      <sheetName val="0000000000000"/>
      <sheetName val="6.5% (2)"/>
      <sheetName val="est (2)"/>
      <sheetName val="XXXXXXXXXXXX0"/>
      <sheetName val="Abstract (2)"/>
      <sheetName val="Detailed"/>
      <sheetName val="key (2)"/>
      <sheetName val="pro-B (2)"/>
      <sheetName val="est  (mord)"/>
      <sheetName val="est(old) "/>
      <sheetName val="6.5%"/>
      <sheetName val="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row r="4">
          <cell r="G4">
            <v>206</v>
          </cell>
        </row>
        <row r="5">
          <cell r="G5">
            <v>7150</v>
          </cell>
        </row>
        <row r="6">
          <cell r="G6" t="str">
            <v>Input Rate</v>
          </cell>
        </row>
        <row r="8">
          <cell r="G8">
            <v>128</v>
          </cell>
        </row>
        <row r="9">
          <cell r="G9" t="str">
            <v>Input Rate</v>
          </cell>
        </row>
        <row r="10">
          <cell r="G10">
            <v>516</v>
          </cell>
        </row>
        <row r="11">
          <cell r="G11">
            <v>150</v>
          </cell>
        </row>
        <row r="13">
          <cell r="G13">
            <v>2400</v>
          </cell>
        </row>
        <row r="15">
          <cell r="G15">
            <v>450</v>
          </cell>
        </row>
        <row r="17">
          <cell r="G17">
            <v>520</v>
          </cell>
        </row>
        <row r="19">
          <cell r="G19">
            <v>230</v>
          </cell>
        </row>
        <row r="20">
          <cell r="G20">
            <v>1100</v>
          </cell>
        </row>
        <row r="21">
          <cell r="G21">
            <v>1700</v>
          </cell>
        </row>
        <row r="22">
          <cell r="G22" t="str">
            <v>Input Rate</v>
          </cell>
        </row>
        <row r="23">
          <cell r="G23" t="str">
            <v>Input Rate</v>
          </cell>
        </row>
        <row r="24">
          <cell r="G24" t="str">
            <v>Input Rate</v>
          </cell>
        </row>
        <row r="25">
          <cell r="G25">
            <v>1545</v>
          </cell>
        </row>
        <row r="27">
          <cell r="G27" t="str">
            <v>Input Rate</v>
          </cell>
        </row>
        <row r="28">
          <cell r="G28">
            <v>1725</v>
          </cell>
        </row>
        <row r="29">
          <cell r="G29" t="str">
            <v>Input Rate</v>
          </cell>
        </row>
        <row r="30">
          <cell r="G30" t="str">
            <v>Input Rate</v>
          </cell>
        </row>
        <row r="31">
          <cell r="G31" t="str">
            <v>Input Rate</v>
          </cell>
        </row>
        <row r="34">
          <cell r="G34">
            <v>297</v>
          </cell>
        </row>
        <row r="45">
          <cell r="G45">
            <v>200</v>
          </cell>
        </row>
        <row r="46">
          <cell r="G46">
            <v>234</v>
          </cell>
        </row>
        <row r="47">
          <cell r="G47">
            <v>252</v>
          </cell>
        </row>
        <row r="48">
          <cell r="G48">
            <v>234</v>
          </cell>
        </row>
        <row r="49">
          <cell r="G49">
            <v>11</v>
          </cell>
        </row>
        <row r="51">
          <cell r="G51">
            <v>994</v>
          </cell>
        </row>
        <row r="53">
          <cell r="G53">
            <v>234</v>
          </cell>
        </row>
        <row r="54">
          <cell r="G54">
            <v>777</v>
          </cell>
        </row>
      </sheetData>
      <sheetData sheetId="3" refreshError="1">
        <row r="3">
          <cell r="D3">
            <v>150</v>
          </cell>
        </row>
        <row r="4">
          <cell r="D4">
            <v>131</v>
          </cell>
        </row>
        <row r="5">
          <cell r="D5">
            <v>131</v>
          </cell>
        </row>
        <row r="6">
          <cell r="D6">
            <v>150</v>
          </cell>
        </row>
        <row r="7">
          <cell r="D7">
            <v>150</v>
          </cell>
        </row>
        <row r="8">
          <cell r="D8">
            <v>131</v>
          </cell>
        </row>
        <row r="9">
          <cell r="D9">
            <v>131</v>
          </cell>
        </row>
        <row r="10">
          <cell r="D10">
            <v>150</v>
          </cell>
        </row>
        <row r="11">
          <cell r="D11">
            <v>150</v>
          </cell>
        </row>
        <row r="14">
          <cell r="D14">
            <v>150</v>
          </cell>
        </row>
        <row r="15">
          <cell r="D15">
            <v>131</v>
          </cell>
        </row>
        <row r="16">
          <cell r="D16">
            <v>131</v>
          </cell>
        </row>
        <row r="17">
          <cell r="D17">
            <v>101</v>
          </cell>
        </row>
        <row r="18">
          <cell r="D18">
            <v>131</v>
          </cell>
        </row>
        <row r="19">
          <cell r="D19">
            <v>150</v>
          </cell>
        </row>
        <row r="20">
          <cell r="D20">
            <v>150</v>
          </cell>
        </row>
        <row r="21">
          <cell r="D21">
            <v>150</v>
          </cell>
        </row>
        <row r="22">
          <cell r="D22">
            <v>150</v>
          </cell>
        </row>
        <row r="23">
          <cell r="D23">
            <v>131</v>
          </cell>
        </row>
      </sheetData>
      <sheetData sheetId="4" refreshError="1">
        <row r="3">
          <cell r="D3">
            <v>93.6</v>
          </cell>
        </row>
        <row r="4">
          <cell r="D4" t="str">
            <v>Input Rate</v>
          </cell>
        </row>
        <row r="5">
          <cell r="D5" t="str">
            <v>Input Rate</v>
          </cell>
        </row>
        <row r="6">
          <cell r="D6" t="str">
            <v>Input Rate</v>
          </cell>
        </row>
        <row r="7">
          <cell r="D7" t="str">
            <v>Input Rate</v>
          </cell>
        </row>
        <row r="8">
          <cell r="D8" t="str">
            <v>Input Rate</v>
          </cell>
        </row>
        <row r="9">
          <cell r="D9" t="str">
            <v>Input Rate</v>
          </cell>
        </row>
        <row r="10">
          <cell r="D10" t="str">
            <v>Input Rate</v>
          </cell>
        </row>
        <row r="11">
          <cell r="D11" t="str">
            <v>Input Rate</v>
          </cell>
        </row>
        <row r="12">
          <cell r="D12" t="str">
            <v>Input Rate</v>
          </cell>
        </row>
        <row r="13">
          <cell r="D13" t="str">
            <v>Input Rate</v>
          </cell>
        </row>
        <row r="14">
          <cell r="D14" t="str">
            <v>Input Rate</v>
          </cell>
        </row>
        <row r="15">
          <cell r="D15" t="str">
            <v>Input Rate</v>
          </cell>
        </row>
        <row r="16">
          <cell r="D16" t="str">
            <v>Input Rate</v>
          </cell>
        </row>
        <row r="17">
          <cell r="D17">
            <v>615.35</v>
          </cell>
        </row>
        <row r="18">
          <cell r="D18">
            <v>811.6</v>
          </cell>
        </row>
        <row r="19">
          <cell r="D19">
            <v>560.35</v>
          </cell>
        </row>
        <row r="20">
          <cell r="D20" t="str">
            <v>Input Rate</v>
          </cell>
        </row>
        <row r="21">
          <cell r="D21" t="str">
            <v>Input Rate</v>
          </cell>
        </row>
        <row r="22">
          <cell r="D22" t="str">
            <v>Input Rate</v>
          </cell>
        </row>
        <row r="23">
          <cell r="D23" t="str">
            <v>Input Rate</v>
          </cell>
        </row>
        <row r="24">
          <cell r="D24">
            <v>411.41</v>
          </cell>
        </row>
        <row r="25">
          <cell r="D25">
            <v>519.51</v>
          </cell>
        </row>
        <row r="26">
          <cell r="D26" t="str">
            <v>Input Rate</v>
          </cell>
        </row>
        <row r="27">
          <cell r="D27" t="str">
            <v>Input Rate</v>
          </cell>
        </row>
        <row r="28">
          <cell r="D28">
            <v>167</v>
          </cell>
        </row>
        <row r="29">
          <cell r="D29" t="str">
            <v>Input Rate</v>
          </cell>
        </row>
        <row r="30">
          <cell r="D30" t="str">
            <v>Input Rate</v>
          </cell>
        </row>
        <row r="31">
          <cell r="D31" t="str">
            <v>Input Rate</v>
          </cell>
        </row>
        <row r="32">
          <cell r="D32" t="str">
            <v>Input Rate</v>
          </cell>
        </row>
        <row r="33">
          <cell r="D33" t="str">
            <v>Input Rate</v>
          </cell>
        </row>
        <row r="34">
          <cell r="D34" t="str">
            <v>Input Rate</v>
          </cell>
        </row>
        <row r="35">
          <cell r="D35" t="str">
            <v>Input Rate</v>
          </cell>
        </row>
        <row r="36">
          <cell r="D36">
            <v>22</v>
          </cell>
        </row>
        <row r="37">
          <cell r="D37">
            <v>38.5</v>
          </cell>
        </row>
        <row r="38">
          <cell r="D38" t="str">
            <v>Input Rate</v>
          </cell>
        </row>
        <row r="39">
          <cell r="D39">
            <v>15472.42</v>
          </cell>
        </row>
        <row r="40">
          <cell r="D40" t="str">
            <v>Input Rate</v>
          </cell>
        </row>
        <row r="41">
          <cell r="D41" t="str">
            <v>Input Rate</v>
          </cell>
        </row>
        <row r="42">
          <cell r="D42">
            <v>12895.7</v>
          </cell>
        </row>
        <row r="43">
          <cell r="D43">
            <v>12097.28</v>
          </cell>
        </row>
        <row r="44">
          <cell r="D44" t="str">
            <v>Input Rate</v>
          </cell>
        </row>
        <row r="45">
          <cell r="D45">
            <v>11976.31</v>
          </cell>
        </row>
        <row r="46">
          <cell r="D46">
            <v>16</v>
          </cell>
        </row>
        <row r="47">
          <cell r="D47">
            <v>331.1</v>
          </cell>
        </row>
        <row r="48">
          <cell r="D48" t="str">
            <v>Input Rate</v>
          </cell>
        </row>
        <row r="49">
          <cell r="D49" t="str">
            <v>Input Rate</v>
          </cell>
        </row>
        <row r="50">
          <cell r="D50">
            <v>1.51</v>
          </cell>
        </row>
        <row r="51">
          <cell r="D51">
            <v>2700</v>
          </cell>
        </row>
        <row r="52">
          <cell r="D52">
            <v>65</v>
          </cell>
        </row>
        <row r="54">
          <cell r="D54" t="str">
            <v>Input Rate</v>
          </cell>
        </row>
        <row r="59">
          <cell r="D59" t="str">
            <v>Input Rate</v>
          </cell>
        </row>
        <row r="61">
          <cell r="D61">
            <v>261.2</v>
          </cell>
        </row>
        <row r="62">
          <cell r="D62" t="str">
            <v>Input Rate</v>
          </cell>
        </row>
        <row r="63">
          <cell r="D63" t="str">
            <v>Input Rate</v>
          </cell>
        </row>
        <row r="64">
          <cell r="D64">
            <v>492.85</v>
          </cell>
        </row>
        <row r="65">
          <cell r="D65">
            <v>520.35</v>
          </cell>
        </row>
        <row r="66">
          <cell r="D66">
            <v>520.35</v>
          </cell>
        </row>
        <row r="67">
          <cell r="D67">
            <v>615.35</v>
          </cell>
        </row>
        <row r="68">
          <cell r="D68" t="str">
            <v>Input Rate</v>
          </cell>
        </row>
        <row r="69">
          <cell r="D69">
            <v>46.8</v>
          </cell>
        </row>
        <row r="70">
          <cell r="D70" t="str">
            <v>Input Rate</v>
          </cell>
        </row>
        <row r="72">
          <cell r="D72" t="str">
            <v>Input Rate</v>
          </cell>
        </row>
        <row r="73">
          <cell r="D73" t="str">
            <v>Input Rate</v>
          </cell>
        </row>
        <row r="74">
          <cell r="D74" t="str">
            <v>Input Rate</v>
          </cell>
        </row>
        <row r="75">
          <cell r="D75" t="str">
            <v>Input Rate</v>
          </cell>
        </row>
        <row r="77">
          <cell r="D77" t="str">
            <v>Input Rate</v>
          </cell>
        </row>
        <row r="78">
          <cell r="D78">
            <v>110</v>
          </cell>
        </row>
        <row r="79">
          <cell r="D79" t="str">
            <v>Input Rate</v>
          </cell>
        </row>
        <row r="80">
          <cell r="D80">
            <v>261.2</v>
          </cell>
        </row>
        <row r="83">
          <cell r="D83" t="str">
            <v>Input Rate</v>
          </cell>
        </row>
        <row r="85">
          <cell r="D85" t="str">
            <v>Input Rate</v>
          </cell>
        </row>
        <row r="86">
          <cell r="D86" t="str">
            <v>Input Rate</v>
          </cell>
        </row>
        <row r="87">
          <cell r="D87" t="str">
            <v>Input Rate</v>
          </cell>
        </row>
        <row r="88">
          <cell r="D88" t="str">
            <v>Input Rate</v>
          </cell>
        </row>
        <row r="89">
          <cell r="D89">
            <v>493.1</v>
          </cell>
        </row>
        <row r="90">
          <cell r="D90" t="str">
            <v>Input Rate</v>
          </cell>
        </row>
        <row r="91">
          <cell r="D91" t="str">
            <v>Input Rate</v>
          </cell>
        </row>
        <row r="92">
          <cell r="D92" t="str">
            <v>Input Rate</v>
          </cell>
        </row>
        <row r="93">
          <cell r="D93">
            <v>700</v>
          </cell>
        </row>
        <row r="94">
          <cell r="D94" t="str">
            <v>Input Rate</v>
          </cell>
        </row>
        <row r="95">
          <cell r="D95" t="str">
            <v>Input Rate</v>
          </cell>
        </row>
        <row r="96">
          <cell r="D96" t="str">
            <v>Input Rate</v>
          </cell>
        </row>
        <row r="97">
          <cell r="D97" t="str">
            <v>Input Rate</v>
          </cell>
        </row>
        <row r="99">
          <cell r="D99" t="str">
            <v>Input Rate</v>
          </cell>
        </row>
        <row r="100">
          <cell r="D100" t="str">
            <v>Input Rate</v>
          </cell>
        </row>
        <row r="102">
          <cell r="D102" t="str">
            <v>Input Rate</v>
          </cell>
        </row>
        <row r="103">
          <cell r="D103">
            <v>27500</v>
          </cell>
        </row>
        <row r="104">
          <cell r="D104" t="str">
            <v>Input Rate</v>
          </cell>
        </row>
        <row r="105">
          <cell r="D105" t="str">
            <v>Input Rate</v>
          </cell>
        </row>
        <row r="106">
          <cell r="D106" t="str">
            <v>Input Rate</v>
          </cell>
        </row>
        <row r="107">
          <cell r="D107">
            <v>34500</v>
          </cell>
        </row>
        <row r="108">
          <cell r="D108">
            <v>125</v>
          </cell>
        </row>
        <row r="109">
          <cell r="D109">
            <v>58.7</v>
          </cell>
        </row>
        <row r="110">
          <cell r="D110" t="str">
            <v>Input Rate</v>
          </cell>
        </row>
        <row r="111">
          <cell r="D111" t="str">
            <v>Input Rate</v>
          </cell>
        </row>
        <row r="113">
          <cell r="D113">
            <v>3921</v>
          </cell>
        </row>
        <row r="114">
          <cell r="D114">
            <v>2818</v>
          </cell>
        </row>
        <row r="115">
          <cell r="D115">
            <v>1738.5</v>
          </cell>
        </row>
        <row r="117">
          <cell r="D117">
            <v>837</v>
          </cell>
        </row>
        <row r="118">
          <cell r="D118">
            <v>4866</v>
          </cell>
        </row>
        <row r="119">
          <cell r="D119">
            <v>3600</v>
          </cell>
        </row>
        <row r="120">
          <cell r="D120">
            <v>2017.5</v>
          </cell>
        </row>
        <row r="122">
          <cell r="D122">
            <v>909</v>
          </cell>
        </row>
        <row r="123">
          <cell r="D123">
            <v>65</v>
          </cell>
        </row>
        <row r="124">
          <cell r="D124" t="str">
            <v>Input Rate</v>
          </cell>
        </row>
        <row r="125">
          <cell r="D125">
            <v>162.9</v>
          </cell>
        </row>
        <row r="126">
          <cell r="D126">
            <v>261.2</v>
          </cell>
        </row>
        <row r="127">
          <cell r="D127" t="str">
            <v>Input Rate</v>
          </cell>
        </row>
        <row r="129">
          <cell r="D129">
            <v>28000</v>
          </cell>
        </row>
        <row r="130">
          <cell r="D130">
            <v>27500</v>
          </cell>
        </row>
        <row r="131">
          <cell r="D131">
            <v>28000</v>
          </cell>
        </row>
        <row r="132">
          <cell r="D132">
            <v>276.10000000000002</v>
          </cell>
        </row>
        <row r="133">
          <cell r="D133">
            <v>692.85</v>
          </cell>
        </row>
        <row r="135">
          <cell r="D135" t="str">
            <v>Input Rate</v>
          </cell>
        </row>
        <row r="136">
          <cell r="D136">
            <v>378.1</v>
          </cell>
        </row>
        <row r="137">
          <cell r="D137" t="str">
            <v>Input Rate</v>
          </cell>
        </row>
        <row r="138">
          <cell r="D138">
            <v>331.1</v>
          </cell>
        </row>
        <row r="139">
          <cell r="D139" t="str">
            <v>Input Rate</v>
          </cell>
        </row>
        <row r="140">
          <cell r="D140">
            <v>692.85</v>
          </cell>
        </row>
        <row r="142">
          <cell r="D142">
            <v>615.35</v>
          </cell>
        </row>
        <row r="143">
          <cell r="D143">
            <v>615.35</v>
          </cell>
        </row>
        <row r="144">
          <cell r="D144" t="str">
            <v>Input Rate</v>
          </cell>
        </row>
        <row r="145">
          <cell r="D145" t="str">
            <v>Input Rate</v>
          </cell>
        </row>
        <row r="146">
          <cell r="D146">
            <v>39</v>
          </cell>
        </row>
        <row r="147">
          <cell r="D147" t="str">
            <v>Input Rate</v>
          </cell>
        </row>
        <row r="148">
          <cell r="D148" t="str">
            <v>Input Rate</v>
          </cell>
        </row>
        <row r="149">
          <cell r="D149" t="str">
            <v>Input Rate</v>
          </cell>
        </row>
        <row r="150">
          <cell r="D150" t="str">
            <v>Input Rate</v>
          </cell>
        </row>
        <row r="151">
          <cell r="D151" t="str">
            <v>Input Rate</v>
          </cell>
        </row>
        <row r="152">
          <cell r="D152" t="str">
            <v>Input Rate</v>
          </cell>
        </row>
        <row r="153">
          <cell r="D153" t="str">
            <v>Input Rate</v>
          </cell>
        </row>
        <row r="154">
          <cell r="D154">
            <v>261.2</v>
          </cell>
        </row>
        <row r="155">
          <cell r="D155">
            <v>548.20000000000005</v>
          </cell>
        </row>
        <row r="156">
          <cell r="D156">
            <v>364.21</v>
          </cell>
        </row>
        <row r="157">
          <cell r="D157" t="str">
            <v>Input Rate</v>
          </cell>
        </row>
        <row r="158">
          <cell r="D158" t="str">
            <v>Input Rate</v>
          </cell>
        </row>
        <row r="159">
          <cell r="D159" t="str">
            <v>Input Rate</v>
          </cell>
        </row>
        <row r="160">
          <cell r="D160" t="str">
            <v>Input Rate</v>
          </cell>
        </row>
        <row r="161">
          <cell r="D161" t="str">
            <v>Input Rate</v>
          </cell>
        </row>
        <row r="162">
          <cell r="D162"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Lead statement"/>
      <sheetName val="Conveyance"/>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Chapt%r-2"/>
      <sheetName val="Plant _  Machinery"/>
      <sheetName val="Lead"/>
      <sheetName val="Plant_&amp;__Machinery"/>
      <sheetName val="Lead_statement"/>
      <sheetName val="Summary_of_Rates"/>
      <sheetName val="Basic_Approach"/>
      <sheetName val="Plant_&amp;__Machinery1"/>
      <sheetName val="Lead_statement1"/>
      <sheetName val="Summary_of_Rates1"/>
      <sheetName val="Basic_Approach1"/>
      <sheetName val="ewst"/>
      <sheetName val="m"/>
      <sheetName val="Av.G Level"/>
      <sheetName val="MRATES"/>
      <sheetName val="HDPE-pipe-rates"/>
      <sheetName val="pvc-pipe-rates"/>
      <sheetName val="hdpe weights"/>
      <sheetName val="PVC weights"/>
      <sheetName val="Sheet5"/>
      <sheetName val="t_prsr"/>
      <sheetName val="wh"/>
      <sheetName val="v"/>
      <sheetName val="Plant_&amp;__Machinery2"/>
      <sheetName val="Lead_statement2"/>
      <sheetName val="Summary_of_Rates2"/>
      <sheetName val="Basic_Approach2"/>
      <sheetName val="Plant____Machinery"/>
      <sheetName val="int-Dia-hdpe"/>
      <sheetName val="int-Dia-pvc"/>
      <sheetName val="hdpe-rates"/>
      <sheetName val="pvc-rates"/>
      <sheetName val="detls"/>
      <sheetName val="DATA_PRG"/>
      <sheetName val="ssr-rates"/>
      <sheetName val="FORM7"/>
      <sheetName val="Sheet1 (2)"/>
      <sheetName val="Common "/>
      <sheetName val="Iocount"/>
      <sheetName val="leads"/>
      <sheetName val="habs-list"/>
      <sheetName val="nodes"/>
      <sheetName val="Data"/>
      <sheetName val="RMR"/>
      <sheetName val="index"/>
      <sheetName val="mlead"/>
      <sheetName val="r"/>
      <sheetName val="Plant 㫨  Machinery"/>
      <sheetName val="Plant_㫨__Machinery"/>
      <sheetName val="Plant_㫨__Machinery1"/>
      <sheetName val="Plant_㫨__Machinery2"/>
      <sheetName val="Data.F8.BTR"/>
      <sheetName val="SSR 2014-15 Rates"/>
      <sheetName val="l"/>
      <sheetName val="PS1"/>
      <sheetName val="Sheet3"/>
      <sheetName val="Rates SSR 2008-09"/>
      <sheetName val="data existing_do not delete"/>
      <sheetName val="DATA-BASE"/>
      <sheetName val="DATA-ABSTRACT"/>
      <sheetName val="Specification report"/>
      <sheetName val="maya"/>
      <sheetName val="Publicbuilding"/>
      <sheetName val="mas_hab"/>
      <sheetName val="Plant_&amp;__Machinery6"/>
      <sheetName val="Lead_statement6"/>
      <sheetName val="Summary_of_Rates6"/>
      <sheetName val="Basic_Approach6"/>
      <sheetName val="Plant____Machinery3"/>
      <sheetName val="Sheet1_(2)2"/>
      <sheetName val="Common_2"/>
      <sheetName val="hdpe_weights2"/>
      <sheetName val="PVC_weights2"/>
      <sheetName val="Plant_&amp;__Machinery4"/>
      <sheetName val="Lead_statement4"/>
      <sheetName val="Summary_of_Rates4"/>
      <sheetName val="Basic_Approach4"/>
      <sheetName val="Plant_&amp;__Machinery3"/>
      <sheetName val="Lead_statement3"/>
      <sheetName val="Summary_of_Rates3"/>
      <sheetName val="Basic_Approach3"/>
      <sheetName val="Plant____Machinery1"/>
      <sheetName val="Sheet1_(2)"/>
      <sheetName val="Common_"/>
      <sheetName val="hdpe_weights"/>
      <sheetName val="PVC_weights"/>
      <sheetName val="Plant_&amp;__Machinery5"/>
      <sheetName val="Lead_statement5"/>
      <sheetName val="Summary_of_Rates5"/>
      <sheetName val="Basic_Approach5"/>
      <sheetName val="Plant____Machinery2"/>
      <sheetName val="Sheet1_(2)1"/>
      <sheetName val="Common_1"/>
      <sheetName val="hdpe_weights1"/>
      <sheetName val="PVC_weights1"/>
      <sheetName val="Road data"/>
      <sheetName val="IO LIST"/>
      <sheetName val="coverpage"/>
      <sheetName val="R_Det"/>
      <sheetName val="BWSCPlt"/>
      <sheetName val="CI"/>
      <sheetName val="DI"/>
      <sheetName val="G.R.P"/>
      <sheetName val="HDPE"/>
      <sheetName val="PSC REVISED"/>
      <sheetName val="pvc"/>
      <sheetName val="ARRR-ver-1104-Chandegaon"/>
      <sheetName val="Bitumen trunk"/>
      <sheetName val="Feeder"/>
      <sheetName val="R99 etc"/>
      <sheetName val="Trunk unpaved"/>
      <sheetName val="Main sheet"/>
      <sheetName val="INPUT SHEET"/>
      <sheetName val="RES-PLANNING"/>
      <sheetName val="Macro1"/>
      <sheetName val="0000000000000"/>
      <sheetName val="cert"/>
      <sheetName val="Nspt-smp-final-ORIGINAL"/>
      <sheetName val="id"/>
      <sheetName val="Activity No (A) ( 12)  "/>
      <sheetName val="lable I"/>
      <sheetName val="FB - 1L"/>
      <sheetName val="Levels"/>
      <sheetName val="DISCOUNT"/>
      <sheetName val="Dn LF Sluice"/>
      <sheetName val="Cover"/>
      <sheetName val="PROCTOR"/>
      <sheetName val="Data base"/>
      <sheetName val="Specification"/>
      <sheetName val="covence16-17"/>
      <sheetName val="Alapadu"/>
      <sheetName val="ew OG"/>
      <sheetName val="Revised rates(SSR 2015-16)"/>
      <sheetName val="Pop"/>
      <sheetName val="Rates2"/>
      <sheetName val="MRoad data"/>
      <sheetName val="Abs"/>
      <sheetName val="PRECAST lightconc-II"/>
      <sheetName val="Wordsdata"/>
      <sheetName val="Design"/>
      <sheetName val="BTR"/>
      <sheetName val="quarry"/>
      <sheetName val="Masonry"/>
      <sheetName val="final abstract"/>
      <sheetName val="Detailed"/>
      <sheetName val="segments-details"/>
      <sheetName val="abs road"/>
      <sheetName val="Spec"/>
      <sheetName val="economic PM"/>
      <sheetName val="Data 07-08 "/>
      <sheetName val="Indices"/>
      <sheetName val="Gates and Pergola Data"/>
      <sheetName val="Usage"/>
      <sheetName val="int-Dia"/>
      <sheetName val="SEGMENTS"/>
      <sheetName val="L040"/>
      <sheetName val="I-CO"/>
      <sheetName val="Mp-team 1"/>
      <sheetName val="Set"/>
      <sheetName val="2.0m  slab"/>
      <sheetName val="total_demand"/>
      <sheetName val="Data-ELSR"/>
      <sheetName val="Mortars"/>
      <sheetName val=" Data -Valves"/>
      <sheetName val="hdpe_basic"/>
      <sheetName val="pvc_basic"/>
      <sheetName val="BM-HOOP"/>
      <sheetName val="Cover sheet"/>
      <sheetName val="GN-ST-10"/>
      <sheetName val="Road Detail Est."/>
      <sheetName val="Process"/>
      <sheetName val="PM&amp;GM"/>
      <sheetName val="water-hammar-strenght"/>
      <sheetName val=" data sheet "/>
      <sheetName val="TOP SLAB-beams"/>
      <sheetName val="Ward areas"/>
      <sheetName val="labour rates"/>
      <sheetName val="CBL_OD"/>
      <sheetName val="ESTIMATE"/>
      <sheetName val="m1"/>
      <sheetName val="Data rough"/>
      <sheetName val="pumping main"/>
      <sheetName val="WATER-HAMMER"/>
      <sheetName val="LABOUR RATE"/>
      <sheetName val="Material Rate"/>
      <sheetName val="ww-march-02"/>
      <sheetName val="clvrt_data"/>
      <sheetName val="hdpe-int-Dia"/>
      <sheetName val="E-Table"/>
      <sheetName val="pvc-int-Dia"/>
      <sheetName val="Rates-May-14"/>
      <sheetName val="Global factors"/>
      <sheetName val="newabstract"/>
      <sheetName val="Plant_&amp;__Machinery7"/>
      <sheetName val="Lead_statement7"/>
      <sheetName val="Summary_of_Rates7"/>
      <sheetName val="Basic_Approach7"/>
      <sheetName val="Plant____Machinery4"/>
      <sheetName val="Sheet1_(2)3"/>
      <sheetName val="Common_3"/>
      <sheetName val="hdpe_weights3"/>
      <sheetName val="PVC_weights3"/>
      <sheetName val="Stability"/>
      <sheetName val="Analysis-NH-Roads"/>
      <sheetName val="wh_data_R"/>
      <sheetName val="Hydraulic Design (Pipe)"/>
      <sheetName val="boredetails"/>
      <sheetName val="Lead statement ss5"/>
      <sheetName val="LOCAL RATES"/>
      <sheetName val="Output"/>
      <sheetName val="Work_sheet"/>
      <sheetName val="INPUT-DATA"/>
      <sheetName val="sg-clay(d)"/>
      <sheetName val="dlvoid"/>
      <sheetName val="foundation(V)"/>
      <sheetName val="Main"/>
      <sheetName val="Design of two-way slab"/>
      <sheetName val="_5wgdhabfinal00_01"/>
      <sheetName val="sectorwise"/>
      <sheetName val="Data_Bit_I"/>
      <sheetName val="bundqty"/>
      <sheetName val="doq-10"/>
      <sheetName val="Road work"/>
      <sheetName val="2. WorkType"/>
      <sheetName val="Sheet10"/>
      <sheetName val="bmrm lead"/>
      <sheetName val="ccoddad"/>
      <sheetName val="Sheet7"/>
      <sheetName val="Pormalla ccrd"/>
      <sheetName val="Sheet4"/>
      <sheetName val="Sheet6"/>
      <sheetName val="Sheet9"/>
      <sheetName val="3405-2014"/>
      <sheetName val="DI gate-DI"/>
      <sheetName val="DIgate_PVC "/>
      <sheetName val="Hyd_Stmt"/>
      <sheetName val="Rates"/>
      <sheetName val="General"/>
      <sheetName val="MTC-estimate"/>
      <sheetName val="Rate Analysis"/>
      <sheetName val="Rd.Det.Est"/>
      <sheetName val="Boq"/>
      <sheetName val="data_existing_do_not_delete"/>
      <sheetName val="Rates_SSR_2008-09"/>
      <sheetName val="Specification_report"/>
      <sheetName val="G_R_P"/>
      <sheetName val="PSC_REVISED"/>
      <sheetName val="SSR_2014-15_Rates"/>
      <sheetName val="Data_F8_BTR"/>
      <sheetName val="Plant_㫨__Machinery3"/>
      <sheetName val="Road_data"/>
      <sheetName val="IO_LIST"/>
      <sheetName val="Activity_No_(A)_(_12)__"/>
      <sheetName val="PRECAST_lightconc-II"/>
      <sheetName val="Bitumen_trunk"/>
      <sheetName val="R99_etc"/>
      <sheetName val="Trunk_unpaved"/>
      <sheetName val="Main_sheet"/>
      <sheetName val="Av_G_Level"/>
      <sheetName val="Dn_LF_Sluice"/>
      <sheetName val="INPUT_SHEET"/>
      <sheetName val="Data_base"/>
      <sheetName val="FB_-_1L"/>
      <sheetName val="final_abstract"/>
      <sheetName val="lable_I"/>
      <sheetName val="Gen Abs"/>
      <sheetName val="other rates"/>
      <sheetName val="analysis"/>
      <sheetName val="PVC_dia"/>
      <sheetName val="A"/>
      <sheetName val="floor slab-RS2"/>
      <sheetName val=""/>
      <sheetName val="SS TANK(HOMO)"/>
      <sheetName val="DATA SHEET"/>
      <sheetName val="Data-2011-12"/>
      <sheetName val="1V800"/>
      <sheetName val="GUNDLASAGAR"/>
      <sheetName val="labour &amp; Centering"/>
      <sheetName val="Sketch"/>
      <sheetName val="Line Road"/>
      <sheetName val="lead-st"/>
      <sheetName val="ABS.C.D."/>
      <sheetName val="3V 6mt "/>
      <sheetName val="Road dam"/>
      <sheetName val="3V 1000PC "/>
      <sheetName val="1V 3mt"/>
      <sheetName val="data-WC"/>
      <sheetName val="RAFT"/>
      <sheetName val="AV-HDPE"/>
      <sheetName val="Di_gate-HDPE"/>
    </sheetNames>
    <sheetDataSet>
      <sheetData sheetId="0"/>
      <sheetData sheetId="1"/>
      <sheetData sheetId="2" refreshError="1">
        <row r="6">
          <cell r="G6">
            <v>4082</v>
          </cell>
        </row>
        <row r="9">
          <cell r="G9" t="str">
            <v>Input Rate</v>
          </cell>
        </row>
        <row r="15">
          <cell r="G15">
            <v>450</v>
          </cell>
        </row>
        <row r="17">
          <cell r="G17">
            <v>520</v>
          </cell>
        </row>
        <row r="20">
          <cell r="G20">
            <v>50</v>
          </cell>
        </row>
        <row r="28">
          <cell r="G28">
            <v>519</v>
          </cell>
        </row>
        <row r="45">
          <cell r="G45">
            <v>200</v>
          </cell>
        </row>
      </sheetData>
      <sheetData sheetId="3" refreshError="1">
        <row r="4">
          <cell r="D4">
            <v>137</v>
          </cell>
        </row>
        <row r="8">
          <cell r="D8">
            <v>137</v>
          </cell>
        </row>
      </sheetData>
      <sheetData sheetId="4"/>
      <sheetData sheetId="5"/>
      <sheetData sheetId="6" refreshError="1">
        <row r="42">
          <cell r="D42">
            <v>13875.8</v>
          </cell>
        </row>
        <row r="43">
          <cell r="D43" t="str">
            <v>Input Rate</v>
          </cell>
        </row>
        <row r="54">
          <cell r="D54" t="str">
            <v>Input Rate</v>
          </cell>
        </row>
        <row r="68">
          <cell r="D68" t="str">
            <v>Input Rate</v>
          </cell>
        </row>
        <row r="96">
          <cell r="D96" t="str">
            <v>Input Rate</v>
          </cell>
        </row>
        <row r="132">
          <cell r="D132" t="str">
            <v>Input Rate</v>
          </cell>
        </row>
        <row r="144">
          <cell r="D144" t="str">
            <v>Input Rate</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sheetData sheetId="64"/>
      <sheetData sheetId="65"/>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Sheet3"/>
      <sheetName val="Chapter-13"/>
      <sheetName val="Chapter-14"/>
      <sheetName val="Chapter-15"/>
      <sheetName val="Summary"/>
      <sheetName val="Abbreviations"/>
      <sheetName val="Sheet2"/>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row r="50">
          <cell r="G50">
            <v>200</v>
          </cell>
        </row>
      </sheetData>
      <sheetData sheetId="3" refreshError="1">
        <row r="13">
          <cell r="D13">
            <v>150</v>
          </cell>
        </row>
      </sheetData>
      <sheetData sheetId="4" refreshError="1">
        <row r="53">
          <cell r="D53" t="str">
            <v>Input Rate</v>
          </cell>
        </row>
        <row r="55">
          <cell r="D55" t="str">
            <v>Input Rate</v>
          </cell>
        </row>
        <row r="56">
          <cell r="D56" t="str">
            <v>Input Rate</v>
          </cell>
        </row>
        <row r="58">
          <cell r="D58">
            <v>30</v>
          </cell>
        </row>
        <row r="81">
          <cell r="D81" t="str">
            <v>Input Rate</v>
          </cell>
        </row>
        <row r="84">
          <cell r="D84" t="str">
            <v>Input Rate</v>
          </cell>
        </row>
        <row r="128">
          <cell r="D128"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data.f8.btr"/>
      <sheetName val="rdamdata"/>
    </sheetNames>
    <sheetDataSet>
      <sheetData sheetId="0" refreshError="1"/>
      <sheetData sheetId="1" refreshError="1"/>
      <sheetData sheetId="2">
        <row r="25">
          <cell r="G25" t="str">
            <v>Input Rate</v>
          </cell>
        </row>
        <row r="34">
          <cell r="G34" t="str">
            <v>Input Rate</v>
          </cell>
        </row>
        <row r="49">
          <cell r="G49" t="str">
            <v>Input Rate</v>
          </cell>
        </row>
        <row r="53">
          <cell r="G53" t="str">
            <v>Input Rate</v>
          </cell>
        </row>
      </sheetData>
      <sheetData sheetId="3">
        <row r="16">
          <cell r="D16" t="str">
            <v>Input Rate</v>
          </cell>
        </row>
        <row r="17">
          <cell r="D17" t="str">
            <v>Input Rate</v>
          </cell>
        </row>
        <row r="19">
          <cell r="D19" t="str">
            <v>Input Rate</v>
          </cell>
        </row>
      </sheetData>
      <sheetData sheetId="4">
        <row r="146">
          <cell r="D146" t="str">
            <v>Input Rate</v>
          </cell>
        </row>
        <row r="147">
          <cell r="D147" t="str">
            <v>Input Rate</v>
          </cell>
        </row>
        <row r="148">
          <cell r="D148" t="str">
            <v>Input Rate</v>
          </cell>
        </row>
        <row r="149">
          <cell r="D149"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r.stt"/>
      <sheetName val="miabstrct"/>
      <sheetName val="splmidata"/>
      <sheetName val="ppraodata"/>
      <sheetName val="Sheet1"/>
    </sheetNames>
    <sheetDataSet>
      <sheetData sheetId="0"/>
      <sheetData sheetId="1"/>
      <sheetData sheetId="2"/>
      <sheetData sheetId="3"/>
      <sheetData sheetId="4"/>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r.stt"/>
      <sheetName val="miabstrct"/>
      <sheetName val="splmidata"/>
      <sheetName val="ppraodata"/>
      <sheetName val="Sheet1"/>
    </sheetNames>
    <sheetDataSet>
      <sheetData sheetId="0"/>
      <sheetData sheetId="1"/>
      <sheetData sheetId="2"/>
      <sheetData sheetId="3">
        <row r="4">
          <cell r="AM4" t="str">
            <v>Labour charges</v>
          </cell>
        </row>
      </sheetData>
      <sheetData sheetId="4"/>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midata"/>
      <sheetName val="ppraodata"/>
      <sheetName val="Majoduck_SK_1"/>
      <sheetName val="thr.stt"/>
      <sheetName val="miabstrct"/>
      <sheetName val="GABcnls"/>
      <sheetName val="Sheet1"/>
    </sheetNames>
    <sheetDataSet>
      <sheetData sheetId="0"/>
      <sheetData sheetId="1"/>
      <sheetData sheetId="2" refreshError="1"/>
      <sheetData sheetId="3"/>
      <sheetData sheetId="4"/>
      <sheetData sheetId="5"/>
      <sheetData sheetId="6"/>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midata"/>
      <sheetName val="ppraodata"/>
      <sheetName val="Majoduck_SK_1"/>
      <sheetName val="thr.stt"/>
      <sheetName val="miabstrct"/>
      <sheetName val="GABcnls"/>
      <sheetName val="Sheet1"/>
    </sheetNames>
    <sheetDataSet>
      <sheetData sheetId="0"/>
      <sheetData sheetId="1">
        <row r="4">
          <cell r="AM4" t="str">
            <v>Labour charges</v>
          </cell>
        </row>
      </sheetData>
      <sheetData sheetId="2" refreshError="1"/>
      <sheetData sheetId="3"/>
      <sheetData sheetId="4"/>
      <sheetData sheetId="5"/>
      <sheetData sheetId="6"/>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midata"/>
      <sheetName val="ppraodata"/>
      <sheetName val="thr.stt"/>
      <sheetName val="miabstrct"/>
      <sheetName val="Sheet1"/>
    </sheetNames>
    <sheetDataSet>
      <sheetData sheetId="0"/>
      <sheetData sheetId="1"/>
      <sheetData sheetId="2"/>
      <sheetData sheetId="3"/>
      <sheetData sheetId="4"/>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midata"/>
      <sheetName val="ppraodata"/>
      <sheetName val="thr.stt"/>
      <sheetName val="miabstrct"/>
      <sheetName val="Sheet1"/>
    </sheetNames>
    <sheetDataSet>
      <sheetData sheetId="0"/>
      <sheetData sheetId="1">
        <row r="4">
          <cell r="AM4" t="str">
            <v>Labour charges</v>
          </cell>
        </row>
      </sheetData>
      <sheetData sheetId="2"/>
      <sheetData sheetId="3"/>
      <sheetData sheetId="4"/>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midata"/>
      <sheetName val="ppraodata"/>
      <sheetName val="thr.stt"/>
      <sheetName val="miabstrct"/>
      <sheetName val="Sheet1"/>
    </sheetNames>
    <sheetDataSet>
      <sheetData sheetId="0"/>
      <sheetData sheetId="1"/>
      <sheetData sheetId="2"/>
      <sheetData sheetId="3"/>
      <sheetData sheetId="4"/>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midata"/>
      <sheetName val="ppraodata"/>
      <sheetName val="thr.stt"/>
      <sheetName val="miabstrct"/>
      <sheetName val="Sheet1"/>
    </sheetNames>
    <sheetDataSet>
      <sheetData sheetId="0"/>
      <sheetData sheetId="1">
        <row r="4">
          <cell r="AM4" t="str">
            <v>Labour charges</v>
          </cell>
        </row>
      </sheetData>
      <sheetData sheetId="2"/>
      <sheetData sheetId="3"/>
      <sheetData sheetId="4"/>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1.NABARDprofrma"/>
      <sheetName val="2.Report"/>
      <sheetName val="3.slntftrs"/>
      <sheetName val="8.Rainfall_Luxetpet_RGS"/>
      <sheetName val="9.Yeild_Distribution"/>
      <sheetName val="10.Cap_Tab"/>
      <sheetName val="10.strngtbl"/>
      <sheetName val="11.Total_Demands"/>
      <sheetName val="11.Paddy_Khariff_Demand"/>
      <sheetName val="11.Groundnut_Kharif_Demand"/>
      <sheetName val="12.Regime_Table"/>
      <sheetName val="WeirDesign"/>
      <sheetName val="7.Sheet1"/>
      <sheetName val="Proposal"/>
      <sheetName val="Detail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midata"/>
      <sheetName val="Majoduck_SK_1"/>
      <sheetName val="thr.stt"/>
      <sheetName val="miabstrct"/>
      <sheetName val="ibdata"/>
      <sheetName val="ppraodata"/>
      <sheetName val="Road Detail Est."/>
    </sheetNames>
    <sheetDataSet>
      <sheetData sheetId="0" refreshError="1">
        <row r="6">
          <cell r="I6" t="str">
            <v>Leads</v>
          </cell>
        </row>
        <row r="7">
          <cell r="G7" t="str">
            <v/>
          </cell>
          <cell r="H7" t="str">
            <v>Earth</v>
          </cell>
          <cell r="I7" t="str">
            <v>Sand &amp;</v>
          </cell>
          <cell r="J7" t="str">
            <v>Stone &amp;</v>
          </cell>
        </row>
        <row r="8">
          <cell r="I8" t="str">
            <v>Gravel</v>
          </cell>
          <cell r="J8" t="str">
            <v>Metal</v>
          </cell>
        </row>
        <row r="9">
          <cell r="G9">
            <v>0.1</v>
          </cell>
          <cell r="H9">
            <v>17.7</v>
          </cell>
          <cell r="I9">
            <v>19.2</v>
          </cell>
        </row>
        <row r="10">
          <cell r="G10">
            <v>0.2</v>
          </cell>
          <cell r="H10">
            <v>21.4</v>
          </cell>
          <cell r="I10">
            <v>28.4</v>
          </cell>
        </row>
        <row r="11">
          <cell r="G11">
            <v>0.3</v>
          </cell>
          <cell r="H11">
            <v>28.7</v>
          </cell>
          <cell r="I11">
            <v>37.200000000000003</v>
          </cell>
        </row>
        <row r="12">
          <cell r="G12">
            <v>0.4</v>
          </cell>
          <cell r="H12">
            <v>37.4</v>
          </cell>
          <cell r="I12">
            <v>49.8</v>
          </cell>
        </row>
        <row r="13">
          <cell r="G13">
            <v>0.5</v>
          </cell>
          <cell r="H13">
            <v>47.2</v>
          </cell>
          <cell r="I13">
            <v>65.099999999999994</v>
          </cell>
          <cell r="J13">
            <v>74.8</v>
          </cell>
        </row>
        <row r="14">
          <cell r="G14">
            <v>1</v>
          </cell>
          <cell r="H14">
            <v>48.8</v>
          </cell>
          <cell r="I14">
            <v>66.099999999999994</v>
          </cell>
          <cell r="J14">
            <v>76.400000000000006</v>
          </cell>
        </row>
        <row r="15">
          <cell r="G15">
            <v>2</v>
          </cell>
          <cell r="H15">
            <v>52</v>
          </cell>
          <cell r="I15">
            <v>69.7</v>
          </cell>
          <cell r="J15">
            <v>79.900000000000006</v>
          </cell>
        </row>
        <row r="16">
          <cell r="G16">
            <v>3</v>
          </cell>
          <cell r="H16">
            <v>55.2</v>
          </cell>
          <cell r="I16">
            <v>73.599999999999994</v>
          </cell>
          <cell r="J16">
            <v>82.9</v>
          </cell>
        </row>
        <row r="17">
          <cell r="G17">
            <v>4</v>
          </cell>
          <cell r="H17">
            <v>58.3</v>
          </cell>
          <cell r="I17">
            <v>77</v>
          </cell>
          <cell r="J17">
            <v>86.7</v>
          </cell>
        </row>
        <row r="18">
          <cell r="G18">
            <v>5</v>
          </cell>
          <cell r="H18">
            <v>61.5</v>
          </cell>
          <cell r="I18">
            <v>80.599999999999994</v>
          </cell>
          <cell r="J18">
            <v>89.8</v>
          </cell>
        </row>
        <row r="19">
          <cell r="G19">
            <v>6</v>
          </cell>
          <cell r="H19">
            <v>64.5</v>
          </cell>
          <cell r="I19">
            <v>83.7</v>
          </cell>
          <cell r="J19">
            <v>93.4</v>
          </cell>
        </row>
        <row r="20">
          <cell r="G20">
            <v>7</v>
          </cell>
          <cell r="H20">
            <v>67.5</v>
          </cell>
          <cell r="I20">
            <v>87.2</v>
          </cell>
          <cell r="J20">
            <v>96.5</v>
          </cell>
        </row>
        <row r="21">
          <cell r="G21">
            <v>8</v>
          </cell>
          <cell r="H21">
            <v>70.7</v>
          </cell>
          <cell r="I21">
            <v>90.7</v>
          </cell>
          <cell r="J21">
            <v>99.7</v>
          </cell>
        </row>
        <row r="22">
          <cell r="G22">
            <v>9</v>
          </cell>
          <cell r="H22">
            <v>74</v>
          </cell>
          <cell r="I22">
            <v>94.3</v>
          </cell>
          <cell r="J22">
            <v>103.7</v>
          </cell>
        </row>
        <row r="23">
          <cell r="G23">
            <v>10</v>
          </cell>
          <cell r="H23">
            <v>77.2</v>
          </cell>
          <cell r="I23">
            <v>97.8</v>
          </cell>
          <cell r="J23">
            <v>106.7</v>
          </cell>
        </row>
        <row r="24">
          <cell r="G24">
            <v>11</v>
          </cell>
          <cell r="H24">
            <v>80.7</v>
          </cell>
          <cell r="I24">
            <v>101.7</v>
          </cell>
          <cell r="J24">
            <v>110.2</v>
          </cell>
        </row>
        <row r="25">
          <cell r="G25">
            <v>12</v>
          </cell>
          <cell r="H25">
            <v>83.3</v>
          </cell>
          <cell r="I25">
            <v>104.3</v>
          </cell>
          <cell r="J25">
            <v>113.4</v>
          </cell>
        </row>
        <row r="26">
          <cell r="G26">
            <v>13</v>
          </cell>
          <cell r="H26">
            <v>86.7</v>
          </cell>
          <cell r="I26">
            <v>108</v>
          </cell>
          <cell r="J26">
            <v>117.2</v>
          </cell>
        </row>
        <row r="27">
          <cell r="G27">
            <v>14</v>
          </cell>
          <cell r="H27">
            <v>89.5</v>
          </cell>
          <cell r="I27">
            <v>111.3</v>
          </cell>
          <cell r="J27">
            <v>119.9</v>
          </cell>
        </row>
        <row r="28">
          <cell r="G28">
            <v>15</v>
          </cell>
          <cell r="H28">
            <v>93.1</v>
          </cell>
          <cell r="I28">
            <v>115</v>
          </cell>
          <cell r="J28">
            <v>123.1</v>
          </cell>
        </row>
        <row r="29">
          <cell r="G29">
            <v>16</v>
          </cell>
          <cell r="H29">
            <v>95.7</v>
          </cell>
          <cell r="I29">
            <v>117.5</v>
          </cell>
          <cell r="J29">
            <v>126.8</v>
          </cell>
        </row>
        <row r="30">
          <cell r="G30">
            <v>17</v>
          </cell>
          <cell r="H30">
            <v>99.2</v>
          </cell>
          <cell r="I30">
            <v>121.4</v>
          </cell>
          <cell r="J30">
            <v>129.4</v>
          </cell>
        </row>
        <row r="31">
          <cell r="G31">
            <v>18</v>
          </cell>
          <cell r="H31">
            <v>102.6</v>
          </cell>
          <cell r="I31">
            <v>125.3</v>
          </cell>
          <cell r="J31">
            <v>133.4</v>
          </cell>
        </row>
        <row r="32">
          <cell r="G32">
            <v>19</v>
          </cell>
          <cell r="H32">
            <v>105.4</v>
          </cell>
          <cell r="I32">
            <v>128.6</v>
          </cell>
          <cell r="J32">
            <v>135.80000000000001</v>
          </cell>
        </row>
        <row r="33">
          <cell r="G33">
            <v>20</v>
          </cell>
          <cell r="H33">
            <v>108.8</v>
          </cell>
          <cell r="I33">
            <v>132.5</v>
          </cell>
          <cell r="J33">
            <v>140.5</v>
          </cell>
        </row>
        <row r="34">
          <cell r="G34">
            <v>21</v>
          </cell>
          <cell r="H34">
            <v>111.1</v>
          </cell>
          <cell r="I34">
            <v>135.30000000000001</v>
          </cell>
          <cell r="J34">
            <v>143.80000000000001</v>
          </cell>
        </row>
        <row r="35">
          <cell r="G35">
            <v>22</v>
          </cell>
          <cell r="H35">
            <v>113.39999999999999</v>
          </cell>
          <cell r="I35">
            <v>138.10000000000002</v>
          </cell>
          <cell r="J35">
            <v>147.10000000000002</v>
          </cell>
        </row>
        <row r="36">
          <cell r="G36">
            <v>23</v>
          </cell>
          <cell r="H36">
            <v>115.69999999999999</v>
          </cell>
          <cell r="I36">
            <v>140.90000000000003</v>
          </cell>
          <cell r="J36">
            <v>150.40000000000003</v>
          </cell>
        </row>
        <row r="37">
          <cell r="G37">
            <v>24</v>
          </cell>
          <cell r="H37">
            <v>117.99999999999999</v>
          </cell>
          <cell r="I37">
            <v>143.70000000000005</v>
          </cell>
          <cell r="J37">
            <v>153.70000000000005</v>
          </cell>
        </row>
        <row r="38">
          <cell r="G38">
            <v>25</v>
          </cell>
          <cell r="H38">
            <v>120.29999999999998</v>
          </cell>
          <cell r="I38">
            <v>146.50000000000006</v>
          </cell>
          <cell r="J38">
            <v>157.00000000000006</v>
          </cell>
        </row>
        <row r="39">
          <cell r="G39">
            <v>26</v>
          </cell>
          <cell r="H39">
            <v>122.59999999999998</v>
          </cell>
          <cell r="I39">
            <v>149.30000000000007</v>
          </cell>
          <cell r="J39">
            <v>160.30000000000007</v>
          </cell>
        </row>
        <row r="40">
          <cell r="G40">
            <v>27</v>
          </cell>
          <cell r="H40">
            <v>124.89999999999998</v>
          </cell>
          <cell r="I40">
            <v>152.10000000000008</v>
          </cell>
          <cell r="J40">
            <v>163.60000000000008</v>
          </cell>
        </row>
        <row r="41">
          <cell r="G41">
            <v>28</v>
          </cell>
          <cell r="H41">
            <v>127.19999999999997</v>
          </cell>
          <cell r="I41">
            <v>154.90000000000009</v>
          </cell>
          <cell r="J41">
            <v>166.90000000000009</v>
          </cell>
        </row>
        <row r="42">
          <cell r="G42">
            <v>29</v>
          </cell>
          <cell r="H42">
            <v>129.49999999999997</v>
          </cell>
          <cell r="I42">
            <v>157.7000000000001</v>
          </cell>
          <cell r="J42">
            <v>170.2000000000001</v>
          </cell>
        </row>
        <row r="43">
          <cell r="G43">
            <v>30</v>
          </cell>
          <cell r="H43">
            <v>131.79999999999998</v>
          </cell>
          <cell r="I43">
            <v>160.50000000000011</v>
          </cell>
          <cell r="J43">
            <v>173.50000000000011</v>
          </cell>
        </row>
        <row r="44">
          <cell r="G44">
            <v>31</v>
          </cell>
          <cell r="H44">
            <v>133.89999999999998</v>
          </cell>
          <cell r="I44">
            <v>162.90000000000012</v>
          </cell>
          <cell r="J44">
            <v>176.30000000000013</v>
          </cell>
        </row>
        <row r="45">
          <cell r="G45">
            <v>32</v>
          </cell>
          <cell r="H45">
            <v>135.99999999999997</v>
          </cell>
          <cell r="I45">
            <v>165.30000000000013</v>
          </cell>
          <cell r="J45">
            <v>179.10000000000014</v>
          </cell>
        </row>
        <row r="46">
          <cell r="G46">
            <v>33</v>
          </cell>
          <cell r="H46">
            <v>138.09999999999997</v>
          </cell>
          <cell r="I46">
            <v>167.70000000000013</v>
          </cell>
          <cell r="J46">
            <v>181.90000000000015</v>
          </cell>
        </row>
        <row r="47">
          <cell r="G47">
            <v>34</v>
          </cell>
          <cell r="H47">
            <v>140.19999999999996</v>
          </cell>
          <cell r="I47">
            <v>170.10000000000014</v>
          </cell>
          <cell r="J47">
            <v>184.70000000000016</v>
          </cell>
        </row>
        <row r="48">
          <cell r="G48">
            <v>35</v>
          </cell>
          <cell r="H48">
            <v>142.29999999999995</v>
          </cell>
          <cell r="I48">
            <v>172.50000000000014</v>
          </cell>
          <cell r="J48">
            <v>187.50000000000017</v>
          </cell>
        </row>
        <row r="49">
          <cell r="G49">
            <v>36</v>
          </cell>
          <cell r="H49">
            <v>144.39999999999995</v>
          </cell>
          <cell r="I49">
            <v>174.90000000000015</v>
          </cell>
          <cell r="J49">
            <v>190.30000000000018</v>
          </cell>
        </row>
        <row r="50">
          <cell r="G50">
            <v>37</v>
          </cell>
          <cell r="H50">
            <v>146.49999999999994</v>
          </cell>
          <cell r="I50">
            <v>177.30000000000015</v>
          </cell>
          <cell r="J50">
            <v>193.10000000000019</v>
          </cell>
        </row>
        <row r="51">
          <cell r="G51">
            <v>38</v>
          </cell>
          <cell r="H51">
            <v>148.59999999999994</v>
          </cell>
          <cell r="I51">
            <v>179.70000000000016</v>
          </cell>
          <cell r="J51">
            <v>195.9000000000002</v>
          </cell>
        </row>
        <row r="52">
          <cell r="G52">
            <v>39</v>
          </cell>
          <cell r="H52">
            <v>150.69999999999993</v>
          </cell>
          <cell r="I52">
            <v>182.10000000000016</v>
          </cell>
          <cell r="J52">
            <v>198.70000000000022</v>
          </cell>
        </row>
        <row r="53">
          <cell r="G53">
            <v>40</v>
          </cell>
          <cell r="H53">
            <v>152.79999999999993</v>
          </cell>
          <cell r="I53">
            <v>184.50000000000017</v>
          </cell>
          <cell r="J53">
            <v>201.50000000000023</v>
          </cell>
        </row>
        <row r="54">
          <cell r="G54">
            <v>41</v>
          </cell>
          <cell r="H54">
            <v>154.89999999999992</v>
          </cell>
          <cell r="I54">
            <v>186.90000000000018</v>
          </cell>
          <cell r="J54">
            <v>204.30000000000024</v>
          </cell>
        </row>
        <row r="55">
          <cell r="G55">
            <v>42</v>
          </cell>
          <cell r="H55">
            <v>156.99999999999991</v>
          </cell>
          <cell r="I55">
            <v>189.30000000000018</v>
          </cell>
          <cell r="J55">
            <v>207.10000000000025</v>
          </cell>
        </row>
        <row r="56">
          <cell r="G56">
            <v>43</v>
          </cell>
          <cell r="H56">
            <v>159.09999999999991</v>
          </cell>
          <cell r="I56">
            <v>191.70000000000019</v>
          </cell>
          <cell r="J56">
            <v>209.90000000000026</v>
          </cell>
        </row>
        <row r="57">
          <cell r="G57">
            <v>44</v>
          </cell>
          <cell r="H57">
            <v>161.1999999999999</v>
          </cell>
          <cell r="I57">
            <v>194.10000000000019</v>
          </cell>
          <cell r="J57">
            <v>212.70000000000027</v>
          </cell>
        </row>
        <row r="58">
          <cell r="G58">
            <v>45</v>
          </cell>
          <cell r="H58">
            <v>163.2999999999999</v>
          </cell>
          <cell r="I58">
            <v>196.5000000000002</v>
          </cell>
          <cell r="J58">
            <v>215.50000000000028</v>
          </cell>
        </row>
        <row r="59">
          <cell r="G59">
            <v>46</v>
          </cell>
          <cell r="H59">
            <v>165.39999999999989</v>
          </cell>
          <cell r="I59">
            <v>198.9000000000002</v>
          </cell>
          <cell r="J59">
            <v>218.3000000000003</v>
          </cell>
        </row>
        <row r="60">
          <cell r="G60">
            <v>48</v>
          </cell>
          <cell r="H60">
            <v>169.59999999999988</v>
          </cell>
          <cell r="I60">
            <v>203.70000000000022</v>
          </cell>
          <cell r="J60">
            <v>223.90000000000029</v>
          </cell>
        </row>
        <row r="61">
          <cell r="G61">
            <v>49</v>
          </cell>
          <cell r="H61">
            <v>171.69999999999987</v>
          </cell>
          <cell r="I61">
            <v>206.10000000000022</v>
          </cell>
          <cell r="J61">
            <v>226.7000000000003</v>
          </cell>
        </row>
        <row r="62">
          <cell r="G62">
            <v>50</v>
          </cell>
          <cell r="H62">
            <v>173.79999999999987</v>
          </cell>
          <cell r="I62">
            <v>208.50000000000023</v>
          </cell>
          <cell r="J62">
            <v>229.50000000000031</v>
          </cell>
        </row>
        <row r="63">
          <cell r="G63">
            <v>51</v>
          </cell>
          <cell r="H63">
            <v>175.89999999999986</v>
          </cell>
          <cell r="I63">
            <v>210.90000000000023</v>
          </cell>
          <cell r="J63">
            <v>232.00000000000031</v>
          </cell>
        </row>
        <row r="64">
          <cell r="G64">
            <v>52</v>
          </cell>
          <cell r="H64">
            <v>177.99999999999986</v>
          </cell>
          <cell r="I64">
            <v>213.30000000000024</v>
          </cell>
          <cell r="J64">
            <v>234.50000000000031</v>
          </cell>
        </row>
        <row r="65">
          <cell r="G65">
            <v>53</v>
          </cell>
          <cell r="H65">
            <v>180.09999999999985</v>
          </cell>
          <cell r="I65">
            <v>215.70000000000024</v>
          </cell>
          <cell r="J65">
            <v>237.00000000000031</v>
          </cell>
        </row>
        <row r="66">
          <cell r="G66">
            <v>54</v>
          </cell>
          <cell r="H66">
            <v>182.19999999999985</v>
          </cell>
          <cell r="I66">
            <v>218.10000000000025</v>
          </cell>
          <cell r="J66">
            <v>239.50000000000031</v>
          </cell>
        </row>
        <row r="67">
          <cell r="G67">
            <v>55</v>
          </cell>
          <cell r="H67">
            <v>184.29999999999984</v>
          </cell>
          <cell r="I67">
            <v>220.50000000000026</v>
          </cell>
          <cell r="J67">
            <v>242.00000000000031</v>
          </cell>
        </row>
        <row r="68">
          <cell r="G68">
            <v>56</v>
          </cell>
          <cell r="H68">
            <v>186.39999999999984</v>
          </cell>
          <cell r="I68">
            <v>222.90000000000026</v>
          </cell>
          <cell r="J68">
            <v>244.50000000000031</v>
          </cell>
        </row>
        <row r="69">
          <cell r="G69">
            <v>57</v>
          </cell>
          <cell r="H69">
            <v>188.49999999999983</v>
          </cell>
          <cell r="I69">
            <v>225.30000000000027</v>
          </cell>
          <cell r="J69">
            <v>247.00000000000031</v>
          </cell>
        </row>
        <row r="70">
          <cell r="G70">
            <v>58</v>
          </cell>
          <cell r="H70">
            <v>190.59999999999982</v>
          </cell>
          <cell r="I70">
            <v>227.70000000000027</v>
          </cell>
          <cell r="J70">
            <v>249.50000000000031</v>
          </cell>
        </row>
        <row r="71">
          <cell r="G71">
            <v>59</v>
          </cell>
          <cell r="H71">
            <v>192.69999999999982</v>
          </cell>
          <cell r="I71">
            <v>230.10000000000028</v>
          </cell>
          <cell r="J71">
            <v>252.00000000000031</v>
          </cell>
        </row>
        <row r="72">
          <cell r="G72">
            <v>60</v>
          </cell>
          <cell r="H72">
            <v>194.79999999999981</v>
          </cell>
          <cell r="I72">
            <v>232.50000000000028</v>
          </cell>
          <cell r="J72">
            <v>254.50000000000031</v>
          </cell>
        </row>
        <row r="73">
          <cell r="G73">
            <v>61</v>
          </cell>
          <cell r="H73">
            <v>196.89999999999981</v>
          </cell>
          <cell r="I73">
            <v>234.90000000000029</v>
          </cell>
          <cell r="J73">
            <v>257.00000000000034</v>
          </cell>
        </row>
        <row r="74">
          <cell r="G74">
            <v>62</v>
          </cell>
          <cell r="H74">
            <v>198.9999999999998</v>
          </cell>
          <cell r="I74">
            <v>237.3000000000003</v>
          </cell>
          <cell r="J74">
            <v>259.50000000000034</v>
          </cell>
        </row>
        <row r="75">
          <cell r="G75">
            <v>63</v>
          </cell>
          <cell r="H75">
            <v>201.0999999999998</v>
          </cell>
          <cell r="I75">
            <v>239.7000000000003</v>
          </cell>
          <cell r="J75">
            <v>262.00000000000034</v>
          </cell>
        </row>
        <row r="76">
          <cell r="G76">
            <v>64</v>
          </cell>
          <cell r="H76">
            <v>203.19999999999979</v>
          </cell>
          <cell r="I76">
            <v>242.10000000000031</v>
          </cell>
          <cell r="J76">
            <v>264.50000000000034</v>
          </cell>
        </row>
        <row r="77">
          <cell r="G77">
            <v>65</v>
          </cell>
          <cell r="H77">
            <v>205.29999999999978</v>
          </cell>
          <cell r="I77">
            <v>244.50000000000031</v>
          </cell>
          <cell r="J77">
            <v>267.00000000000034</v>
          </cell>
        </row>
        <row r="78">
          <cell r="G78">
            <v>66</v>
          </cell>
          <cell r="H78">
            <v>207.39999999999978</v>
          </cell>
          <cell r="I78">
            <v>246.90000000000032</v>
          </cell>
          <cell r="J78">
            <v>269.50000000000034</v>
          </cell>
        </row>
        <row r="79">
          <cell r="G79">
            <v>67</v>
          </cell>
          <cell r="H79">
            <v>209.49999999999977</v>
          </cell>
          <cell r="I79">
            <v>249.30000000000032</v>
          </cell>
          <cell r="J79">
            <v>272.00000000000034</v>
          </cell>
        </row>
        <row r="80">
          <cell r="G80">
            <v>68</v>
          </cell>
          <cell r="H80">
            <v>211.59999999999977</v>
          </cell>
          <cell r="I80">
            <v>251.70000000000033</v>
          </cell>
          <cell r="J80">
            <v>274.50000000000034</v>
          </cell>
        </row>
        <row r="81">
          <cell r="G81">
            <v>69</v>
          </cell>
          <cell r="H81">
            <v>213.69999999999976</v>
          </cell>
          <cell r="I81">
            <v>254.10000000000034</v>
          </cell>
          <cell r="J81">
            <v>277.00000000000034</v>
          </cell>
        </row>
        <row r="82">
          <cell r="G82">
            <v>70</v>
          </cell>
          <cell r="H82">
            <v>215.79999999999976</v>
          </cell>
          <cell r="I82">
            <v>256.50000000000034</v>
          </cell>
          <cell r="J82">
            <v>279.50000000000034</v>
          </cell>
        </row>
        <row r="83">
          <cell r="G83">
            <v>71</v>
          </cell>
          <cell r="H83">
            <v>217.89999999999975</v>
          </cell>
          <cell r="I83">
            <v>258.90000000000032</v>
          </cell>
          <cell r="J83">
            <v>282.00000000000034</v>
          </cell>
        </row>
        <row r="84">
          <cell r="G84">
            <v>72</v>
          </cell>
          <cell r="H84">
            <v>219.99999999999974</v>
          </cell>
          <cell r="I84">
            <v>261.3000000000003</v>
          </cell>
          <cell r="J84">
            <v>284.50000000000034</v>
          </cell>
        </row>
        <row r="85">
          <cell r="G85">
            <v>73</v>
          </cell>
          <cell r="H85">
            <v>222.09999999999974</v>
          </cell>
          <cell r="I85">
            <v>263.70000000000027</v>
          </cell>
          <cell r="J85">
            <v>287.00000000000034</v>
          </cell>
        </row>
        <row r="86">
          <cell r="G86">
            <v>74</v>
          </cell>
          <cell r="H86">
            <v>224.19999999999973</v>
          </cell>
          <cell r="I86">
            <v>266.10000000000025</v>
          </cell>
          <cell r="J86">
            <v>289.50000000000034</v>
          </cell>
        </row>
        <row r="87">
          <cell r="G87">
            <v>75</v>
          </cell>
          <cell r="H87">
            <v>226.29999999999973</v>
          </cell>
          <cell r="I87">
            <v>268.50000000000023</v>
          </cell>
          <cell r="J87">
            <v>292.00000000000034</v>
          </cell>
        </row>
        <row r="88">
          <cell r="G88">
            <v>76</v>
          </cell>
          <cell r="H88">
            <v>228.39999999999972</v>
          </cell>
          <cell r="I88">
            <v>270.9000000000002</v>
          </cell>
          <cell r="J88">
            <v>294.50000000000034</v>
          </cell>
        </row>
        <row r="89">
          <cell r="G89">
            <v>77</v>
          </cell>
          <cell r="H89">
            <v>230.49999999999972</v>
          </cell>
          <cell r="I89">
            <v>273.30000000000018</v>
          </cell>
          <cell r="J89">
            <v>297.00000000000034</v>
          </cell>
        </row>
        <row r="90">
          <cell r="G90">
            <v>78</v>
          </cell>
          <cell r="H90">
            <v>232.59999999999971</v>
          </cell>
          <cell r="I90">
            <v>275.70000000000016</v>
          </cell>
          <cell r="J90">
            <v>299.50000000000034</v>
          </cell>
        </row>
        <row r="91">
          <cell r="G91">
            <v>79</v>
          </cell>
          <cell r="H91">
            <v>234.6999999999997</v>
          </cell>
          <cell r="I91">
            <v>278.10000000000014</v>
          </cell>
          <cell r="J91">
            <v>302.00000000000034</v>
          </cell>
        </row>
        <row r="92">
          <cell r="G92">
            <v>80</v>
          </cell>
          <cell r="H92">
            <v>236.7999999999997</v>
          </cell>
          <cell r="I92">
            <v>280.50000000000011</v>
          </cell>
          <cell r="J92">
            <v>304.50000000000034</v>
          </cell>
        </row>
        <row r="93">
          <cell r="G93">
            <v>81</v>
          </cell>
          <cell r="H93">
            <v>238.7999999999997</v>
          </cell>
          <cell r="I93">
            <v>282.60000000000014</v>
          </cell>
          <cell r="J93">
            <v>306.60000000000036</v>
          </cell>
        </row>
        <row r="94">
          <cell r="G94">
            <v>82</v>
          </cell>
          <cell r="H94">
            <v>240.7999999999997</v>
          </cell>
          <cell r="I94">
            <v>284.70000000000016</v>
          </cell>
          <cell r="J94">
            <v>308.70000000000039</v>
          </cell>
        </row>
        <row r="95">
          <cell r="G95">
            <v>83</v>
          </cell>
          <cell r="H95">
            <v>242.7999999999997</v>
          </cell>
          <cell r="I95">
            <v>286.80000000000018</v>
          </cell>
          <cell r="J95">
            <v>310.80000000000041</v>
          </cell>
        </row>
        <row r="96">
          <cell r="G96">
            <v>84</v>
          </cell>
          <cell r="H96">
            <v>244.7999999999997</v>
          </cell>
          <cell r="I96">
            <v>288.9000000000002</v>
          </cell>
          <cell r="J96">
            <v>312.90000000000043</v>
          </cell>
        </row>
        <row r="97">
          <cell r="G97">
            <v>85</v>
          </cell>
          <cell r="H97">
            <v>246.7999999999997</v>
          </cell>
          <cell r="I97">
            <v>291.00000000000023</v>
          </cell>
          <cell r="J97">
            <v>315.00000000000045</v>
          </cell>
        </row>
        <row r="98">
          <cell r="G98">
            <v>86</v>
          </cell>
          <cell r="H98">
            <v>248.7999999999997</v>
          </cell>
          <cell r="I98">
            <v>293.10000000000025</v>
          </cell>
          <cell r="J98">
            <v>317.10000000000048</v>
          </cell>
        </row>
        <row r="99">
          <cell r="G99">
            <v>87</v>
          </cell>
          <cell r="H99">
            <v>250.7999999999997</v>
          </cell>
          <cell r="I99">
            <v>295.20000000000027</v>
          </cell>
          <cell r="J99">
            <v>319.2000000000005</v>
          </cell>
        </row>
        <row r="100">
          <cell r="G100">
            <v>88</v>
          </cell>
          <cell r="H100">
            <v>252.7999999999997</v>
          </cell>
          <cell r="I100">
            <v>297.3000000000003</v>
          </cell>
          <cell r="J100">
            <v>321.30000000000052</v>
          </cell>
        </row>
        <row r="101">
          <cell r="G101">
            <v>89</v>
          </cell>
          <cell r="H101">
            <v>254.7999999999997</v>
          </cell>
          <cell r="I101">
            <v>299.40000000000032</v>
          </cell>
          <cell r="J101">
            <v>323.40000000000055</v>
          </cell>
        </row>
        <row r="102">
          <cell r="G102">
            <v>90</v>
          </cell>
          <cell r="H102">
            <v>256.79999999999973</v>
          </cell>
          <cell r="I102">
            <v>301.50000000000034</v>
          </cell>
          <cell r="J102">
            <v>325.50000000000057</v>
          </cell>
        </row>
        <row r="103">
          <cell r="G103">
            <v>91</v>
          </cell>
          <cell r="H103">
            <v>258.79999999999973</v>
          </cell>
          <cell r="I103">
            <v>303.60000000000036</v>
          </cell>
          <cell r="J103">
            <v>327.60000000000059</v>
          </cell>
        </row>
        <row r="104">
          <cell r="G104">
            <v>92</v>
          </cell>
          <cell r="H104">
            <v>260.79999999999973</v>
          </cell>
          <cell r="I104">
            <v>305.70000000000039</v>
          </cell>
          <cell r="J104">
            <v>329.70000000000061</v>
          </cell>
        </row>
        <row r="105">
          <cell r="G105">
            <v>93</v>
          </cell>
          <cell r="H105">
            <v>262.79999999999973</v>
          </cell>
          <cell r="I105">
            <v>307.80000000000041</v>
          </cell>
          <cell r="J105">
            <v>331.80000000000064</v>
          </cell>
        </row>
        <row r="106">
          <cell r="G106">
            <v>94</v>
          </cell>
          <cell r="H106">
            <v>264.79999999999973</v>
          </cell>
          <cell r="I106">
            <v>309.90000000000043</v>
          </cell>
          <cell r="J106">
            <v>333.90000000000066</v>
          </cell>
        </row>
        <row r="107">
          <cell r="G107">
            <v>95</v>
          </cell>
          <cell r="H107">
            <v>266.79999999999973</v>
          </cell>
          <cell r="I107">
            <v>312.00000000000045</v>
          </cell>
          <cell r="J107">
            <v>336.00000000000068</v>
          </cell>
        </row>
        <row r="108">
          <cell r="G108">
            <v>96</v>
          </cell>
          <cell r="H108">
            <v>268.79999999999973</v>
          </cell>
          <cell r="I108">
            <v>314.10000000000048</v>
          </cell>
          <cell r="J108">
            <v>338.1000000000007</v>
          </cell>
        </row>
        <row r="109">
          <cell r="G109">
            <v>97</v>
          </cell>
          <cell r="H109">
            <v>270.79999999999973</v>
          </cell>
          <cell r="I109">
            <v>316.2000000000005</v>
          </cell>
          <cell r="J109">
            <v>340.20000000000073</v>
          </cell>
        </row>
        <row r="110">
          <cell r="G110">
            <v>98</v>
          </cell>
          <cell r="H110">
            <v>272.79999999999973</v>
          </cell>
          <cell r="I110">
            <v>318.30000000000052</v>
          </cell>
          <cell r="J110">
            <v>342.30000000000075</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Cover"/>
      <sheetName val="Report"/>
      <sheetName val="Gen abst "/>
      <sheetName val="Abst Bund"/>
      <sheetName val="Abst Weir"/>
      <sheetName val="Abst Sluice"/>
      <sheetName val="Proposal"/>
      <sheetName val="Bund"/>
      <sheetName val="Bund (2)"/>
      <sheetName val="Weir"/>
      <sheetName val="Sluice"/>
      <sheetName val="Sheet4"/>
      <sheetName val="Lead"/>
      <sheetName val="Data"/>
      <sheetName val="L.s.of bund"/>
      <sheetName val="Draw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miabstrct"/>
      <sheetName val="PIPESDATA"/>
      <sheetName val="ibdata"/>
      <sheetName val="SSR07-08"/>
      <sheetName val="labourch"/>
      <sheetName val="materialcost"/>
      <sheetName val="datatrial"/>
    </sheetNames>
    <sheetDataSet>
      <sheetData sheetId="0"/>
      <sheetData sheetId="1"/>
      <sheetData sheetId="2"/>
      <sheetData sheetId="3"/>
      <sheetData sheetId="4">
        <row r="7">
          <cell r="G7">
            <v>0.1</v>
          </cell>
          <cell r="H7">
            <v>44.8</v>
          </cell>
          <cell r="I7">
            <v>44.8</v>
          </cell>
          <cell r="J7">
            <v>100.8</v>
          </cell>
        </row>
        <row r="8">
          <cell r="G8">
            <v>0.2</v>
          </cell>
          <cell r="H8">
            <v>44.8</v>
          </cell>
          <cell r="I8">
            <v>44.8</v>
          </cell>
          <cell r="J8">
            <v>100.8</v>
          </cell>
        </row>
        <row r="9">
          <cell r="G9">
            <v>0.25</v>
          </cell>
          <cell r="H9">
            <v>44.8</v>
          </cell>
          <cell r="I9">
            <v>44.8</v>
          </cell>
          <cell r="J9">
            <v>100.8</v>
          </cell>
        </row>
        <row r="10">
          <cell r="G10">
            <v>0.3</v>
          </cell>
          <cell r="H10">
            <v>66.099999999999994</v>
          </cell>
          <cell r="I10">
            <v>66.099999999999994</v>
          </cell>
          <cell r="J10">
            <v>100.8</v>
          </cell>
        </row>
        <row r="11">
          <cell r="G11">
            <v>0.4</v>
          </cell>
          <cell r="H11">
            <v>66.099999999999994</v>
          </cell>
          <cell r="I11">
            <v>66.099999999999994</v>
          </cell>
          <cell r="J11">
            <v>100.8</v>
          </cell>
        </row>
        <row r="12">
          <cell r="G12">
            <v>0.5</v>
          </cell>
          <cell r="H12">
            <v>66.099999999999994</v>
          </cell>
          <cell r="I12">
            <v>66.099999999999994</v>
          </cell>
          <cell r="J12">
            <v>100.8</v>
          </cell>
        </row>
        <row r="13">
          <cell r="G13">
            <v>1</v>
          </cell>
          <cell r="H13">
            <v>86.7</v>
          </cell>
          <cell r="I13">
            <v>86.7</v>
          </cell>
          <cell r="J13">
            <v>104.9</v>
          </cell>
        </row>
        <row r="14">
          <cell r="G14">
            <v>2</v>
          </cell>
          <cell r="H14">
            <v>90.8</v>
          </cell>
          <cell r="I14">
            <v>90.8</v>
          </cell>
          <cell r="J14">
            <v>107.6</v>
          </cell>
        </row>
        <row r="15">
          <cell r="G15">
            <v>3</v>
          </cell>
          <cell r="H15">
            <v>96</v>
          </cell>
          <cell r="I15">
            <v>96</v>
          </cell>
          <cell r="J15">
            <v>113</v>
          </cell>
        </row>
        <row r="16">
          <cell r="G16">
            <v>4</v>
          </cell>
          <cell r="H16">
            <v>100.3</v>
          </cell>
          <cell r="I16">
            <v>100.3</v>
          </cell>
          <cell r="J16">
            <v>117.5</v>
          </cell>
        </row>
        <row r="17">
          <cell r="G17">
            <v>5</v>
          </cell>
          <cell r="H17">
            <v>104.5</v>
          </cell>
          <cell r="I17">
            <v>104.5</v>
          </cell>
          <cell r="J17">
            <v>121.7</v>
          </cell>
        </row>
        <row r="18">
          <cell r="G18">
            <v>6</v>
          </cell>
          <cell r="H18">
            <v>113.5</v>
          </cell>
          <cell r="I18">
            <v>113.5</v>
          </cell>
          <cell r="J18">
            <v>134.30000000000001</v>
          </cell>
        </row>
        <row r="19">
          <cell r="G19">
            <v>7</v>
          </cell>
          <cell r="H19">
            <v>119.1</v>
          </cell>
          <cell r="I19">
            <v>119.1</v>
          </cell>
          <cell r="J19">
            <v>137.5</v>
          </cell>
        </row>
        <row r="20">
          <cell r="G20">
            <v>8</v>
          </cell>
          <cell r="H20">
            <v>123.6</v>
          </cell>
          <cell r="I20">
            <v>123.6</v>
          </cell>
          <cell r="J20">
            <v>140.1</v>
          </cell>
        </row>
        <row r="21">
          <cell r="G21">
            <v>9</v>
          </cell>
          <cell r="H21">
            <v>129.1</v>
          </cell>
          <cell r="I21">
            <v>129.1</v>
          </cell>
          <cell r="J21">
            <v>147.5</v>
          </cell>
        </row>
        <row r="22">
          <cell r="G22">
            <v>10</v>
          </cell>
          <cell r="H22">
            <v>133.80000000000001</v>
          </cell>
          <cell r="I22">
            <v>133.80000000000001</v>
          </cell>
          <cell r="J22">
            <v>150.69999999999999</v>
          </cell>
        </row>
        <row r="23">
          <cell r="G23">
            <v>11</v>
          </cell>
          <cell r="H23">
            <v>140.5</v>
          </cell>
          <cell r="I23">
            <v>140.5</v>
          </cell>
          <cell r="J23">
            <v>155.9</v>
          </cell>
        </row>
        <row r="24">
          <cell r="G24">
            <v>12</v>
          </cell>
          <cell r="H24">
            <v>143.6</v>
          </cell>
          <cell r="I24">
            <v>143.6</v>
          </cell>
          <cell r="J24">
            <v>162</v>
          </cell>
        </row>
        <row r="25">
          <cell r="G25">
            <v>13</v>
          </cell>
          <cell r="H25">
            <v>148.1</v>
          </cell>
          <cell r="I25">
            <v>148.1</v>
          </cell>
          <cell r="J25">
            <v>166.4</v>
          </cell>
        </row>
        <row r="26">
          <cell r="G26">
            <v>14</v>
          </cell>
          <cell r="H26">
            <v>153.30000000000001</v>
          </cell>
          <cell r="I26">
            <v>153.30000000000001</v>
          </cell>
          <cell r="J26">
            <v>172.3</v>
          </cell>
        </row>
        <row r="27">
          <cell r="G27">
            <v>15</v>
          </cell>
          <cell r="H27">
            <v>158</v>
          </cell>
          <cell r="I27">
            <v>158</v>
          </cell>
          <cell r="J27">
            <v>175.2</v>
          </cell>
        </row>
        <row r="28">
          <cell r="G28">
            <v>16</v>
          </cell>
          <cell r="H28">
            <v>161</v>
          </cell>
          <cell r="I28">
            <v>161</v>
          </cell>
          <cell r="J28">
            <v>179.6</v>
          </cell>
        </row>
        <row r="29">
          <cell r="G29">
            <v>17</v>
          </cell>
          <cell r="H29">
            <v>167.9</v>
          </cell>
          <cell r="I29">
            <v>167.9</v>
          </cell>
          <cell r="J29">
            <v>185.5</v>
          </cell>
        </row>
        <row r="30">
          <cell r="G30">
            <v>18</v>
          </cell>
          <cell r="H30">
            <v>172.6</v>
          </cell>
          <cell r="I30">
            <v>172.6</v>
          </cell>
          <cell r="J30">
            <v>190</v>
          </cell>
        </row>
        <row r="31">
          <cell r="G31">
            <v>19</v>
          </cell>
          <cell r="H31">
            <v>176.8</v>
          </cell>
          <cell r="I31">
            <v>176.8</v>
          </cell>
          <cell r="J31">
            <v>192.8</v>
          </cell>
        </row>
        <row r="32">
          <cell r="G32">
            <v>20</v>
          </cell>
          <cell r="H32">
            <v>182.3</v>
          </cell>
          <cell r="I32">
            <v>182.3</v>
          </cell>
          <cell r="J32">
            <v>200</v>
          </cell>
        </row>
        <row r="33">
          <cell r="G33">
            <v>21</v>
          </cell>
          <cell r="H33">
            <v>186.4</v>
          </cell>
          <cell r="I33">
            <v>186.4</v>
          </cell>
          <cell r="J33">
            <v>205.3</v>
          </cell>
        </row>
        <row r="34">
          <cell r="G34">
            <v>22</v>
          </cell>
          <cell r="H34">
            <v>190.5</v>
          </cell>
          <cell r="I34">
            <v>190.5</v>
          </cell>
          <cell r="J34">
            <v>210.60000000000002</v>
          </cell>
        </row>
        <row r="35">
          <cell r="G35">
            <v>23</v>
          </cell>
          <cell r="H35">
            <v>194.6</v>
          </cell>
          <cell r="I35">
            <v>194.6</v>
          </cell>
          <cell r="J35">
            <v>215.90000000000003</v>
          </cell>
        </row>
        <row r="36">
          <cell r="G36">
            <v>24</v>
          </cell>
          <cell r="H36">
            <v>198.7</v>
          </cell>
          <cell r="I36">
            <v>198.7</v>
          </cell>
          <cell r="J36">
            <v>221.20000000000005</v>
          </cell>
        </row>
        <row r="37">
          <cell r="G37">
            <v>25</v>
          </cell>
          <cell r="H37">
            <v>202.79999999999998</v>
          </cell>
          <cell r="I37">
            <v>202.79999999999998</v>
          </cell>
          <cell r="J37">
            <v>226.50000000000006</v>
          </cell>
        </row>
        <row r="38">
          <cell r="G38">
            <v>26</v>
          </cell>
          <cell r="H38">
            <v>206.89999999999998</v>
          </cell>
          <cell r="I38">
            <v>206.89999999999998</v>
          </cell>
          <cell r="J38">
            <v>231.80000000000007</v>
          </cell>
        </row>
        <row r="39">
          <cell r="G39">
            <v>27</v>
          </cell>
          <cell r="H39">
            <v>210.99999999999997</v>
          </cell>
          <cell r="I39">
            <v>210.99999999999997</v>
          </cell>
          <cell r="J39">
            <v>237.10000000000008</v>
          </cell>
        </row>
        <row r="40">
          <cell r="G40">
            <v>28</v>
          </cell>
          <cell r="H40">
            <v>215.09999999999997</v>
          </cell>
          <cell r="I40">
            <v>215.09999999999997</v>
          </cell>
          <cell r="J40">
            <v>242.40000000000009</v>
          </cell>
        </row>
        <row r="41">
          <cell r="G41">
            <v>29</v>
          </cell>
          <cell r="H41">
            <v>219.19999999999996</v>
          </cell>
          <cell r="I41">
            <v>219.19999999999996</v>
          </cell>
          <cell r="J41">
            <v>247.7000000000001</v>
          </cell>
        </row>
        <row r="42">
          <cell r="G42">
            <v>30</v>
          </cell>
          <cell r="H42">
            <v>223.29999999999995</v>
          </cell>
          <cell r="I42">
            <v>223.29999999999995</v>
          </cell>
          <cell r="J42">
            <v>253.00000000000011</v>
          </cell>
        </row>
        <row r="43">
          <cell r="G43">
            <v>31</v>
          </cell>
          <cell r="H43">
            <v>227.29999999999995</v>
          </cell>
          <cell r="I43">
            <v>227.29999999999995</v>
          </cell>
          <cell r="J43">
            <v>257.7000000000001</v>
          </cell>
        </row>
        <row r="44">
          <cell r="G44">
            <v>32</v>
          </cell>
          <cell r="H44">
            <v>231.29999999999995</v>
          </cell>
          <cell r="I44">
            <v>231.29999999999995</v>
          </cell>
          <cell r="J44">
            <v>262.40000000000009</v>
          </cell>
        </row>
        <row r="45">
          <cell r="G45">
            <v>33</v>
          </cell>
          <cell r="H45">
            <v>235.29999999999995</v>
          </cell>
          <cell r="I45">
            <v>235.29999999999995</v>
          </cell>
          <cell r="J45">
            <v>267.10000000000008</v>
          </cell>
        </row>
        <row r="46">
          <cell r="G46">
            <v>34</v>
          </cell>
          <cell r="H46">
            <v>239.29999999999995</v>
          </cell>
          <cell r="I46">
            <v>239.29999999999995</v>
          </cell>
          <cell r="J46">
            <v>271.80000000000007</v>
          </cell>
        </row>
        <row r="47">
          <cell r="G47">
            <v>35</v>
          </cell>
          <cell r="H47">
            <v>243.29999999999995</v>
          </cell>
          <cell r="I47">
            <v>243.29999999999995</v>
          </cell>
          <cell r="J47">
            <v>276.50000000000006</v>
          </cell>
        </row>
        <row r="48">
          <cell r="G48">
            <v>36</v>
          </cell>
          <cell r="H48">
            <v>247.29999999999995</v>
          </cell>
          <cell r="I48">
            <v>247.29999999999995</v>
          </cell>
          <cell r="J48">
            <v>281.20000000000005</v>
          </cell>
        </row>
        <row r="49">
          <cell r="G49">
            <v>37</v>
          </cell>
          <cell r="H49">
            <v>251.29999999999995</v>
          </cell>
          <cell r="I49">
            <v>251.29999999999995</v>
          </cell>
          <cell r="J49">
            <v>285.90000000000003</v>
          </cell>
        </row>
        <row r="50">
          <cell r="G50">
            <v>38</v>
          </cell>
          <cell r="H50">
            <v>255.29999999999995</v>
          </cell>
          <cell r="I50">
            <v>255.29999999999995</v>
          </cell>
          <cell r="J50">
            <v>290.60000000000002</v>
          </cell>
        </row>
        <row r="51">
          <cell r="G51">
            <v>39</v>
          </cell>
          <cell r="H51">
            <v>259.29999999999995</v>
          </cell>
          <cell r="I51">
            <v>259.29999999999995</v>
          </cell>
          <cell r="J51">
            <v>295.3</v>
          </cell>
        </row>
        <row r="52">
          <cell r="G52">
            <v>40</v>
          </cell>
          <cell r="H52">
            <v>263.29999999999995</v>
          </cell>
          <cell r="I52">
            <v>263.29999999999995</v>
          </cell>
          <cell r="J52">
            <v>300</v>
          </cell>
        </row>
        <row r="53">
          <cell r="G53">
            <v>41</v>
          </cell>
          <cell r="H53">
            <v>267.29999999999995</v>
          </cell>
          <cell r="I53">
            <v>267.29999999999995</v>
          </cell>
          <cell r="J53">
            <v>304.7</v>
          </cell>
        </row>
        <row r="54">
          <cell r="G54">
            <v>42</v>
          </cell>
          <cell r="H54">
            <v>271.29999999999995</v>
          </cell>
          <cell r="I54">
            <v>271.29999999999995</v>
          </cell>
          <cell r="J54">
            <v>309.39999999999998</v>
          </cell>
        </row>
        <row r="55">
          <cell r="G55">
            <v>43</v>
          </cell>
          <cell r="H55">
            <v>275.29999999999995</v>
          </cell>
          <cell r="I55">
            <v>275.29999999999995</v>
          </cell>
          <cell r="J55">
            <v>314.09999999999997</v>
          </cell>
        </row>
        <row r="56">
          <cell r="G56">
            <v>44</v>
          </cell>
          <cell r="H56">
            <v>279.29999999999995</v>
          </cell>
          <cell r="I56">
            <v>279.29999999999995</v>
          </cell>
          <cell r="J56">
            <v>318.79999999999995</v>
          </cell>
        </row>
        <row r="57">
          <cell r="G57">
            <v>45</v>
          </cell>
          <cell r="H57">
            <v>283.29999999999995</v>
          </cell>
          <cell r="I57">
            <v>283.29999999999995</v>
          </cell>
          <cell r="J57">
            <v>323.49999999999994</v>
          </cell>
        </row>
        <row r="58">
          <cell r="G58">
            <v>46</v>
          </cell>
          <cell r="H58">
            <v>287.29999999999995</v>
          </cell>
          <cell r="I58">
            <v>287.29999999999995</v>
          </cell>
          <cell r="J58">
            <v>328.19999999999993</v>
          </cell>
        </row>
        <row r="59">
          <cell r="G59">
            <v>47</v>
          </cell>
          <cell r="H59">
            <v>291.29999999999995</v>
          </cell>
          <cell r="I59">
            <v>291.29999999999995</v>
          </cell>
          <cell r="J59">
            <v>332.89999999999992</v>
          </cell>
        </row>
        <row r="60">
          <cell r="G60">
            <v>48</v>
          </cell>
          <cell r="H60">
            <v>295.29999999999995</v>
          </cell>
          <cell r="I60">
            <v>295.29999999999995</v>
          </cell>
          <cell r="J60">
            <v>337.59999999999991</v>
          </cell>
        </row>
        <row r="61">
          <cell r="G61">
            <v>49</v>
          </cell>
          <cell r="H61">
            <v>299.29999999999995</v>
          </cell>
          <cell r="I61">
            <v>299.29999999999995</v>
          </cell>
          <cell r="J61">
            <v>342.2999999999999</v>
          </cell>
        </row>
        <row r="62">
          <cell r="G62">
            <v>50</v>
          </cell>
          <cell r="H62">
            <v>303.29999999999995</v>
          </cell>
          <cell r="I62">
            <v>303.29999999999995</v>
          </cell>
          <cell r="J62">
            <v>346.99999999999989</v>
          </cell>
        </row>
        <row r="63">
          <cell r="G63">
            <v>51</v>
          </cell>
          <cell r="H63">
            <v>307.19999999999993</v>
          </cell>
          <cell r="I63">
            <v>307.19999999999993</v>
          </cell>
          <cell r="J63">
            <v>351.39999999999986</v>
          </cell>
        </row>
        <row r="64">
          <cell r="G64">
            <v>52</v>
          </cell>
          <cell r="H64">
            <v>311.09999999999991</v>
          </cell>
          <cell r="I64">
            <v>311.09999999999991</v>
          </cell>
          <cell r="J64">
            <v>355.79999999999984</v>
          </cell>
        </row>
        <row r="65">
          <cell r="G65">
            <v>53</v>
          </cell>
          <cell r="H65">
            <v>314.99999999999989</v>
          </cell>
          <cell r="I65">
            <v>314.99999999999989</v>
          </cell>
          <cell r="J65">
            <v>360.19999999999982</v>
          </cell>
        </row>
        <row r="66">
          <cell r="G66">
            <v>54</v>
          </cell>
          <cell r="H66">
            <v>318.89999999999986</v>
          </cell>
          <cell r="I66">
            <v>318.89999999999986</v>
          </cell>
          <cell r="J66">
            <v>364.5999999999998</v>
          </cell>
        </row>
        <row r="67">
          <cell r="G67">
            <v>55</v>
          </cell>
          <cell r="H67">
            <v>322.79999999999984</v>
          </cell>
          <cell r="I67">
            <v>322.79999999999984</v>
          </cell>
          <cell r="J67">
            <v>368.99999999999977</v>
          </cell>
        </row>
        <row r="68">
          <cell r="G68">
            <v>56</v>
          </cell>
          <cell r="H68">
            <v>326.69999999999982</v>
          </cell>
          <cell r="I68">
            <v>326.69999999999982</v>
          </cell>
          <cell r="J68">
            <v>373.39999999999975</v>
          </cell>
        </row>
        <row r="69">
          <cell r="G69">
            <v>57</v>
          </cell>
          <cell r="H69">
            <v>330.5999999999998</v>
          </cell>
          <cell r="I69">
            <v>330.5999999999998</v>
          </cell>
          <cell r="J69">
            <v>377.79999999999973</v>
          </cell>
        </row>
        <row r="70">
          <cell r="G70">
            <v>58</v>
          </cell>
          <cell r="H70">
            <v>334.49999999999977</v>
          </cell>
          <cell r="I70">
            <v>334.49999999999977</v>
          </cell>
          <cell r="J70">
            <v>382.1999999999997</v>
          </cell>
        </row>
        <row r="71">
          <cell r="G71">
            <v>59</v>
          </cell>
          <cell r="H71">
            <v>338.39999999999975</v>
          </cell>
          <cell r="I71">
            <v>338.39999999999975</v>
          </cell>
          <cell r="J71">
            <v>386.59999999999968</v>
          </cell>
        </row>
        <row r="72">
          <cell r="G72">
            <v>60</v>
          </cell>
          <cell r="H72">
            <v>342.29999999999973</v>
          </cell>
          <cell r="I72">
            <v>342.29999999999973</v>
          </cell>
          <cell r="J72">
            <v>390.99999999999966</v>
          </cell>
        </row>
        <row r="73">
          <cell r="G73">
            <v>61</v>
          </cell>
          <cell r="H73">
            <v>346.1999999999997</v>
          </cell>
          <cell r="I73">
            <v>346.1999999999997</v>
          </cell>
          <cell r="J73">
            <v>395.39999999999964</v>
          </cell>
        </row>
        <row r="74">
          <cell r="G74">
            <v>62</v>
          </cell>
          <cell r="H74">
            <v>350.09999999999968</v>
          </cell>
          <cell r="I74">
            <v>350.09999999999968</v>
          </cell>
          <cell r="J74">
            <v>399.79999999999961</v>
          </cell>
        </row>
        <row r="75">
          <cell r="G75">
            <v>63</v>
          </cell>
          <cell r="H75">
            <v>353.99999999999966</v>
          </cell>
          <cell r="I75">
            <v>353.99999999999966</v>
          </cell>
          <cell r="J75">
            <v>404.19999999999959</v>
          </cell>
        </row>
        <row r="76">
          <cell r="G76">
            <v>64</v>
          </cell>
          <cell r="H76">
            <v>357.89999999999964</v>
          </cell>
          <cell r="I76">
            <v>357.89999999999964</v>
          </cell>
          <cell r="J76">
            <v>408.59999999999957</v>
          </cell>
        </row>
        <row r="77">
          <cell r="G77">
            <v>65</v>
          </cell>
          <cell r="H77">
            <v>361.79999999999961</v>
          </cell>
          <cell r="I77">
            <v>361.79999999999961</v>
          </cell>
          <cell r="J77">
            <v>412.99999999999955</v>
          </cell>
        </row>
        <row r="78">
          <cell r="G78">
            <v>66</v>
          </cell>
          <cell r="H78">
            <v>365.69999999999959</v>
          </cell>
          <cell r="I78">
            <v>365.69999999999959</v>
          </cell>
          <cell r="J78">
            <v>417.39999999999952</v>
          </cell>
        </row>
        <row r="79">
          <cell r="G79">
            <v>67</v>
          </cell>
          <cell r="H79">
            <v>369.59999999999957</v>
          </cell>
          <cell r="I79">
            <v>369.59999999999957</v>
          </cell>
          <cell r="J79">
            <v>421.7999999999995</v>
          </cell>
        </row>
        <row r="80">
          <cell r="G80">
            <v>68</v>
          </cell>
          <cell r="H80">
            <v>373.49999999999955</v>
          </cell>
          <cell r="I80">
            <v>373.49999999999955</v>
          </cell>
          <cell r="J80">
            <v>426.19999999999948</v>
          </cell>
        </row>
        <row r="81">
          <cell r="G81">
            <v>69</v>
          </cell>
          <cell r="H81">
            <v>377.39999999999952</v>
          </cell>
          <cell r="I81">
            <v>377.39999999999952</v>
          </cell>
          <cell r="J81">
            <v>430.59999999999945</v>
          </cell>
        </row>
        <row r="82">
          <cell r="G82">
            <v>70</v>
          </cell>
          <cell r="H82">
            <v>381.2999999999995</v>
          </cell>
          <cell r="I82">
            <v>381.2999999999995</v>
          </cell>
          <cell r="J82">
            <v>434.99999999999943</v>
          </cell>
        </row>
        <row r="83">
          <cell r="G83">
            <v>71</v>
          </cell>
          <cell r="H83">
            <v>385.19999999999948</v>
          </cell>
          <cell r="I83">
            <v>385.19999999999948</v>
          </cell>
          <cell r="J83">
            <v>439.39999999999941</v>
          </cell>
        </row>
        <row r="84">
          <cell r="G84">
            <v>72</v>
          </cell>
          <cell r="H84">
            <v>389.09999999999945</v>
          </cell>
          <cell r="I84">
            <v>389.09999999999945</v>
          </cell>
          <cell r="J84">
            <v>443.79999999999939</v>
          </cell>
        </row>
        <row r="85">
          <cell r="G85">
            <v>73</v>
          </cell>
          <cell r="H85">
            <v>392.99999999999943</v>
          </cell>
          <cell r="I85">
            <v>392.99999999999943</v>
          </cell>
          <cell r="J85">
            <v>448.19999999999936</v>
          </cell>
        </row>
        <row r="86">
          <cell r="G86">
            <v>74</v>
          </cell>
          <cell r="H86">
            <v>396.89999999999941</v>
          </cell>
          <cell r="I86">
            <v>396.89999999999941</v>
          </cell>
          <cell r="J86">
            <v>452.59999999999934</v>
          </cell>
        </row>
        <row r="87">
          <cell r="G87">
            <v>75</v>
          </cell>
          <cell r="H87">
            <v>400.79999999999939</v>
          </cell>
          <cell r="I87">
            <v>400.79999999999939</v>
          </cell>
          <cell r="J87">
            <v>456.99999999999932</v>
          </cell>
        </row>
        <row r="88">
          <cell r="G88">
            <v>76</v>
          </cell>
          <cell r="H88">
            <v>404.69999999999936</v>
          </cell>
          <cell r="I88">
            <v>404.69999999999936</v>
          </cell>
          <cell r="J88">
            <v>461.3999999999993</v>
          </cell>
        </row>
        <row r="89">
          <cell r="G89">
            <v>77</v>
          </cell>
          <cell r="H89">
            <v>408.59999999999934</v>
          </cell>
          <cell r="I89">
            <v>408.59999999999934</v>
          </cell>
          <cell r="J89">
            <v>465.79999999999927</v>
          </cell>
        </row>
        <row r="90">
          <cell r="G90">
            <v>78</v>
          </cell>
          <cell r="H90">
            <v>412.49999999999932</v>
          </cell>
          <cell r="I90">
            <v>412.49999999999932</v>
          </cell>
          <cell r="J90">
            <v>470.19999999999925</v>
          </cell>
        </row>
        <row r="91">
          <cell r="G91">
            <v>79</v>
          </cell>
          <cell r="H91">
            <v>416.3999999999993</v>
          </cell>
          <cell r="I91">
            <v>416.3999999999993</v>
          </cell>
          <cell r="J91">
            <v>474.59999999999923</v>
          </cell>
        </row>
        <row r="92">
          <cell r="G92">
            <v>80</v>
          </cell>
          <cell r="H92">
            <v>420.29999999999927</v>
          </cell>
          <cell r="I92">
            <v>420.29999999999927</v>
          </cell>
          <cell r="J92">
            <v>478.9999999999992</v>
          </cell>
        </row>
        <row r="93">
          <cell r="G93">
            <v>81</v>
          </cell>
          <cell r="H93">
            <v>423.8999999999993</v>
          </cell>
          <cell r="I93">
            <v>423.8999999999993</v>
          </cell>
          <cell r="J93">
            <v>483.19999999999919</v>
          </cell>
        </row>
        <row r="94">
          <cell r="G94">
            <v>82</v>
          </cell>
          <cell r="H94">
            <v>427.49999999999932</v>
          </cell>
          <cell r="I94">
            <v>427.49999999999932</v>
          </cell>
          <cell r="J94">
            <v>487.39999999999918</v>
          </cell>
        </row>
        <row r="95">
          <cell r="G95">
            <v>83</v>
          </cell>
          <cell r="H95">
            <v>431.09999999999934</v>
          </cell>
          <cell r="I95">
            <v>431.09999999999934</v>
          </cell>
          <cell r="J95">
            <v>491.59999999999917</v>
          </cell>
        </row>
        <row r="96">
          <cell r="G96">
            <v>84</v>
          </cell>
          <cell r="H96">
            <v>434.69999999999936</v>
          </cell>
          <cell r="I96">
            <v>434.69999999999936</v>
          </cell>
          <cell r="J96">
            <v>495.79999999999916</v>
          </cell>
        </row>
        <row r="97">
          <cell r="G97">
            <v>85</v>
          </cell>
          <cell r="H97">
            <v>438.29999999999939</v>
          </cell>
          <cell r="I97">
            <v>438.29999999999939</v>
          </cell>
          <cell r="J97">
            <v>499.99999999999915</v>
          </cell>
        </row>
        <row r="98">
          <cell r="G98">
            <v>86</v>
          </cell>
          <cell r="H98">
            <v>441.89999999999941</v>
          </cell>
          <cell r="I98">
            <v>441.89999999999941</v>
          </cell>
          <cell r="J98">
            <v>504.19999999999914</v>
          </cell>
        </row>
        <row r="99">
          <cell r="G99">
            <v>87</v>
          </cell>
          <cell r="H99">
            <v>445.49999999999943</v>
          </cell>
          <cell r="I99">
            <v>445.49999999999943</v>
          </cell>
          <cell r="J99">
            <v>508.39999999999912</v>
          </cell>
        </row>
        <row r="100">
          <cell r="G100">
            <v>88</v>
          </cell>
          <cell r="H100">
            <v>449.09999999999945</v>
          </cell>
          <cell r="I100">
            <v>449.09999999999945</v>
          </cell>
          <cell r="J100">
            <v>512.59999999999911</v>
          </cell>
        </row>
        <row r="101">
          <cell r="G101">
            <v>89</v>
          </cell>
          <cell r="H101">
            <v>452.69999999999948</v>
          </cell>
          <cell r="I101">
            <v>452.69999999999948</v>
          </cell>
          <cell r="J101">
            <v>516.79999999999916</v>
          </cell>
        </row>
        <row r="102">
          <cell r="G102">
            <v>90</v>
          </cell>
          <cell r="H102">
            <v>456.2999999999995</v>
          </cell>
          <cell r="I102">
            <v>456.2999999999995</v>
          </cell>
          <cell r="J102">
            <v>520.9999999999992</v>
          </cell>
        </row>
        <row r="103">
          <cell r="G103">
            <v>91</v>
          </cell>
          <cell r="H103">
            <v>459.89999999999952</v>
          </cell>
          <cell r="I103">
            <v>459.89999999999952</v>
          </cell>
          <cell r="J103">
            <v>525.19999999999925</v>
          </cell>
        </row>
        <row r="104">
          <cell r="G104">
            <v>92</v>
          </cell>
          <cell r="H104">
            <v>463.49999999999955</v>
          </cell>
          <cell r="I104">
            <v>463.49999999999955</v>
          </cell>
          <cell r="J104">
            <v>529.3999999999993</v>
          </cell>
        </row>
        <row r="105">
          <cell r="G105">
            <v>93</v>
          </cell>
          <cell r="H105">
            <v>467.09999999999957</v>
          </cell>
          <cell r="I105">
            <v>467.09999999999957</v>
          </cell>
          <cell r="J105">
            <v>533.59999999999934</v>
          </cell>
        </row>
        <row r="106">
          <cell r="G106">
            <v>94</v>
          </cell>
          <cell r="H106">
            <v>470.69999999999959</v>
          </cell>
          <cell r="I106">
            <v>470.69999999999959</v>
          </cell>
          <cell r="J106">
            <v>537.79999999999939</v>
          </cell>
        </row>
        <row r="107">
          <cell r="G107">
            <v>95</v>
          </cell>
          <cell r="H107">
            <v>474.29999999999961</v>
          </cell>
          <cell r="I107">
            <v>474.29999999999961</v>
          </cell>
          <cell r="J107">
            <v>541.99999999999943</v>
          </cell>
        </row>
        <row r="108">
          <cell r="G108">
            <v>96</v>
          </cell>
          <cell r="H108">
            <v>477.89999999999964</v>
          </cell>
          <cell r="I108">
            <v>477.89999999999964</v>
          </cell>
          <cell r="J108">
            <v>546.19999999999948</v>
          </cell>
        </row>
        <row r="109">
          <cell r="G109">
            <v>97</v>
          </cell>
          <cell r="H109">
            <v>481.49999999999966</v>
          </cell>
          <cell r="I109">
            <v>481.49999999999966</v>
          </cell>
          <cell r="J109">
            <v>550.39999999999952</v>
          </cell>
        </row>
        <row r="110">
          <cell r="G110">
            <v>98</v>
          </cell>
          <cell r="H110">
            <v>485.09999999999968</v>
          </cell>
          <cell r="I110">
            <v>485.09999999999968</v>
          </cell>
          <cell r="J110">
            <v>554.59999999999957</v>
          </cell>
        </row>
        <row r="111">
          <cell r="G111">
            <v>99</v>
          </cell>
          <cell r="H111">
            <v>488.6999999999997</v>
          </cell>
          <cell r="I111">
            <v>488.6999999999997</v>
          </cell>
          <cell r="J111">
            <v>558.79999999999961</v>
          </cell>
        </row>
      </sheetData>
      <sheetData sheetId="5"/>
      <sheetData sheetId="6"/>
      <sheetData sheetId="7"/>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lip"/>
      <sheetName val="summary"/>
      <sheetName val="tech"/>
      <sheetName val="abstract"/>
      <sheetName val="detailed"/>
      <sheetName val="culvert"/>
      <sheetName val="culvert (2)"/>
      <sheetName val="culvert (3)"/>
      <sheetName val="impRdam"/>
      <sheetName val="cost"/>
      <sheetName val="data"/>
      <sheetName val="CDdata"/>
      <sheetName val="keymap"/>
      <sheetName val="lchart"/>
      <sheetName val="LS"/>
      <sheetName val="CS"/>
      <sheetName val="CS (2)"/>
      <sheetName val="leads"/>
      <sheetName val="f_slip"/>
      <sheetName val="1v600"/>
      <sheetName val="2v600"/>
      <sheetName val="3v600"/>
      <sheetName val="2v900"/>
      <sheetName val="3v900"/>
      <sheetName val="30mRdam"/>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lip"/>
      <sheetName val="summary"/>
      <sheetName val="tech"/>
      <sheetName val="abstract"/>
      <sheetName val="detailed"/>
      <sheetName val="culvert"/>
      <sheetName val="culvert (2)"/>
      <sheetName val="culvert (3)"/>
      <sheetName val="impRdam"/>
      <sheetName val="cost"/>
      <sheetName val="data"/>
      <sheetName val="CDdata"/>
      <sheetName val="keymap"/>
      <sheetName val="lchart"/>
      <sheetName val="LS"/>
      <sheetName val="CS"/>
      <sheetName val="CS (2)"/>
      <sheetName val="leads"/>
      <sheetName val="f_slip"/>
      <sheetName val="1v600"/>
      <sheetName val="2v600"/>
      <sheetName val="3v600"/>
      <sheetName val="2v900"/>
      <sheetName val="3v900"/>
      <sheetName val="30mRdam"/>
      <sheetName val="v"/>
      <sheetName val="r"/>
      <sheetName val="usage"/>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
          <cell r="A3" t="str">
            <v>Sno</v>
          </cell>
          <cell r="B3" t="str">
            <v>Lead</v>
          </cell>
          <cell r="D3" t="str">
            <v>Earth</v>
          </cell>
          <cell r="E3" t="str">
            <v>Metal</v>
          </cell>
          <cell r="F3" t="str">
            <v>Bricks</v>
          </cell>
        </row>
        <row r="4">
          <cell r="A4">
            <v>1</v>
          </cell>
          <cell r="B4">
            <v>100</v>
          </cell>
          <cell r="C4" t="str">
            <v>m</v>
          </cell>
          <cell r="D4">
            <v>16</v>
          </cell>
        </row>
        <row r="5">
          <cell r="A5">
            <v>2</v>
          </cell>
          <cell r="B5">
            <v>200</v>
          </cell>
          <cell r="C5" t="str">
            <v>m</v>
          </cell>
          <cell r="D5">
            <v>25</v>
          </cell>
        </row>
        <row r="6">
          <cell r="A6">
            <v>3</v>
          </cell>
          <cell r="B6">
            <v>300</v>
          </cell>
          <cell r="C6" t="str">
            <v>m</v>
          </cell>
          <cell r="D6">
            <v>33</v>
          </cell>
        </row>
        <row r="7">
          <cell r="A7">
            <v>4</v>
          </cell>
          <cell r="B7">
            <v>400</v>
          </cell>
          <cell r="C7" t="str">
            <v>m</v>
          </cell>
          <cell r="D7">
            <v>45</v>
          </cell>
        </row>
        <row r="8">
          <cell r="A8">
            <v>5</v>
          </cell>
          <cell r="B8">
            <v>500</v>
          </cell>
          <cell r="C8" t="str">
            <v>m</v>
          </cell>
          <cell r="D8">
            <v>56</v>
          </cell>
          <cell r="E8">
            <v>64</v>
          </cell>
          <cell r="F8">
            <v>93.9</v>
          </cell>
        </row>
        <row r="9">
          <cell r="A9">
            <v>6</v>
          </cell>
          <cell r="B9">
            <v>1</v>
          </cell>
          <cell r="C9" t="str">
            <v>KM</v>
          </cell>
          <cell r="D9">
            <v>58</v>
          </cell>
          <cell r="E9">
            <v>67</v>
          </cell>
          <cell r="F9">
            <v>96.6</v>
          </cell>
        </row>
        <row r="10">
          <cell r="A10">
            <v>7</v>
          </cell>
          <cell r="B10">
            <v>2</v>
          </cell>
          <cell r="C10" t="str">
            <v>KM</v>
          </cell>
          <cell r="D10">
            <v>61</v>
          </cell>
          <cell r="E10">
            <v>69</v>
          </cell>
          <cell r="F10">
            <v>99.9</v>
          </cell>
        </row>
        <row r="11">
          <cell r="A11">
            <v>8</v>
          </cell>
          <cell r="B11">
            <v>3</v>
          </cell>
          <cell r="C11" t="str">
            <v>KM</v>
          </cell>
          <cell r="D11">
            <v>64</v>
          </cell>
          <cell r="E11">
            <v>72</v>
          </cell>
          <cell r="F11">
            <v>102.5</v>
          </cell>
        </row>
        <row r="12">
          <cell r="A12">
            <v>9</v>
          </cell>
          <cell r="B12">
            <v>4</v>
          </cell>
          <cell r="C12" t="str">
            <v>KM</v>
          </cell>
          <cell r="D12">
            <v>67</v>
          </cell>
          <cell r="E12">
            <v>75</v>
          </cell>
          <cell r="F12">
            <v>105.9</v>
          </cell>
        </row>
        <row r="13">
          <cell r="A13">
            <v>10</v>
          </cell>
          <cell r="B13">
            <v>5</v>
          </cell>
          <cell r="C13" t="str">
            <v>KM</v>
          </cell>
          <cell r="D13">
            <v>70</v>
          </cell>
          <cell r="E13">
            <v>78</v>
          </cell>
          <cell r="F13">
            <v>109.1</v>
          </cell>
        </row>
        <row r="14">
          <cell r="A14">
            <v>11</v>
          </cell>
          <cell r="B14">
            <v>6</v>
          </cell>
          <cell r="C14" t="str">
            <v>KM</v>
          </cell>
          <cell r="D14">
            <v>72</v>
          </cell>
          <cell r="E14">
            <v>82</v>
          </cell>
          <cell r="F14">
            <v>112.5</v>
          </cell>
        </row>
        <row r="15">
          <cell r="A15">
            <v>12</v>
          </cell>
          <cell r="B15">
            <v>7</v>
          </cell>
          <cell r="C15" t="str">
            <v>KM</v>
          </cell>
          <cell r="D15">
            <v>76</v>
          </cell>
          <cell r="E15">
            <v>84</v>
          </cell>
          <cell r="F15">
            <v>115.8</v>
          </cell>
        </row>
        <row r="16">
          <cell r="A16">
            <v>13</v>
          </cell>
          <cell r="B16">
            <v>8</v>
          </cell>
          <cell r="C16" t="str">
            <v>KM</v>
          </cell>
          <cell r="D16">
            <v>79</v>
          </cell>
          <cell r="E16">
            <v>86</v>
          </cell>
          <cell r="F16">
            <v>118.5</v>
          </cell>
        </row>
        <row r="17">
          <cell r="A17">
            <v>14</v>
          </cell>
          <cell r="B17">
            <v>9</v>
          </cell>
          <cell r="C17" t="str">
            <v>KM</v>
          </cell>
          <cell r="D17">
            <v>82</v>
          </cell>
          <cell r="E17">
            <v>90</v>
          </cell>
          <cell r="F17">
            <v>121.9</v>
          </cell>
        </row>
        <row r="18">
          <cell r="A18">
            <v>15</v>
          </cell>
          <cell r="B18">
            <v>10</v>
          </cell>
          <cell r="C18" t="str">
            <v>KM</v>
          </cell>
          <cell r="D18">
            <v>85</v>
          </cell>
          <cell r="E18">
            <v>92</v>
          </cell>
          <cell r="F18">
            <v>125.1</v>
          </cell>
        </row>
        <row r="19">
          <cell r="A19">
            <v>16</v>
          </cell>
          <cell r="B19">
            <v>11</v>
          </cell>
          <cell r="C19" t="str">
            <v>KM</v>
          </cell>
          <cell r="D19">
            <v>89</v>
          </cell>
          <cell r="E19">
            <v>95</v>
          </cell>
          <cell r="F19">
            <v>128.5</v>
          </cell>
        </row>
        <row r="20">
          <cell r="A20">
            <v>17</v>
          </cell>
          <cell r="B20">
            <v>12</v>
          </cell>
          <cell r="C20" t="str">
            <v>KM</v>
          </cell>
          <cell r="D20">
            <v>91</v>
          </cell>
          <cell r="E20">
            <v>99</v>
          </cell>
          <cell r="F20">
            <v>131.80000000000001</v>
          </cell>
        </row>
        <row r="21">
          <cell r="A21">
            <v>18</v>
          </cell>
          <cell r="B21">
            <v>13</v>
          </cell>
          <cell r="C21" t="str">
            <v>KM</v>
          </cell>
          <cell r="D21">
            <v>94</v>
          </cell>
          <cell r="E21">
            <v>102</v>
          </cell>
          <cell r="F21">
            <v>134.4</v>
          </cell>
        </row>
        <row r="22">
          <cell r="A22">
            <v>19</v>
          </cell>
          <cell r="B22">
            <v>14</v>
          </cell>
          <cell r="C22" t="str">
            <v>KM</v>
          </cell>
          <cell r="D22">
            <v>97</v>
          </cell>
          <cell r="E22">
            <v>105</v>
          </cell>
          <cell r="F22">
            <v>137.80000000000001</v>
          </cell>
        </row>
        <row r="23">
          <cell r="A23">
            <v>20</v>
          </cell>
          <cell r="B23">
            <v>15</v>
          </cell>
          <cell r="C23" t="str">
            <v>KM</v>
          </cell>
          <cell r="D23">
            <v>100</v>
          </cell>
          <cell r="E23">
            <v>107</v>
          </cell>
          <cell r="F23">
            <v>141.1</v>
          </cell>
        </row>
        <row r="24">
          <cell r="A24">
            <v>21</v>
          </cell>
          <cell r="B24">
            <v>16</v>
          </cell>
          <cell r="C24" t="str">
            <v>KM</v>
          </cell>
          <cell r="D24">
            <v>102</v>
          </cell>
          <cell r="E24">
            <v>110</v>
          </cell>
          <cell r="F24">
            <v>144.4</v>
          </cell>
        </row>
        <row r="25">
          <cell r="A25">
            <v>22</v>
          </cell>
          <cell r="B25">
            <v>17</v>
          </cell>
          <cell r="C25" t="str">
            <v>KM</v>
          </cell>
          <cell r="D25">
            <v>106</v>
          </cell>
          <cell r="E25">
            <v>113</v>
          </cell>
          <cell r="F25">
            <v>147.69999999999999</v>
          </cell>
        </row>
        <row r="26">
          <cell r="A26">
            <v>23</v>
          </cell>
          <cell r="B26">
            <v>18</v>
          </cell>
          <cell r="C26" t="str">
            <v>KM</v>
          </cell>
          <cell r="D26">
            <v>109</v>
          </cell>
          <cell r="E26">
            <v>116</v>
          </cell>
          <cell r="F26">
            <v>150.4</v>
          </cell>
        </row>
        <row r="27">
          <cell r="A27">
            <v>24</v>
          </cell>
          <cell r="B27">
            <v>19</v>
          </cell>
          <cell r="C27" t="str">
            <v>KM</v>
          </cell>
          <cell r="D27">
            <v>112</v>
          </cell>
          <cell r="E27">
            <v>118</v>
          </cell>
          <cell r="F27">
            <v>153.80000000000001</v>
          </cell>
        </row>
        <row r="28">
          <cell r="A28">
            <v>25</v>
          </cell>
          <cell r="B28">
            <v>20</v>
          </cell>
          <cell r="C28" t="str">
            <v>KM</v>
          </cell>
          <cell r="D28">
            <v>115</v>
          </cell>
          <cell r="E28">
            <v>122</v>
          </cell>
          <cell r="F28">
            <v>157.1</v>
          </cell>
        </row>
        <row r="29">
          <cell r="A29">
            <v>26</v>
          </cell>
          <cell r="B29">
            <v>21</v>
          </cell>
          <cell r="C29" t="str">
            <v>KM</v>
          </cell>
          <cell r="D29">
            <v>117.5</v>
          </cell>
          <cell r="E29">
            <v>125</v>
          </cell>
          <cell r="F29">
            <v>161.15</v>
          </cell>
        </row>
        <row r="30">
          <cell r="A30">
            <v>27</v>
          </cell>
          <cell r="B30">
            <v>22</v>
          </cell>
          <cell r="C30" t="str">
            <v>KM</v>
          </cell>
          <cell r="D30">
            <v>120</v>
          </cell>
          <cell r="E30">
            <v>128</v>
          </cell>
          <cell r="F30">
            <v>165.2</v>
          </cell>
        </row>
        <row r="31">
          <cell r="A31">
            <v>28</v>
          </cell>
          <cell r="B31">
            <v>23</v>
          </cell>
          <cell r="C31" t="str">
            <v>KM</v>
          </cell>
          <cell r="D31">
            <v>122.5</v>
          </cell>
          <cell r="E31">
            <v>131</v>
          </cell>
          <cell r="F31">
            <v>169.25</v>
          </cell>
        </row>
        <row r="32">
          <cell r="A32">
            <v>29</v>
          </cell>
          <cell r="B32">
            <v>24</v>
          </cell>
          <cell r="C32" t="str">
            <v>KM</v>
          </cell>
          <cell r="D32">
            <v>125</v>
          </cell>
          <cell r="E32">
            <v>134</v>
          </cell>
          <cell r="F32">
            <v>173.3</v>
          </cell>
        </row>
        <row r="33">
          <cell r="A33">
            <v>30</v>
          </cell>
          <cell r="B33">
            <v>25</v>
          </cell>
          <cell r="C33" t="str">
            <v>KM</v>
          </cell>
          <cell r="D33">
            <v>127.5</v>
          </cell>
          <cell r="E33">
            <v>137</v>
          </cell>
          <cell r="F33">
            <v>177.35</v>
          </cell>
        </row>
        <row r="34">
          <cell r="A34">
            <v>31</v>
          </cell>
          <cell r="B34">
            <v>26</v>
          </cell>
          <cell r="C34" t="str">
            <v>KM</v>
          </cell>
          <cell r="D34">
            <v>130</v>
          </cell>
          <cell r="E34">
            <v>140</v>
          </cell>
          <cell r="F34">
            <v>181.4</v>
          </cell>
        </row>
        <row r="35">
          <cell r="A35">
            <v>32</v>
          </cell>
          <cell r="B35">
            <v>27</v>
          </cell>
          <cell r="C35" t="str">
            <v>KM</v>
          </cell>
          <cell r="D35">
            <v>132.5</v>
          </cell>
          <cell r="E35">
            <v>143</v>
          </cell>
          <cell r="F35">
            <v>185.45</v>
          </cell>
        </row>
        <row r="36">
          <cell r="A36">
            <v>33</v>
          </cell>
          <cell r="B36">
            <v>28</v>
          </cell>
          <cell r="C36" t="str">
            <v>KM</v>
          </cell>
          <cell r="D36">
            <v>135</v>
          </cell>
          <cell r="E36">
            <v>146</v>
          </cell>
          <cell r="F36">
            <v>189.5</v>
          </cell>
        </row>
        <row r="37">
          <cell r="A37">
            <v>34</v>
          </cell>
          <cell r="B37">
            <v>29</v>
          </cell>
          <cell r="C37" t="str">
            <v>KM</v>
          </cell>
          <cell r="D37">
            <v>137.5</v>
          </cell>
          <cell r="E37">
            <v>149</v>
          </cell>
          <cell r="F37">
            <v>193.55</v>
          </cell>
        </row>
        <row r="38">
          <cell r="A38">
            <v>35</v>
          </cell>
          <cell r="B38">
            <v>30</v>
          </cell>
          <cell r="C38" t="str">
            <v>KM</v>
          </cell>
          <cell r="D38">
            <v>140</v>
          </cell>
          <cell r="E38">
            <v>152</v>
          </cell>
          <cell r="F38">
            <v>197.6</v>
          </cell>
        </row>
        <row r="39">
          <cell r="A39">
            <v>36</v>
          </cell>
          <cell r="B39">
            <v>31</v>
          </cell>
          <cell r="C39" t="str">
            <v>KM</v>
          </cell>
          <cell r="D39">
            <v>142.5</v>
          </cell>
          <cell r="E39">
            <v>155</v>
          </cell>
          <cell r="F39">
            <v>201.65</v>
          </cell>
        </row>
        <row r="40">
          <cell r="A40">
            <v>37</v>
          </cell>
          <cell r="B40">
            <v>32</v>
          </cell>
          <cell r="C40" t="str">
            <v>KM</v>
          </cell>
          <cell r="D40">
            <v>145</v>
          </cell>
          <cell r="E40">
            <v>158</v>
          </cell>
          <cell r="F40">
            <v>205.7</v>
          </cell>
        </row>
        <row r="41">
          <cell r="A41">
            <v>38</v>
          </cell>
          <cell r="B41">
            <v>33</v>
          </cell>
          <cell r="C41" t="str">
            <v>KM</v>
          </cell>
          <cell r="D41">
            <v>147.5</v>
          </cell>
          <cell r="E41">
            <v>161</v>
          </cell>
          <cell r="F41">
            <v>209.75</v>
          </cell>
        </row>
        <row r="42">
          <cell r="A42">
            <v>39</v>
          </cell>
          <cell r="B42">
            <v>34</v>
          </cell>
          <cell r="C42" t="str">
            <v>KM</v>
          </cell>
          <cell r="D42">
            <v>150</v>
          </cell>
          <cell r="E42">
            <v>164</v>
          </cell>
          <cell r="F42">
            <v>213.8</v>
          </cell>
        </row>
        <row r="43">
          <cell r="A43">
            <v>40</v>
          </cell>
          <cell r="B43">
            <v>35</v>
          </cell>
          <cell r="C43" t="str">
            <v>KM</v>
          </cell>
          <cell r="D43">
            <v>152.5</v>
          </cell>
          <cell r="E43">
            <v>167</v>
          </cell>
          <cell r="F43">
            <v>217.85</v>
          </cell>
        </row>
        <row r="44">
          <cell r="A44">
            <v>41</v>
          </cell>
          <cell r="B44">
            <v>36</v>
          </cell>
          <cell r="C44" t="str">
            <v>KM</v>
          </cell>
          <cell r="D44">
            <v>155</v>
          </cell>
          <cell r="E44">
            <v>170</v>
          </cell>
          <cell r="F44">
            <v>221.9</v>
          </cell>
        </row>
        <row r="45">
          <cell r="A45">
            <v>42</v>
          </cell>
          <cell r="B45">
            <v>37</v>
          </cell>
          <cell r="C45" t="str">
            <v>KM</v>
          </cell>
          <cell r="D45">
            <v>157.5</v>
          </cell>
          <cell r="E45">
            <v>173</v>
          </cell>
          <cell r="F45">
            <v>225.95</v>
          </cell>
        </row>
        <row r="46">
          <cell r="A46">
            <v>43</v>
          </cell>
          <cell r="B46">
            <v>38</v>
          </cell>
          <cell r="C46" t="str">
            <v>KM</v>
          </cell>
          <cell r="D46">
            <v>160</v>
          </cell>
          <cell r="E46">
            <v>176</v>
          </cell>
          <cell r="F46">
            <v>230</v>
          </cell>
        </row>
        <row r="47">
          <cell r="A47">
            <v>44</v>
          </cell>
          <cell r="B47">
            <v>39</v>
          </cell>
          <cell r="C47" t="str">
            <v>KM</v>
          </cell>
          <cell r="D47">
            <v>162.5</v>
          </cell>
          <cell r="E47">
            <v>179</v>
          </cell>
          <cell r="F47">
            <v>234.05</v>
          </cell>
        </row>
        <row r="48">
          <cell r="A48">
            <v>45</v>
          </cell>
          <cell r="B48">
            <v>40</v>
          </cell>
          <cell r="C48" t="str">
            <v>KM</v>
          </cell>
          <cell r="D48">
            <v>165</v>
          </cell>
          <cell r="E48">
            <v>182</v>
          </cell>
          <cell r="F48">
            <v>238.1</v>
          </cell>
        </row>
        <row r="49">
          <cell r="A49">
            <v>46</v>
          </cell>
          <cell r="B49">
            <v>41</v>
          </cell>
          <cell r="C49" t="str">
            <v>KM</v>
          </cell>
          <cell r="D49">
            <v>167.5</v>
          </cell>
          <cell r="E49">
            <v>185</v>
          </cell>
          <cell r="F49">
            <v>242.15</v>
          </cell>
        </row>
        <row r="50">
          <cell r="A50">
            <v>47</v>
          </cell>
          <cell r="B50">
            <v>42</v>
          </cell>
          <cell r="C50" t="str">
            <v>KM</v>
          </cell>
          <cell r="D50">
            <v>170</v>
          </cell>
          <cell r="E50">
            <v>188</v>
          </cell>
          <cell r="F50">
            <v>246.2</v>
          </cell>
        </row>
        <row r="51">
          <cell r="A51">
            <v>48</v>
          </cell>
          <cell r="B51">
            <v>43</v>
          </cell>
          <cell r="C51" t="str">
            <v>KM</v>
          </cell>
          <cell r="D51">
            <v>172.5</v>
          </cell>
          <cell r="E51">
            <v>191</v>
          </cell>
          <cell r="F51">
            <v>250.25</v>
          </cell>
        </row>
        <row r="52">
          <cell r="A52">
            <v>49</v>
          </cell>
          <cell r="B52">
            <v>44</v>
          </cell>
          <cell r="C52" t="str">
            <v>KM</v>
          </cell>
          <cell r="D52">
            <v>175</v>
          </cell>
          <cell r="E52">
            <v>194</v>
          </cell>
          <cell r="F52">
            <v>254.3</v>
          </cell>
        </row>
        <row r="53">
          <cell r="A53">
            <v>50</v>
          </cell>
          <cell r="B53">
            <v>45</v>
          </cell>
          <cell r="C53" t="str">
            <v>KM</v>
          </cell>
          <cell r="D53">
            <v>177.5</v>
          </cell>
          <cell r="E53">
            <v>197</v>
          </cell>
          <cell r="F53">
            <v>258.35000000000002</v>
          </cell>
        </row>
      </sheetData>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2000000000000"/>
      <sheetName val="3000000000000"/>
      <sheetName val="4000000000000"/>
      <sheetName val="5000000000000"/>
      <sheetName val="COVER"/>
      <sheetName val="index"/>
      <sheetName val="Report"/>
      <sheetName val="BCR"/>
      <sheetName val="abstract"/>
      <sheetName val="proposal"/>
      <sheetName val="rainfall"/>
      <sheetName val="bundqty"/>
      <sheetName val="weir"/>
      <sheetName val="desig cd works"/>
      <sheetName val="est canal"/>
      <sheetName val="cd works"/>
      <sheetName val="Lead "/>
      <sheetName val="Data"/>
      <sheetName val="l.s bund"/>
      <sheetName val="LFcanal"/>
      <sheetName val="RFcanal"/>
      <sheetName val="qrmap"/>
      <sheetName val="RouteMap"/>
      <sheetName val="drawings1"/>
      <sheetName val="Surplus Course"/>
      <sheetName val="Contour Map"/>
      <sheetName val="Certifica s "/>
      <sheetName val="inspn"/>
      <sheetName val="Chart1"/>
      <sheetName val="Sheet1"/>
      <sheetName val="certifc"/>
      <sheetName val="Regime"/>
      <sheetName val="weir heads (2)"/>
      <sheetName val="basicdata"/>
      <sheetName val="weir heads"/>
      <sheetName val="Data-abs"/>
      <sheetName val="Sheet2"/>
      <sheetName val="Data-abs (2)"/>
      <sheetName val="abstract "/>
      <sheetName val="General Abstract "/>
      <sheetName val="new data"/>
      <sheetName val="Sheet3"/>
      <sheetName val="DATA  ###"/>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G7">
            <v>13</v>
          </cell>
        </row>
      </sheetData>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cover"/>
      <sheetName val="indexx"/>
      <sheetName val="check slip"/>
      <sheetName val="REPORT"/>
      <sheetName val="certificates"/>
      <sheetName val="dee ins"/>
      <sheetName val="ee ins"/>
      <sheetName val="General Abs."/>
      <sheetName val="abs silt"/>
      <sheetName val="det silt"/>
      <sheetName val="abs bund"/>
      <sheetName val="DET BUND"/>
      <sheetName val="Sluice abs"/>
      <sheetName val="DET SLUICE"/>
      <sheetName val="ABS weir"/>
      <sheetName val="det weir"/>
      <sheetName val="ABS IC"/>
      <sheetName val="DET IC"/>
      <sheetName val="ABS steps (2)"/>
      <sheetName val="DET steps (2)"/>
      <sheetName val="34 col"/>
      <sheetName val="INDEX DATA"/>
      <sheetName val="LATEST DATA"/>
      <sheetName val="lead"/>
      <sheetName val="(-) lead"/>
      <sheetName val="INPUT"/>
      <sheetName val="CS OF 2 GW"/>
      <sheetName val="WORK SLIP"/>
      <sheetName val="Lr."/>
      <sheetName val="QC letter"/>
      <sheetName val="QC check slip"/>
      <sheetName val="DP &amp; CB"/>
      <sheetName val="abs kind"/>
      <sheetName val="det kind"/>
      <sheetName val="QC check slip (2)"/>
      <sheetName val="PP11"/>
      <sheetName val="PP12"/>
      <sheetName val="CC.Run."/>
      <sheetName val="Part"/>
      <sheetName val="CC.Fin"/>
      <sheetName val="Final"/>
      <sheetName val="Cert."/>
      <sheetName val="VAT"/>
      <sheetName val="NAC"/>
      <sheetName val="Com.Rpt"/>
      <sheetName val="SC"/>
      <sheetName val="Workslip"/>
      <sheetName val="WD com.stt."/>
      <sheetName val="ee joint"/>
      <sheetName val="abs 1.5-2.0"/>
      <sheetName val="abs 1.5-1.5"/>
      <sheetName val="det 1.50-1.50"/>
      <sheetName val="CS 1.5-2.0"/>
      <sheetName val="CS OF PIPE"/>
      <sheetName val="breach sec"/>
      <sheetName val="2 pipes"/>
      <sheetName val="3 pipes"/>
      <sheetName val="1 guide wall"/>
      <sheetName val="gw 1"/>
      <sheetName val="Sheet1"/>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3R800"/>
      <sheetName val="Ret wall"/>
      <sheetName val="Road data"/>
      <sheetName val="BTR"/>
      <sheetName val="RMR"/>
      <sheetName val="certificates"/>
      <sheetName val="mlead"/>
      <sheetName val="m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3R800"/>
      <sheetName val="Ret wall"/>
      <sheetName val="Road data"/>
      <sheetName val="BTR"/>
      <sheetName val="RMR"/>
      <sheetName val="certificates"/>
      <sheetName val="mlead"/>
      <sheetName val="m lead"/>
      <sheetName val="leads"/>
      <sheetName val="r"/>
      <sheetName v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Data"/>
      <sheetName val="drain rm data"/>
      <sheetName val="LOWEST RATES"/>
      <sheetName val="leads"/>
      <sheetName val="drain_rm_data"/>
      <sheetName val="LOWEST_RATES"/>
      <sheetName val="drain_rm_data1"/>
      <sheetName val="LOWEST_RATES1"/>
      <sheetName val="Labour"/>
      <sheetName val="Material"/>
      <sheetName val="Plant &amp;  Machinery"/>
      <sheetName val="abs road"/>
      <sheetName val="Road data"/>
      <sheetName val="Rates"/>
      <sheetName val="Lookup"/>
      <sheetName val="drain_rm_data2"/>
      <sheetName val="LOWEST_RATES2"/>
      <sheetName val="Plant_&amp;__Machinery"/>
      <sheetName val="ESTIMATE"/>
      <sheetName val="maya"/>
      <sheetName val="0000000000000"/>
      <sheetName val="R_Det"/>
      <sheetName val="Sheet1 (2)"/>
      <sheetName val="Data_Bit_I"/>
      <sheetName val="mlead"/>
      <sheetName val="Sheet1"/>
      <sheetName val="v"/>
      <sheetName val="Plant 㫨  Machinery"/>
      <sheetName val="Plant_㫨__Machinery"/>
      <sheetName val="Pipe Areas"/>
      <sheetName val="r"/>
      <sheetName val="sectorwise"/>
      <sheetName val="banilad"/>
      <sheetName val="Quarry"/>
      <sheetName val="Elc.Stnd.Data-18-19-final "/>
      <sheetName val="Nspt-smp-final-ORIGINAL"/>
      <sheetName val="Elc.Stnd.Data-17-18 "/>
      <sheetName val="CD Data"/>
      <sheetName val="Design_abf"/>
      <sheetName val="HS 1 BPT (2)all bpts"/>
      <sheetName val="Av.G Level"/>
      <sheetName val="Sheet2"/>
      <sheetName val="MRATES"/>
      <sheetName val="GROUND"/>
      <sheetName val="SECOND"/>
      <sheetName val="Convey"/>
      <sheetName val="m"/>
      <sheetName val="rdamdata"/>
      <sheetName val="lead-st"/>
      <sheetName val="Levels"/>
      <sheetName val="hdpe weights"/>
      <sheetName val="COVER"/>
      <sheetName val="INPUT"/>
      <sheetName val="Elc.Stnd.Data-18-19"/>
      <sheetName val="drain_rm_data3"/>
      <sheetName val="LOWEST_RATES3"/>
      <sheetName val="Plant_&amp;__Machinery1"/>
      <sheetName val="abs_road"/>
      <sheetName val="Road_data"/>
      <sheetName val="Sheet1_(2)"/>
      <sheetName val="Sheet3"/>
      <sheetName val="nodes"/>
      <sheetName val="ssr-rates"/>
      <sheetName val="ww-march-02"/>
      <sheetName val="data existing_do not delete"/>
      <sheetName val="Flight-1"/>
      <sheetName val="Road Detail Est."/>
      <sheetName val="drain_rm_data4"/>
      <sheetName val="LOWEST_RATES4"/>
      <sheetName val="Plant_&amp;__Machinery2"/>
      <sheetName val="abs_road1"/>
      <sheetName val="Road_data1"/>
      <sheetName val="Data 07-08 "/>
      <sheetName val="Rate Analysis"/>
      <sheetName val="HEAD"/>
      <sheetName val="elect."/>
      <sheetName val="DETAILED  BOQ"/>
      <sheetName val="steel SF (slab-2)"/>
      <sheetName val="final abstract"/>
      <sheetName val="Elc.Stnd.Data-17-18-final "/>
      <sheetName val="Cut Off Statement"/>
      <sheetName val="Lead-2014-15"/>
      <sheetName val="LEAD STATEMENT"/>
      <sheetName val="labour &amp; Centering"/>
      <sheetName val="GA"/>
      <sheetName val="Specification"/>
      <sheetName val="Road data.PS"/>
      <sheetName val="eligibilty"/>
      <sheetName val="RMR"/>
      <sheetName val="Sheet1_(2)1"/>
      <sheetName val="Plant_㫨__Machinery1"/>
      <sheetName val="Pipe_Areas"/>
      <sheetName val="Elc_Stnd_Data-18-19-final_"/>
      <sheetName val="Elc_Stnd_Data-17-18_"/>
      <sheetName val="Av_G_Level"/>
      <sheetName val="CD_Data"/>
      <sheetName val="l"/>
      <sheetName val="Part-A"/>
      <sheetName val="coverpage"/>
      <sheetName val="Elc.data-20-21"/>
      <sheetName val="data- Civil"/>
      <sheetName val="2a.Est. Drainage System"/>
      <sheetName val="data- MS Gates &amp; Grills"/>
      <sheetName val="MS-Truss data"/>
      <sheetName val="habs-list"/>
      <sheetName val="int-Dia"/>
      <sheetName val="Lead 09-10"/>
      <sheetName val="HDPE-pipe-rates"/>
      <sheetName val="pvc-pipe-rates"/>
      <sheetName val="detls"/>
      <sheetName val="Bitumen trunk"/>
      <sheetName val="Feeder"/>
      <sheetName val="R99 etc"/>
      <sheetName val="Trunk unpaved"/>
      <sheetName val="Abs"/>
      <sheetName val="DATA-BASE"/>
      <sheetName val="DATA-ABSTRACT"/>
      <sheetName val="FORM7"/>
      <sheetName val="int-Dia-hdpe"/>
      <sheetName val="HS final-2"/>
      <sheetName val="DATA_PRG"/>
      <sheetName val="HS 30.04.2015.Final"/>
      <sheetName val="ID"/>
      <sheetName val="HDPE"/>
      <sheetName val="Sheet9"/>
      <sheetName val="HS 1"/>
      <sheetName val="SPT vs PHI"/>
      <sheetName val="Wordsdata"/>
      <sheetName val="segments-details"/>
      <sheetName val="int-Dia-pvc"/>
      <sheetName val="mas_hab"/>
      <sheetName val="zone-8"/>
      <sheetName val="MHNO_LEV"/>
      <sheetName val="ewst"/>
      <sheetName val="Data.F8.BTR"/>
      <sheetName val="select items_PMW"/>
      <sheetName val="MTC-estimate"/>
      <sheetName val="Gen Abs"/>
      <sheetName val="other rates"/>
    </sheetNames>
    <sheetDataSet>
      <sheetData sheetId="0">
        <row r="7">
          <cell r="N7">
            <v>2424</v>
          </cell>
        </row>
        <row r="9">
          <cell r="N9">
            <v>431.64499999999998</v>
          </cell>
        </row>
        <row r="26">
          <cell r="N26">
            <v>295.47500000000002</v>
          </cell>
        </row>
        <row r="28">
          <cell r="N28">
            <v>340.47500000000002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Data"/>
      <sheetName val="v"/>
      <sheetName val="r"/>
    </sheetNames>
    <sheetDataSet>
      <sheetData sheetId="0">
        <row r="6">
          <cell r="P6">
            <v>4181.3999999999996</v>
          </cell>
        </row>
        <row r="8">
          <cell r="P8">
            <v>189.07999999999998</v>
          </cell>
        </row>
        <row r="14">
          <cell r="P14">
            <v>691.16000000000008</v>
          </cell>
        </row>
      </sheetData>
      <sheetData sheetId="1"/>
      <sheetData sheetId="2" refreshError="1"/>
      <sheetData sheetId="3"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QC check slip"/>
      <sheetName val="PP12"/>
      <sheetName val="Final"/>
      <sheetName val="Cert."/>
    </sheetNames>
    <sheetDataSet>
      <sheetData sheetId="0"/>
      <sheetData sheetId="1"/>
      <sheetData sheetId="2"/>
      <sheetData sheetId="3"/>
      <sheetData sheetId="4"/>
      <sheetData sheetId="5"/>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lant_&amp;__Machinery"/>
      <sheetName val="Summary_of_Rates"/>
      <sheetName val="Basic_Approach"/>
      <sheetName val="Plant_&amp;__Machinery1"/>
      <sheetName val="Summary_of_Rates1"/>
      <sheetName val="Basic_Approach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
      <sheetName val="Sheet2"/>
    </sheetNames>
    <sheetDataSet>
      <sheetData sheetId="0"/>
      <sheetData sheetId="1"/>
      <sheetData sheetId="2">
        <row r="69">
          <cell r="H69">
            <v>15.6</v>
          </cell>
        </row>
      </sheetData>
      <sheetData sheetId="3"/>
      <sheetData sheetId="4">
        <row r="37">
          <cell r="E37">
            <v>273</v>
          </cell>
        </row>
        <row r="40">
          <cell r="E40">
            <v>273</v>
          </cell>
        </row>
        <row r="41">
          <cell r="E41">
            <v>211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1 R 1000"/>
      <sheetName val="(1R with casing)"/>
      <sheetName val="Abstract for CD works"/>
      <sheetName val="4 R 1000"/>
      <sheetName val="4R with Casing"/>
      <sheetName val="Det Est"/>
      <sheetName val="BTR"/>
      <sheetName val="RMR"/>
      <sheetName val="Road &amp; CD  data"/>
      <sheetName val="Line"/>
      <sheetName val="Line_ABS"/>
      <sheetName val="TS memo"/>
      <sheetName val="GenAbst"/>
      <sheetName val="Rates"/>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Query"/>
      <sheetName val="DATA_ENTRY"/>
      <sheetName val="MRoad data"/>
      <sheetName val="MRATES"/>
      <sheetName val="MBTLead"/>
      <sheetName val="MRMR"/>
      <sheetName val="MRoadMap"/>
    </sheetNames>
    <sheetDataSet>
      <sheetData sheetId="0"/>
      <sheetData sheetId="1"/>
      <sheetData sheetId="2"/>
      <sheetData sheetId="3"/>
      <sheetData sheetId="4"/>
      <sheetData sheetId="5" refreshError="1"/>
      <sheetData sheetId="6"/>
      <sheetData sheetId="7"/>
      <sheetData sheetId="8"/>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Query"/>
      <sheetName val="DATA_ENTRY"/>
      <sheetName val="MRoad data"/>
      <sheetName val="MRATES"/>
      <sheetName val="MBTLead"/>
      <sheetName val="MRMR"/>
      <sheetName val="MRoadMap"/>
      <sheetName val="EW D.EST"/>
      <sheetName val="Labour"/>
    </sheetNames>
    <sheetDataSet>
      <sheetData sheetId="0"/>
      <sheetData sheetId="1"/>
      <sheetData sheetId="2"/>
      <sheetData sheetId="3"/>
      <sheetData sheetId="4"/>
      <sheetData sheetId="5" refreshError="1">
        <row r="23">
          <cell r="I23">
            <v>609.79999999999995</v>
          </cell>
        </row>
      </sheetData>
      <sheetData sheetId="6"/>
      <sheetData sheetId="7"/>
      <sheetData sheetId="8"/>
      <sheetData sheetId="9" refreshError="1"/>
      <sheetData sheetId="10"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Query"/>
      <sheetName val="DATA_ENTRY"/>
      <sheetName val="MRoad data"/>
      <sheetName val="MRATES"/>
      <sheetName val="MBTLead"/>
      <sheetName val="MRMR"/>
      <sheetName val="MRoadMap"/>
    </sheetNames>
    <sheetDataSet>
      <sheetData sheetId="0"/>
      <sheetData sheetId="1"/>
      <sheetData sheetId="2"/>
      <sheetData sheetId="3"/>
      <sheetData sheetId="4"/>
      <sheetData sheetId="5" refreshError="1">
        <row r="23">
          <cell r="I23">
            <v>609.79999999999995</v>
          </cell>
        </row>
      </sheetData>
      <sheetData sheetId="6"/>
      <sheetData sheetId="7"/>
      <sheetData sheetId="8"/>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r200809"/>
      <sheetName val="labourch (2)"/>
      <sheetName val="datatrial"/>
      <sheetName val="materialcost"/>
      <sheetName val="DEEST"/>
      <sheetName val="ABEST"/>
      <sheetName val="trough wall"/>
      <sheetName val="ewest"/>
      <sheetName val="desiltingold"/>
      <sheetName val="desilting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r200809"/>
      <sheetName val="labourch (2)"/>
      <sheetName val="datatrial"/>
      <sheetName val="materialcost"/>
      <sheetName val="DEEST"/>
      <sheetName val="ABEST"/>
      <sheetName val="trough wall"/>
      <sheetName val="ewest"/>
      <sheetName val="desiltingold"/>
      <sheetName val="desilting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Sheet1"/>
      <sheetName val="DATA_ENTRY"/>
      <sheetName val="Letter"/>
      <sheetName val="Report"/>
      <sheetName val="Cover"/>
      <sheetName val="GenAbs"/>
      <sheetName val="DetAbsAbs"/>
      <sheetName val="Seignarages"/>
      <sheetName val="DetEst"/>
      <sheetName val="Lead"/>
      <sheetName val="WorkSlip"/>
      <sheetName val="BTLeads"/>
      <sheetName val="RMR"/>
      <sheetName val="MRoad data"/>
      <sheetName val="Certificates"/>
      <sheetName val="MRATE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0">
          <cell r="K30">
            <v>0</v>
          </cell>
        </row>
      </sheetData>
      <sheetData sheetId="18"/>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Bed Fall"/>
      <sheetName val="Input"/>
      <sheetName val="M F L Calculations"/>
      <sheetName val="Ventway Calculations"/>
      <sheetName val="Note"/>
      <sheetName val="Tail Channel"/>
      <sheetName val="TELs"/>
      <sheetName val="TEL Free Barrel"/>
      <sheetName val="Drop"/>
      <sheetName val="C"/>
      <sheetName val="Approach Channel"/>
      <sheetName val="Slab Under Earth Bank"/>
      <sheetName val="Abutmnet EB"/>
      <sheetName val="Pier EB"/>
      <sheetName val="Slab Under Water Trough"/>
      <sheetName val="Abutment Canal"/>
      <sheetName val="Pier Canal"/>
      <sheetName val="HeadWall TBL"/>
      <sheetName val="US Head Wall"/>
      <sheetName val="DS Head Wall"/>
      <sheetName val="US &amp; DS Wing HeadWall"/>
      <sheetName val="US Wing Return"/>
      <sheetName val="DS Wing Return"/>
      <sheetName val="Title Structure"/>
      <sheetName val="Uplift Barrel"/>
      <sheetName val="UT Data"/>
      <sheetName val="structu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Bed Fall"/>
      <sheetName val="Input"/>
      <sheetName val="M F L Calculations"/>
      <sheetName val="Ventway Calculations"/>
      <sheetName val="Note"/>
      <sheetName val="Tail Channel"/>
      <sheetName val="TELs"/>
      <sheetName val="TEL Free Barrel"/>
      <sheetName val="Drop"/>
      <sheetName val="C"/>
      <sheetName val="Approach Channel"/>
      <sheetName val="Slab Under Earth Bank"/>
      <sheetName val="Abutmnet EB"/>
      <sheetName val="Pier EB"/>
      <sheetName val="Slab Under Water Trough"/>
      <sheetName val="Abutment Canal"/>
      <sheetName val="Pier Canal"/>
      <sheetName val="HeadWall TBL"/>
      <sheetName val="US Head Wall"/>
      <sheetName val="DS Head Wall"/>
      <sheetName val="US &amp; DS Wing HeadWall"/>
      <sheetName val="US Wing Return"/>
      <sheetName val="DS Wing Return"/>
      <sheetName val="Title Structure"/>
      <sheetName val="Uplift Barrel"/>
      <sheetName val="UT Data"/>
    </sheetNames>
    <sheetDataSet>
      <sheetData sheetId="0"/>
      <sheetData sheetId="1"/>
      <sheetData sheetId="2"/>
      <sheetData sheetId="3"/>
      <sheetData sheetId="4"/>
      <sheetData sheetId="5">
        <row r="22">
          <cell r="D22">
            <v>2.5</v>
          </cell>
        </row>
        <row r="23">
          <cell r="D23">
            <v>6</v>
          </cell>
        </row>
        <row r="63">
          <cell r="E63">
            <v>24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BTR"/>
      <sheetName val="RMR"/>
      <sheetName val="Road data"/>
      <sheetName val="Line"/>
      <sheetName val="GenAbst"/>
      <sheetName val="AS_SR"/>
      <sheetName val="TS_MDR"/>
      <sheetName val="Name"/>
      <sheetName val="Detailed"/>
      <sheetName val="Sheet1"/>
      <sheetName val="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BTR"/>
      <sheetName val="RMR"/>
      <sheetName val="Road data"/>
      <sheetName val="Line"/>
      <sheetName val="GenAbst"/>
      <sheetName val="AS_SR"/>
      <sheetName val="TS_MDR"/>
      <sheetName val="Name"/>
      <sheetName val="Detailed"/>
      <sheetName val="Sheet1"/>
      <sheetName val="Rates"/>
    </sheetNames>
    <sheetDataSet>
      <sheetData sheetId="0"/>
      <sheetData sheetId="1"/>
      <sheetData sheetId="2">
        <row r="4">
          <cell r="D4" t="str">
            <v xml:space="preserve">Special repairs to the road from Km 4/8 to 6/6 of NH-7 to Gondiparla in Kurnool District </v>
          </cell>
        </row>
      </sheetData>
      <sheetData sheetId="3">
        <row r="12">
          <cell r="K12">
            <v>1353.9299999999998</v>
          </cell>
        </row>
        <row r="13">
          <cell r="K13">
            <v>1372.6799999999998</v>
          </cell>
        </row>
        <row r="14">
          <cell r="K14">
            <v>1178.9299999999998</v>
          </cell>
        </row>
        <row r="15">
          <cell r="K15">
            <v>1016.4300000000001</v>
          </cell>
        </row>
        <row r="16">
          <cell r="K16">
            <v>853.93</v>
          </cell>
        </row>
        <row r="17">
          <cell r="K17">
            <v>608.92999999999995</v>
          </cell>
        </row>
      </sheetData>
      <sheetData sheetId="4">
        <row r="30">
          <cell r="K30">
            <v>104</v>
          </cell>
        </row>
        <row r="61">
          <cell r="K61">
            <v>132</v>
          </cell>
        </row>
        <row r="83">
          <cell r="K83">
            <v>42.8</v>
          </cell>
        </row>
        <row r="106">
          <cell r="K106">
            <v>72.3</v>
          </cell>
        </row>
        <row r="133">
          <cell r="K133">
            <v>1180</v>
          </cell>
        </row>
        <row r="151">
          <cell r="K151">
            <v>7.9</v>
          </cell>
        </row>
        <row r="172">
          <cell r="K172">
            <v>5.4</v>
          </cell>
        </row>
        <row r="199">
          <cell r="K199">
            <v>1328</v>
          </cell>
        </row>
        <row r="225">
          <cell r="K225">
            <v>1535</v>
          </cell>
        </row>
        <row r="252">
          <cell r="K252">
            <v>1480</v>
          </cell>
        </row>
        <row r="278">
          <cell r="K278">
            <v>1807</v>
          </cell>
        </row>
        <row r="305">
          <cell r="K305">
            <v>1337</v>
          </cell>
        </row>
        <row r="331">
          <cell r="K331">
            <v>1544</v>
          </cell>
        </row>
        <row r="358">
          <cell r="K358">
            <v>1489</v>
          </cell>
        </row>
        <row r="384">
          <cell r="K384">
            <v>1816</v>
          </cell>
        </row>
        <row r="415">
          <cell r="K415">
            <v>1603</v>
          </cell>
        </row>
        <row r="444">
          <cell r="K444">
            <v>44.9</v>
          </cell>
        </row>
        <row r="473">
          <cell r="K473">
            <v>45.7</v>
          </cell>
        </row>
        <row r="496">
          <cell r="K496">
            <v>9.9</v>
          </cell>
        </row>
        <row r="525">
          <cell r="K525">
            <v>144</v>
          </cell>
        </row>
        <row r="560">
          <cell r="K560">
            <v>8101</v>
          </cell>
        </row>
        <row r="600">
          <cell r="K600">
            <v>8402</v>
          </cell>
        </row>
        <row r="646">
          <cell r="K646">
            <v>6443</v>
          </cell>
        </row>
        <row r="692">
          <cell r="K692">
            <v>6553</v>
          </cell>
        </row>
        <row r="716">
          <cell r="K716">
            <v>346</v>
          </cell>
        </row>
        <row r="742">
          <cell r="K742">
            <v>2888</v>
          </cell>
        </row>
        <row r="768">
          <cell r="K768">
            <v>3308</v>
          </cell>
        </row>
        <row r="797">
          <cell r="K797">
            <v>4980</v>
          </cell>
        </row>
        <row r="826">
          <cell r="K826">
            <v>3075</v>
          </cell>
        </row>
        <row r="859">
          <cell r="K859">
            <v>4555</v>
          </cell>
        </row>
        <row r="881">
          <cell r="K881">
            <v>47</v>
          </cell>
        </row>
        <row r="904">
          <cell r="K904">
            <v>420</v>
          </cell>
        </row>
        <row r="930">
          <cell r="K930">
            <v>3308</v>
          </cell>
        </row>
        <row r="958">
          <cell r="K958">
            <v>3639</v>
          </cell>
        </row>
        <row r="980">
          <cell r="K980">
            <v>2399</v>
          </cell>
        </row>
        <row r="997">
          <cell r="K997">
            <v>3950</v>
          </cell>
        </row>
        <row r="1014">
          <cell r="K1014">
            <v>5831</v>
          </cell>
        </row>
        <row r="1037">
          <cell r="K1037">
            <v>420</v>
          </cell>
        </row>
        <row r="1057">
          <cell r="K1057">
            <v>624</v>
          </cell>
        </row>
        <row r="1078">
          <cell r="K1078">
            <v>519</v>
          </cell>
        </row>
        <row r="1107">
          <cell r="K1107">
            <v>3896</v>
          </cell>
        </row>
        <row r="1136">
          <cell r="K1136">
            <v>4120</v>
          </cell>
        </row>
        <row r="1164">
          <cell r="K1164">
            <v>4744</v>
          </cell>
        </row>
        <row r="1192">
          <cell r="K1192">
            <v>5176</v>
          </cell>
        </row>
        <row r="1220">
          <cell r="K1220">
            <v>4754</v>
          </cell>
        </row>
        <row r="1249">
          <cell r="K1249">
            <v>4790</v>
          </cell>
        </row>
        <row r="1301">
          <cell r="K1301">
            <v>250</v>
          </cell>
        </row>
        <row r="1328">
          <cell r="K1328">
            <v>3746</v>
          </cell>
        </row>
        <row r="1367">
          <cell r="K1367">
            <v>1145</v>
          </cell>
        </row>
        <row r="1390">
          <cell r="K1390">
            <v>420</v>
          </cell>
        </row>
        <row r="1416">
          <cell r="K1416">
            <v>847</v>
          </cell>
        </row>
        <row r="1435">
          <cell r="K1435">
            <v>58232</v>
          </cell>
        </row>
        <row r="1454">
          <cell r="K1454">
            <v>57633</v>
          </cell>
        </row>
        <row r="1473">
          <cell r="K1473">
            <v>57561</v>
          </cell>
        </row>
        <row r="1492">
          <cell r="K1492">
            <v>56116</v>
          </cell>
        </row>
        <row r="1509">
          <cell r="K1509">
            <v>421</v>
          </cell>
        </row>
        <row r="1538">
          <cell r="K1538">
            <v>3896</v>
          </cell>
        </row>
        <row r="1566">
          <cell r="K1566">
            <v>4485</v>
          </cell>
        </row>
        <row r="1585">
          <cell r="K1585">
            <v>56.7</v>
          </cell>
        </row>
        <row r="1616">
          <cell r="K1616">
            <v>41.8</v>
          </cell>
        </row>
        <row r="1636">
          <cell r="K1636">
            <v>4889</v>
          </cell>
        </row>
        <row r="1654">
          <cell r="K1654">
            <v>3287</v>
          </cell>
        </row>
      </sheetData>
      <sheetData sheetId="5"/>
      <sheetData sheetId="6"/>
      <sheetData sheetId="7"/>
      <sheetData sheetId="8"/>
      <sheetData sheetId="9"/>
      <sheetData sheetId="10"/>
      <sheetData sheetId="11"/>
      <sheetData sheetId="12"/>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3"/>
      <sheetName val="Sheet1"/>
      <sheetName val="Estimate (2)"/>
      <sheetName val="Check_Slip"/>
      <sheetName val="Misc"/>
      <sheetName val="Data_Base"/>
      <sheetName val="quarry"/>
      <sheetName val="Templates"/>
      <sheetName val="Cover_Sheet"/>
      <sheetName val="Sp_Report"/>
      <sheetName val="Estimate"/>
      <sheetName val="Lead"/>
      <sheetName val="Conveyance_Rates"/>
      <sheetName val="Conveyance_Table"/>
      <sheetName val="Est_amt_text"/>
      <sheetName val="Data"/>
      <sheetName val="Schedule-A"/>
      <sheetName val="Labour_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c1"/>
      <sheetName val="enc2"/>
      <sheetName val="enc3"/>
      <sheetName val="enc4"/>
      <sheetName val="enc5"/>
      <sheetName val="enc234"/>
      <sheetName val="ABSTITLE"/>
      <sheetName val="abs312 (3)"/>
      <sheetName val="ridf4 ALL23.3.99"/>
      <sheetName val="TIT_3 (2)"/>
      <sheetName val="sectorwise type2"/>
      <sheetName val="99-2000 "/>
      <sheetName val="98-99"/>
      <sheetName val="97-98"/>
      <sheetName val="Abstractab"/>
      <sheetName val="Abstract"/>
      <sheetName val="encnewgovt"/>
      <sheetName val="sectorwise"/>
      <sheetName val="ridf2enc"/>
      <sheetName val="ridf3enc"/>
      <sheetName val="ridf4enc"/>
      <sheetName val="LINKED23"/>
      <sheetName val="comprptsENC"/>
      <sheetName val="FINENC"/>
      <sheetName val="T&amp;A_Phy"/>
      <sheetName val="T&amp;A_Fin"/>
      <sheetName val="TIT_abs"/>
      <sheetName val="Sheet3"/>
      <sheetName val="TELE"/>
      <sheetName val="TIT_4"/>
      <sheetName val="abs312 (2)"/>
      <sheetName val="DATA"/>
      <sheetName val="Labour"/>
      <sheetName val="Material"/>
      <sheetName val="Plant &amp;  Machinery"/>
      <sheetName val="Lead statement"/>
      <sheetName val="MRATES"/>
      <sheetName val="T㫨A_Phy"/>
      <sheetName val="T㫨A_Fin"/>
      <sheetName val="Plant 㫨  Machinery"/>
      <sheetName val="Specification"/>
      <sheetName val="rdam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District</v>
          </cell>
          <cell r="B1" t="str">
            <v>Alloc</v>
          </cell>
          <cell r="C1" t="str">
            <v>expmar99</v>
          </cell>
          <cell r="D1" t="str">
            <v>relmar99</v>
          </cell>
          <cell r="E1" t="str">
            <v>obmar99</v>
          </cell>
          <cell r="F1" t="str">
            <v>Rel</v>
          </cell>
          <cell r="G1" t="str">
            <v>acpExp</v>
          </cell>
          <cell r="H1" t="str">
            <v>Exp1</v>
          </cell>
          <cell r="I1" t="str">
            <v>Expfinal</v>
          </cell>
          <cell r="J1" t="str">
            <v>Bal</v>
          </cell>
          <cell r="K1" t="str">
            <v>totwrks</v>
          </cell>
          <cell r="L1" t="str">
            <v>comp3/99</v>
          </cell>
          <cell r="M1" t="str">
            <v>Works</v>
          </cell>
          <cell r="N1" t="str">
            <v>totest</v>
          </cell>
          <cell r="O1" t="str">
            <v>Bal Est</v>
          </cell>
          <cell r="P1" t="str">
            <v>totcomp</v>
          </cell>
          <cell r="Q1" t="str">
            <v>Comp</v>
          </cell>
          <cell r="R1" t="str">
            <v>Bal</v>
          </cell>
        </row>
        <row r="2">
          <cell r="A2" t="str">
            <v>Srikakulam</v>
          </cell>
          <cell r="B2">
            <v>6.3399564873875507</v>
          </cell>
          <cell r="C2">
            <v>3.3949000000000003</v>
          </cell>
          <cell r="D2">
            <v>3.8</v>
          </cell>
          <cell r="E2">
            <v>0.40509999999999957</v>
          </cell>
          <cell r="F2">
            <v>1.65</v>
          </cell>
          <cell r="G2">
            <v>1.4691000000000001</v>
          </cell>
          <cell r="H2">
            <v>1.0640000000000005</v>
          </cell>
          <cell r="I2">
            <v>1.0640000000000005</v>
          </cell>
          <cell r="J2">
            <v>0.58599999999999941</v>
          </cell>
          <cell r="K2">
            <v>24</v>
          </cell>
          <cell r="L2">
            <v>5</v>
          </cell>
          <cell r="M2">
            <v>19</v>
          </cell>
          <cell r="N2">
            <v>13.037000000000001</v>
          </cell>
          <cell r="O2">
            <v>9.642100000000001</v>
          </cell>
          <cell r="P2">
            <v>7</v>
          </cell>
          <cell r="Q2">
            <v>2</v>
          </cell>
          <cell r="R2">
            <v>17</v>
          </cell>
        </row>
        <row r="3">
          <cell r="A3" t="str">
            <v>Vizianagaram</v>
          </cell>
          <cell r="B3">
            <v>6.5264973504227655</v>
          </cell>
          <cell r="C3">
            <v>2.7987000000000002</v>
          </cell>
          <cell r="D3">
            <v>3.35</v>
          </cell>
          <cell r="E3">
            <v>0.5512999999999999</v>
          </cell>
          <cell r="F3">
            <v>1.25</v>
          </cell>
          <cell r="G3">
            <v>1.4843999999999999</v>
          </cell>
          <cell r="H3">
            <v>0.93310000000000004</v>
          </cell>
          <cell r="I3">
            <v>0.93310000000000004</v>
          </cell>
          <cell r="J3">
            <v>0.31689999999999996</v>
          </cell>
          <cell r="K3">
            <v>23</v>
          </cell>
          <cell r="L3">
            <v>2</v>
          </cell>
          <cell r="M3">
            <v>21</v>
          </cell>
          <cell r="N3">
            <v>12.724500000000001</v>
          </cell>
          <cell r="O3">
            <v>9.9258000000000006</v>
          </cell>
          <cell r="P3">
            <v>5</v>
          </cell>
          <cell r="Q3">
            <v>3</v>
          </cell>
          <cell r="R3">
            <v>18</v>
          </cell>
        </row>
        <row r="4">
          <cell r="A4" t="str">
            <v>Visakhapatnam</v>
          </cell>
          <cell r="B4">
            <v>5.2308372495736588</v>
          </cell>
          <cell r="C4">
            <v>4.8526999999999996</v>
          </cell>
          <cell r="D4">
            <v>4.3</v>
          </cell>
          <cell r="E4">
            <v>-0.55269999999999975</v>
          </cell>
          <cell r="F4">
            <v>1.9</v>
          </cell>
          <cell r="G4">
            <v>1.6009</v>
          </cell>
          <cell r="H4">
            <v>2.1536</v>
          </cell>
          <cell r="I4">
            <v>2.1536</v>
          </cell>
          <cell r="J4">
            <v>-0.25360000000000005</v>
          </cell>
          <cell r="K4">
            <v>17</v>
          </cell>
          <cell r="L4">
            <v>0</v>
          </cell>
          <cell r="M4">
            <v>17</v>
          </cell>
          <cell r="N4">
            <v>12.808</v>
          </cell>
          <cell r="O4">
            <v>7.9553000000000003</v>
          </cell>
          <cell r="P4">
            <v>3</v>
          </cell>
          <cell r="Q4">
            <v>3</v>
          </cell>
          <cell r="R4">
            <v>14</v>
          </cell>
        </row>
        <row r="5">
          <cell r="A5" t="str">
            <v>East Godavari</v>
          </cell>
          <cell r="B5">
            <v>4.4450248230196028</v>
          </cell>
          <cell r="C5">
            <v>3.9397999999999995</v>
          </cell>
          <cell r="D5">
            <v>4.2699999999999996</v>
          </cell>
          <cell r="E5">
            <v>0.33020000000000005</v>
          </cell>
          <cell r="F5">
            <v>0.15</v>
          </cell>
          <cell r="G5">
            <v>0.37359999999999999</v>
          </cell>
          <cell r="H5">
            <v>4.3399999999999939E-2</v>
          </cell>
          <cell r="I5">
            <v>4.3399999999999939E-2</v>
          </cell>
          <cell r="J5">
            <v>0.10660000000000006</v>
          </cell>
          <cell r="K5">
            <v>31</v>
          </cell>
          <cell r="L5">
            <v>16</v>
          </cell>
          <cell r="M5">
            <v>15</v>
          </cell>
          <cell r="N5">
            <v>10.7</v>
          </cell>
          <cell r="O5">
            <v>6.7601999999999993</v>
          </cell>
          <cell r="P5">
            <v>16</v>
          </cell>
          <cell r="Q5">
            <v>0</v>
          </cell>
          <cell r="R5">
            <v>15</v>
          </cell>
        </row>
        <row r="6">
          <cell r="A6" t="str">
            <v>West Godavari</v>
          </cell>
          <cell r="B6">
            <v>6.5109139226683252</v>
          </cell>
          <cell r="C6">
            <v>7.9578999999999995</v>
          </cell>
          <cell r="D6">
            <v>8.6300000000000008</v>
          </cell>
          <cell r="E6">
            <v>0.67210000000000125</v>
          </cell>
          <cell r="F6">
            <v>0.45</v>
          </cell>
          <cell r="G6">
            <v>1.3902000000000001</v>
          </cell>
          <cell r="H6">
            <v>0.71809999999999885</v>
          </cell>
          <cell r="I6">
            <v>0.71809999999999885</v>
          </cell>
          <cell r="J6">
            <v>-0.26809999999999884</v>
          </cell>
          <cell r="K6">
            <v>40</v>
          </cell>
          <cell r="L6">
            <v>21</v>
          </cell>
          <cell r="M6">
            <v>19</v>
          </cell>
          <cell r="N6">
            <v>17.86</v>
          </cell>
          <cell r="O6">
            <v>9.9021000000000008</v>
          </cell>
          <cell r="P6">
            <v>23</v>
          </cell>
          <cell r="Q6">
            <v>2</v>
          </cell>
          <cell r="R6">
            <v>17</v>
          </cell>
        </row>
        <row r="7">
          <cell r="A7" t="str">
            <v>Krishna</v>
          </cell>
          <cell r="B7">
            <v>6.0240139964167332</v>
          </cell>
          <cell r="C7">
            <v>5.8304000000000009</v>
          </cell>
          <cell r="D7">
            <v>6.61</v>
          </cell>
          <cell r="E7">
            <v>0.7795999999999994</v>
          </cell>
          <cell r="F7">
            <v>0.5</v>
          </cell>
          <cell r="G7">
            <v>1.2702</v>
          </cell>
          <cell r="H7">
            <v>0.49060000000000059</v>
          </cell>
          <cell r="I7">
            <v>0.49060000000000059</v>
          </cell>
          <cell r="J7">
            <v>9.3999999999994088E-3</v>
          </cell>
          <cell r="K7">
            <v>29</v>
          </cell>
          <cell r="L7">
            <v>12</v>
          </cell>
          <cell r="M7">
            <v>17</v>
          </cell>
          <cell r="N7">
            <v>14.992000000000001</v>
          </cell>
          <cell r="O7">
            <v>9.1616</v>
          </cell>
          <cell r="P7">
            <v>13</v>
          </cell>
          <cell r="Q7">
            <v>1</v>
          </cell>
          <cell r="R7">
            <v>16</v>
          </cell>
        </row>
        <row r="8">
          <cell r="A8" t="str">
            <v>Guntur</v>
          </cell>
          <cell r="B8">
            <v>11.884106113543091</v>
          </cell>
          <cell r="C8">
            <v>7.6001000000000003</v>
          </cell>
          <cell r="D8">
            <v>6.85</v>
          </cell>
          <cell r="E8">
            <v>-0.75010000000000066</v>
          </cell>
          <cell r="F8">
            <v>2.15</v>
          </cell>
          <cell r="G8">
            <v>2.9051999999999998</v>
          </cell>
          <cell r="H8">
            <v>3.6553000000000004</v>
          </cell>
          <cell r="I8">
            <v>3.6553000000000004</v>
          </cell>
          <cell r="J8">
            <v>-1.5053000000000005</v>
          </cell>
          <cell r="K8">
            <v>50</v>
          </cell>
          <cell r="L8">
            <v>11</v>
          </cell>
          <cell r="M8">
            <v>39</v>
          </cell>
          <cell r="N8">
            <v>25.673999999999999</v>
          </cell>
          <cell r="O8">
            <v>18.073899999999998</v>
          </cell>
          <cell r="P8">
            <v>14</v>
          </cell>
          <cell r="Q8">
            <v>3</v>
          </cell>
          <cell r="R8">
            <v>36</v>
          </cell>
        </row>
        <row r="9">
          <cell r="A9" t="str">
            <v>Prakasam</v>
          </cell>
          <cell r="B9">
            <v>6.4859278359734427</v>
          </cell>
          <cell r="C9">
            <v>4.9009</v>
          </cell>
          <cell r="D9">
            <v>6.1</v>
          </cell>
          <cell r="E9">
            <v>1.1990999999999996</v>
          </cell>
          <cell r="F9">
            <v>0.65</v>
          </cell>
          <cell r="G9">
            <v>1.5345</v>
          </cell>
          <cell r="H9">
            <v>0.33540000000000036</v>
          </cell>
          <cell r="I9">
            <v>0.33540000000000036</v>
          </cell>
          <cell r="J9">
            <v>0.31459999999999966</v>
          </cell>
          <cell r="K9">
            <v>25</v>
          </cell>
          <cell r="L9">
            <v>10</v>
          </cell>
          <cell r="M9">
            <v>15</v>
          </cell>
          <cell r="N9">
            <v>14.765000000000001</v>
          </cell>
          <cell r="O9">
            <v>9.8641000000000005</v>
          </cell>
          <cell r="P9">
            <v>12</v>
          </cell>
          <cell r="Q9">
            <v>2</v>
          </cell>
          <cell r="R9">
            <v>13</v>
          </cell>
        </row>
        <row r="10">
          <cell r="A10" t="str">
            <v>Nellore</v>
          </cell>
          <cell r="B10">
            <v>3.9844260406573611</v>
          </cell>
          <cell r="C10">
            <v>6.7767999999999997</v>
          </cell>
          <cell r="D10">
            <v>7.43</v>
          </cell>
          <cell r="E10">
            <v>0.6532</v>
          </cell>
          <cell r="F10">
            <v>0.65</v>
          </cell>
          <cell r="G10">
            <v>1.0651999999999999</v>
          </cell>
          <cell r="H10">
            <v>0.41199999999999992</v>
          </cell>
          <cell r="I10">
            <v>0.41199999999999992</v>
          </cell>
          <cell r="J10">
            <v>0.2380000000000001</v>
          </cell>
          <cell r="K10">
            <v>33</v>
          </cell>
          <cell r="L10">
            <v>17</v>
          </cell>
          <cell r="M10">
            <v>16</v>
          </cell>
          <cell r="N10">
            <v>12.836500000000001</v>
          </cell>
          <cell r="O10">
            <v>6.0597000000000012</v>
          </cell>
          <cell r="P10">
            <v>20</v>
          </cell>
          <cell r="Q10">
            <v>3</v>
          </cell>
          <cell r="R10">
            <v>13</v>
          </cell>
        </row>
        <row r="11">
          <cell r="A11" t="str">
            <v>Chittoor</v>
          </cell>
          <cell r="B11">
            <v>7.3833228654780658</v>
          </cell>
          <cell r="C11">
            <v>3.9831000000000008</v>
          </cell>
          <cell r="D11">
            <v>5.6</v>
          </cell>
          <cell r="E11">
            <v>1.6168999999999989</v>
          </cell>
          <cell r="F11">
            <v>0.1</v>
          </cell>
          <cell r="G11">
            <v>0.81599999999999995</v>
          </cell>
          <cell r="H11">
            <v>-0.80089999999999895</v>
          </cell>
          <cell r="I11">
            <v>0.4</v>
          </cell>
          <cell r="J11">
            <v>-0.30000000000000004</v>
          </cell>
          <cell r="K11">
            <v>34</v>
          </cell>
          <cell r="L11">
            <v>10</v>
          </cell>
          <cell r="M11">
            <v>24</v>
          </cell>
          <cell r="N11">
            <v>15.212</v>
          </cell>
          <cell r="O11">
            <v>11.228899999999999</v>
          </cell>
          <cell r="P11">
            <v>12</v>
          </cell>
          <cell r="Q11">
            <v>2</v>
          </cell>
          <cell r="R11">
            <v>22</v>
          </cell>
        </row>
        <row r="12">
          <cell r="A12" t="str">
            <v>Cuddapah</v>
          </cell>
          <cell r="B12">
            <v>5.2888970247093976</v>
          </cell>
          <cell r="C12">
            <v>4.974400000000001</v>
          </cell>
          <cell r="D12">
            <v>5.8</v>
          </cell>
          <cell r="E12">
            <v>0.82559999999999878</v>
          </cell>
          <cell r="F12">
            <v>0.2</v>
          </cell>
          <cell r="G12">
            <v>0.43450000000000005</v>
          </cell>
          <cell r="H12">
            <v>-0.39109999999999873</v>
          </cell>
          <cell r="I12">
            <v>0.2</v>
          </cell>
          <cell r="J12">
            <v>0</v>
          </cell>
          <cell r="K12">
            <v>32</v>
          </cell>
          <cell r="L12">
            <v>11</v>
          </cell>
          <cell r="M12">
            <v>21</v>
          </cell>
          <cell r="N12">
            <v>13.017999999999999</v>
          </cell>
          <cell r="O12">
            <v>8.0435999999999979</v>
          </cell>
          <cell r="P12">
            <v>14</v>
          </cell>
          <cell r="Q12">
            <v>3</v>
          </cell>
          <cell r="R12">
            <v>18</v>
          </cell>
        </row>
        <row r="13">
          <cell r="A13" t="str">
            <v>Anantapur</v>
          </cell>
          <cell r="B13">
            <v>8.4452973028702978</v>
          </cell>
          <cell r="C13">
            <v>3.1979999999999995</v>
          </cell>
          <cell r="D13">
            <v>4</v>
          </cell>
          <cell r="E13">
            <v>0.80200000000000049</v>
          </cell>
          <cell r="F13">
            <v>0.5</v>
          </cell>
          <cell r="G13">
            <v>1.3625999999999998</v>
          </cell>
          <cell r="H13">
            <v>0.56059999999999932</v>
          </cell>
          <cell r="I13">
            <v>0.56059999999999932</v>
          </cell>
          <cell r="J13">
            <v>-6.0599999999999321E-2</v>
          </cell>
          <cell r="K13">
            <v>29</v>
          </cell>
          <cell r="L13">
            <v>3</v>
          </cell>
          <cell r="M13">
            <v>26</v>
          </cell>
          <cell r="N13">
            <v>16.042000000000002</v>
          </cell>
          <cell r="O13">
            <v>12.844000000000001</v>
          </cell>
          <cell r="P13">
            <v>6</v>
          </cell>
          <cell r="Q13">
            <v>3</v>
          </cell>
          <cell r="R13">
            <v>23</v>
          </cell>
        </row>
        <row r="14">
          <cell r="A14" t="str">
            <v>Kurnool</v>
          </cell>
          <cell r="B14">
            <v>7.0542955554222964</v>
          </cell>
          <cell r="C14">
            <v>6.0845000000000002</v>
          </cell>
          <cell r="D14">
            <v>7.95</v>
          </cell>
          <cell r="E14">
            <v>1.8654999999999999</v>
          </cell>
          <cell r="F14">
            <v>0</v>
          </cell>
          <cell r="G14">
            <v>2.1309</v>
          </cell>
          <cell r="H14">
            <v>0.26540000000000008</v>
          </cell>
          <cell r="I14">
            <v>0.26540000000000008</v>
          </cell>
          <cell r="J14">
            <v>-0.26540000000000008</v>
          </cell>
          <cell r="K14">
            <v>45</v>
          </cell>
          <cell r="L14">
            <v>21</v>
          </cell>
          <cell r="M14">
            <v>24</v>
          </cell>
          <cell r="N14">
            <v>16.812999999999999</v>
          </cell>
          <cell r="O14">
            <v>10.728499999999999</v>
          </cell>
          <cell r="P14">
            <v>24</v>
          </cell>
          <cell r="Q14">
            <v>3</v>
          </cell>
          <cell r="R14">
            <v>21</v>
          </cell>
        </row>
        <row r="15">
          <cell r="A15" t="str">
            <v>Mahabubnagar</v>
          </cell>
          <cell r="B15">
            <v>7.5731513714994483</v>
          </cell>
          <cell r="C15">
            <v>5.5608999999999993</v>
          </cell>
          <cell r="D15">
            <v>6.83</v>
          </cell>
          <cell r="E15">
            <v>1.2691000000000008</v>
          </cell>
          <cell r="F15">
            <v>0.45</v>
          </cell>
          <cell r="G15">
            <v>1.7105000000000001</v>
          </cell>
          <cell r="H15">
            <v>0.44139999999999935</v>
          </cell>
          <cell r="I15">
            <v>0.44139999999999935</v>
          </cell>
          <cell r="J15">
            <v>8.6000000000006627E-3</v>
          </cell>
          <cell r="K15">
            <v>35</v>
          </cell>
          <cell r="L15">
            <v>9</v>
          </cell>
          <cell r="M15">
            <v>26</v>
          </cell>
          <cell r="N15">
            <v>17.078499999999998</v>
          </cell>
          <cell r="O15">
            <v>11.517599999999998</v>
          </cell>
          <cell r="P15">
            <v>15</v>
          </cell>
          <cell r="Q15">
            <v>6</v>
          </cell>
          <cell r="R15">
            <v>20</v>
          </cell>
        </row>
        <row r="16">
          <cell r="A16" t="str">
            <v>Ranga Reddy</v>
          </cell>
          <cell r="B16">
            <v>4.9360014265740455</v>
          </cell>
          <cell r="C16">
            <v>1.9265999999999999</v>
          </cell>
          <cell r="D16">
            <v>2.6150000000000002</v>
          </cell>
          <cell r="E16">
            <v>0.68840000000000034</v>
          </cell>
          <cell r="F16">
            <v>1.2</v>
          </cell>
          <cell r="G16">
            <v>0.75719999999999998</v>
          </cell>
          <cell r="H16">
            <v>6.8799999999999639E-2</v>
          </cell>
          <cell r="I16">
            <v>6.8799999999999639E-2</v>
          </cell>
          <cell r="J16">
            <v>1.1312000000000002</v>
          </cell>
          <cell r="K16">
            <v>16</v>
          </cell>
          <cell r="L16">
            <v>2</v>
          </cell>
          <cell r="M16">
            <v>14</v>
          </cell>
          <cell r="N16">
            <v>9.4335000000000004</v>
          </cell>
          <cell r="O16">
            <v>7.5069000000000008</v>
          </cell>
          <cell r="P16">
            <v>4</v>
          </cell>
          <cell r="Q16">
            <v>2</v>
          </cell>
          <cell r="R16">
            <v>12</v>
          </cell>
        </row>
        <row r="17">
          <cell r="A17" t="str">
            <v>Nalgonda</v>
          </cell>
          <cell r="B17">
            <v>5.8986232929242561</v>
          </cell>
          <cell r="C17">
            <v>4.3959000000000001</v>
          </cell>
          <cell r="D17">
            <v>5.25</v>
          </cell>
          <cell r="E17">
            <v>0.85409999999999986</v>
          </cell>
          <cell r="F17">
            <v>1.25</v>
          </cell>
          <cell r="G17">
            <v>1.5286999999999999</v>
          </cell>
          <cell r="H17">
            <v>0.67460000000000009</v>
          </cell>
          <cell r="I17">
            <v>0.67460000000000009</v>
          </cell>
          <cell r="J17">
            <v>0.57539999999999991</v>
          </cell>
          <cell r="K17">
            <v>19</v>
          </cell>
          <cell r="L17">
            <v>4</v>
          </cell>
          <cell r="M17">
            <v>15</v>
          </cell>
          <cell r="N17">
            <v>13.366800000000001</v>
          </cell>
          <cell r="O17">
            <v>8.9709000000000003</v>
          </cell>
          <cell r="P17">
            <v>6</v>
          </cell>
          <cell r="Q17">
            <v>2</v>
          </cell>
          <cell r="R17">
            <v>13</v>
          </cell>
        </row>
        <row r="18">
          <cell r="A18" t="str">
            <v>Medak</v>
          </cell>
          <cell r="B18">
            <v>5.0158253982782224</v>
          </cell>
          <cell r="C18">
            <v>3.2407000000000004</v>
          </cell>
          <cell r="D18">
            <v>3.48</v>
          </cell>
          <cell r="E18">
            <v>0.23929999999999962</v>
          </cell>
          <cell r="F18">
            <v>0.7</v>
          </cell>
          <cell r="G18">
            <v>0.49380000000000002</v>
          </cell>
          <cell r="H18">
            <v>0.25450000000000039</v>
          </cell>
          <cell r="I18">
            <v>0.25450000000000039</v>
          </cell>
          <cell r="J18">
            <v>0.44549999999999956</v>
          </cell>
          <cell r="K18">
            <v>25</v>
          </cell>
          <cell r="L18">
            <v>11</v>
          </cell>
          <cell r="M18">
            <v>14</v>
          </cell>
          <cell r="N18">
            <v>10.869000000000002</v>
          </cell>
          <cell r="O18">
            <v>7.6283000000000012</v>
          </cell>
          <cell r="P18">
            <v>12</v>
          </cell>
          <cell r="Q18">
            <v>1</v>
          </cell>
          <cell r="R18">
            <v>13</v>
          </cell>
        </row>
        <row r="19">
          <cell r="A19" t="str">
            <v>Nizamabad</v>
          </cell>
          <cell r="B19">
            <v>5.1235943353648343</v>
          </cell>
          <cell r="C19">
            <v>5.4557999999999991</v>
          </cell>
          <cell r="D19">
            <v>5.2</v>
          </cell>
          <cell r="E19">
            <v>-0.25579999999999892</v>
          </cell>
          <cell r="F19">
            <v>2.15</v>
          </cell>
          <cell r="G19">
            <v>2.5670999999999999</v>
          </cell>
          <cell r="H19">
            <v>2.8228999999999989</v>
          </cell>
          <cell r="I19">
            <v>2.8228999999999989</v>
          </cell>
          <cell r="J19">
            <v>-0.67289999999999894</v>
          </cell>
          <cell r="K19">
            <v>23</v>
          </cell>
          <cell r="L19">
            <v>8</v>
          </cell>
          <cell r="M19">
            <v>15</v>
          </cell>
          <cell r="N19">
            <v>13.247999999999999</v>
          </cell>
          <cell r="O19">
            <v>7.7922000000000002</v>
          </cell>
          <cell r="P19">
            <v>11</v>
          </cell>
          <cell r="Q19">
            <v>3</v>
          </cell>
          <cell r="R19">
            <v>12</v>
          </cell>
        </row>
        <row r="20">
          <cell r="A20" t="str">
            <v>Warangal</v>
          </cell>
          <cell r="B20">
            <v>2.5385206553403421</v>
          </cell>
          <cell r="C20">
            <v>5.0892999999999997</v>
          </cell>
          <cell r="D20">
            <v>4.6349999999999998</v>
          </cell>
          <cell r="E20">
            <v>-0.45429999999999993</v>
          </cell>
          <cell r="F20">
            <v>1</v>
          </cell>
          <cell r="G20">
            <v>0.62909999999999999</v>
          </cell>
          <cell r="H20">
            <v>1.0833999999999999</v>
          </cell>
          <cell r="I20">
            <v>1.0833999999999999</v>
          </cell>
          <cell r="J20">
            <v>-8.3399999999999919E-2</v>
          </cell>
          <cell r="K20">
            <v>18</v>
          </cell>
          <cell r="L20">
            <v>9</v>
          </cell>
          <cell r="M20">
            <v>9</v>
          </cell>
          <cell r="N20">
            <v>8.9499999999999993</v>
          </cell>
          <cell r="O20">
            <v>3.8606999999999996</v>
          </cell>
          <cell r="P20">
            <v>9</v>
          </cell>
          <cell r="Q20">
            <v>0</v>
          </cell>
          <cell r="R20">
            <v>9</v>
          </cell>
        </row>
        <row r="21">
          <cell r="A21" t="str">
            <v>Khammam</v>
          </cell>
          <cell r="B21">
            <v>4.688573415434985</v>
          </cell>
          <cell r="C21">
            <v>2.2549000000000001</v>
          </cell>
          <cell r="D21">
            <v>2.8</v>
          </cell>
          <cell r="E21">
            <v>0.5450999999999997</v>
          </cell>
          <cell r="F21">
            <v>0.8</v>
          </cell>
          <cell r="G21">
            <v>1.0263</v>
          </cell>
          <cell r="H21">
            <v>0.48120000000000029</v>
          </cell>
          <cell r="I21">
            <v>0.48120000000000029</v>
          </cell>
          <cell r="J21">
            <v>0.31879999999999975</v>
          </cell>
          <cell r="K21">
            <v>17</v>
          </cell>
          <cell r="L21">
            <v>4</v>
          </cell>
          <cell r="M21">
            <v>13</v>
          </cell>
          <cell r="N21">
            <v>9.3855000000000004</v>
          </cell>
          <cell r="O21">
            <v>7.1306000000000003</v>
          </cell>
          <cell r="P21">
            <v>6</v>
          </cell>
          <cell r="Q21">
            <v>2</v>
          </cell>
          <cell r="R21">
            <v>11</v>
          </cell>
        </row>
        <row r="22">
          <cell r="A22" t="str">
            <v>Karimnagar</v>
          </cell>
          <cell r="B22">
            <v>0.74820179079228522</v>
          </cell>
          <cell r="C22">
            <v>4.7321</v>
          </cell>
          <cell r="D22">
            <v>4.95</v>
          </cell>
          <cell r="E22">
            <v>0.2179000000000002</v>
          </cell>
          <cell r="F22">
            <v>0.4</v>
          </cell>
          <cell r="G22">
            <v>0.38670000000000004</v>
          </cell>
          <cell r="H22">
            <v>0.16879999999999984</v>
          </cell>
          <cell r="I22">
            <v>0.16879999999999984</v>
          </cell>
          <cell r="J22">
            <v>0.23120000000000018</v>
          </cell>
          <cell r="K22">
            <v>14</v>
          </cell>
          <cell r="L22">
            <v>11</v>
          </cell>
          <cell r="M22">
            <v>3</v>
          </cell>
          <cell r="N22">
            <v>5.87</v>
          </cell>
          <cell r="O22">
            <v>1.1379000000000001</v>
          </cell>
          <cell r="P22">
            <v>13</v>
          </cell>
          <cell r="Q22">
            <v>2</v>
          </cell>
          <cell r="R22">
            <v>1</v>
          </cell>
        </row>
        <row r="23">
          <cell r="A23" t="str">
            <v>Adilabad</v>
          </cell>
          <cell r="B23">
            <v>2.8739917456490023</v>
          </cell>
          <cell r="C23">
            <v>1.7661000000000002</v>
          </cell>
          <cell r="D23">
            <v>1.9</v>
          </cell>
          <cell r="E23">
            <v>0.13389999999999969</v>
          </cell>
          <cell r="F23">
            <v>0.9</v>
          </cell>
          <cell r="G23">
            <v>0.93019999999999992</v>
          </cell>
          <cell r="H23">
            <v>0.79630000000000023</v>
          </cell>
          <cell r="I23">
            <v>0.79630000000000023</v>
          </cell>
          <cell r="J23">
            <v>0.10369999999999979</v>
          </cell>
          <cell r="K23">
            <v>11</v>
          </cell>
          <cell r="L23">
            <v>2</v>
          </cell>
          <cell r="M23">
            <v>9</v>
          </cell>
          <cell r="N23">
            <v>6.1370000000000005</v>
          </cell>
          <cell r="O23">
            <v>4.3709000000000007</v>
          </cell>
          <cell r="P23">
            <v>6</v>
          </cell>
          <cell r="Q23">
            <v>4</v>
          </cell>
          <cell r="R23">
            <v>5</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s"/>
      <sheetName val="Levels"/>
      <sheetName val="abstract"/>
      <sheetName val="Levels (2)"/>
      <sheetName val="mother"/>
      <sheetName val="3060"/>
      <sheetName val="3090"/>
      <sheetName val="3120"/>
      <sheetName val="3150"/>
      <sheetName val="3180"/>
      <sheetName val="3210"/>
      <sheetName val="3240"/>
      <sheetName val="3270"/>
      <sheetName val="3300"/>
      <sheetName val="3330"/>
      <sheetName val="3360"/>
      <sheetName val="3390"/>
      <sheetName val="3420"/>
      <sheetName val="3450"/>
      <sheetName val="3480"/>
      <sheetName val="3510"/>
      <sheetName val="3540"/>
      <sheetName val="3570"/>
      <sheetName val="3600"/>
      <sheetName val="3630"/>
      <sheetName val="3660"/>
      <sheetName val="3690"/>
      <sheetName val="3720"/>
      <sheetName val="3750"/>
      <sheetName val="3780"/>
      <sheetName val="3810"/>
      <sheetName val="3840"/>
      <sheetName val="3870"/>
      <sheetName val="3900"/>
      <sheetName val="3930"/>
      <sheetName val="3960"/>
      <sheetName val="3990"/>
      <sheetName val="4020"/>
      <sheetName val="4050"/>
      <sheetName val="4080"/>
      <sheetName val="4110"/>
      <sheetName val="4140"/>
      <sheetName val="4170"/>
      <sheetName val="4200"/>
      <sheetName val="4230"/>
      <sheetName val="4260"/>
      <sheetName val="4290"/>
      <sheetName val="4320"/>
      <sheetName val="4350"/>
      <sheetName val="4380"/>
      <sheetName val="4400"/>
      <sheetName val="4410"/>
      <sheetName val="4440"/>
      <sheetName val="4470"/>
      <sheetName val="4500"/>
      <sheetName val="4530"/>
      <sheetName val="4560"/>
      <sheetName val="4590"/>
      <sheetName val="4620"/>
      <sheetName val="4650"/>
      <sheetName val="4680"/>
      <sheetName val="4710"/>
      <sheetName val="4740"/>
      <sheetName val="4770"/>
      <sheetName val="4800"/>
      <sheetName val="4830"/>
      <sheetName val="4860"/>
      <sheetName val="4890"/>
      <sheetName val="4920"/>
      <sheetName val="4930"/>
      <sheetName val="4940"/>
      <sheetName val="Labour"/>
      <sheetName val="Material"/>
      <sheetName val="Plant &amp;  Machiner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s"/>
      <sheetName val="Levels"/>
      <sheetName val="abstract"/>
      <sheetName val="Levels (2)"/>
      <sheetName val="mother"/>
      <sheetName val="3060"/>
      <sheetName val="3090"/>
      <sheetName val="3120"/>
      <sheetName val="3150"/>
      <sheetName val="3180"/>
      <sheetName val="3210"/>
      <sheetName val="3240"/>
      <sheetName val="3270"/>
      <sheetName val="3300"/>
      <sheetName val="3330"/>
      <sheetName val="3360"/>
      <sheetName val="3390"/>
      <sheetName val="3420"/>
      <sheetName val="3450"/>
      <sheetName val="3480"/>
      <sheetName val="3510"/>
      <sheetName val="3540"/>
      <sheetName val="3570"/>
      <sheetName val="3600"/>
      <sheetName val="3630"/>
      <sheetName val="3660"/>
      <sheetName val="3690"/>
      <sheetName val="3720"/>
      <sheetName val="3750"/>
      <sheetName val="3780"/>
      <sheetName val="3810"/>
      <sheetName val="3840"/>
      <sheetName val="3870"/>
      <sheetName val="3900"/>
      <sheetName val="3930"/>
      <sheetName val="3960"/>
      <sheetName val="3990"/>
      <sheetName val="4020"/>
      <sheetName val="4050"/>
      <sheetName val="4080"/>
      <sheetName val="4110"/>
      <sheetName val="4140"/>
      <sheetName val="4170"/>
      <sheetName val="4200"/>
      <sheetName val="4230"/>
      <sheetName val="4260"/>
      <sheetName val="4290"/>
      <sheetName val="4320"/>
      <sheetName val="4350"/>
      <sheetName val="4380"/>
      <sheetName val="4400"/>
      <sheetName val="4410"/>
      <sheetName val="4440"/>
      <sheetName val="4470"/>
      <sheetName val="4500"/>
      <sheetName val="4530"/>
      <sheetName val="4560"/>
      <sheetName val="4590"/>
      <sheetName val="4620"/>
      <sheetName val="4650"/>
      <sheetName val="4680"/>
      <sheetName val="4710"/>
      <sheetName val="4740"/>
      <sheetName val="4770"/>
      <sheetName val="4800"/>
      <sheetName val="4830"/>
      <sheetName val="4860"/>
      <sheetName val="4890"/>
      <sheetName val="4920"/>
      <sheetName val="4930"/>
      <sheetName val="4940"/>
      <sheetName val="leads"/>
    </sheetNames>
    <sheetDataSet>
      <sheetData sheetId="0" refreshError="1"/>
      <sheetData sheetId="1" refreshError="1">
        <row r="5">
          <cell r="O5">
            <v>96</v>
          </cell>
          <cell r="P5">
            <v>101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_SHEET"/>
      <sheetName val="ANNEX"/>
      <sheetName val="P_REPORT"/>
      <sheetName val="SPECIFICATION"/>
      <sheetName val="ABS"/>
      <sheetName val="ESTT_MOST"/>
      <sheetName val="m"/>
      <sheetName val="M2"/>
      <sheetName val="M3"/>
      <sheetName val="m1"/>
      <sheetName val="DATA"/>
      <sheetName val="LE"/>
      <sheetName val="Sheet1"/>
      <sheetName val="0000000000000"/>
      <sheetName val="Abstrct "/>
      <sheetName val="Abstrct  CD works"/>
      <sheetName val="est"/>
      <sheetName val="Quarry"/>
      <sheetName val="Lead"/>
      <sheetName val="Slab cul-2m span 1"/>
      <sheetName val="Slab cul-3m span 2"/>
      <sheetName val="Slab cul-2m span 3"/>
      <sheetName val="Slab cul-2m span 4"/>
      <sheetName val="CC over pitching"/>
      <sheetName val="Data CD"/>
    </sheetNames>
    <sheetDataSet>
      <sheetData sheetId="0" refreshError="1"/>
      <sheetData sheetId="1" refreshError="1"/>
      <sheetData sheetId="2" refreshError="1"/>
      <sheetData sheetId="3" refreshError="1"/>
      <sheetData sheetId="4" refreshError="1"/>
      <sheetData sheetId="5" refreshError="1"/>
      <sheetData sheetId="6" refreshError="1">
        <row r="3">
          <cell r="M3">
            <v>117</v>
          </cell>
        </row>
        <row r="149">
          <cell r="B149" t="str">
            <v>Bijnepally</v>
          </cell>
          <cell r="D149" t="str">
            <v>Bijnepally</v>
          </cell>
        </row>
      </sheetData>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westRate"/>
      <sheetName val="ElectricalSSR"/>
      <sheetName val="NonSSR"/>
      <sheetName val="Lead"/>
      <sheetName val="Data"/>
      <sheetName val="HDPE"/>
      <sheetName val="CI"/>
      <sheetName val="137-140"/>
      <sheetName val="141-142"/>
      <sheetName val="maya"/>
      <sheetName val="r"/>
    </sheetNames>
    <sheetDataSet>
      <sheetData sheetId="0" refreshError="1"/>
      <sheetData sheetId="1" refreshError="1"/>
      <sheetData sheetId="2">
        <row r="120">
          <cell r="C120">
            <v>765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DEE_EE letter"/>
      <sheetName val="QC letter"/>
      <sheetName val="QC chckslip"/>
      <sheetName val="QC check slip"/>
      <sheetName val="QC check slip (2)"/>
      <sheetName val="PP11"/>
      <sheetName val="PP12"/>
      <sheetName val="CC.BILL"/>
      <sheetName val="Part"/>
      <sheetName val="Final"/>
      <sheetName val="Cert."/>
      <sheetName val="SC"/>
      <sheetName val="VAT,IT,NAC,LC"/>
      <sheetName val="Compl.Rpt"/>
      <sheetName val="Workslip"/>
      <sheetName val="WD com.stt."/>
      <sheetName val="PD for Red,BC soils"/>
      <sheetName val="PD for Gravel"/>
      <sheetName val="Prof-I."/>
      <sheetName val="Prof-II."/>
      <sheetName val="Prof-III."/>
      <sheetName val="Prof-IV."/>
      <sheetName val="Progr of work"/>
      <sheetName val="r"/>
      <sheetName val="mlead"/>
    </sheetNames>
    <sheetDataSet>
      <sheetData sheetId="0">
        <row r="1">
          <cell r="A1">
            <v>0</v>
          </cell>
          <cell r="B1" t="str">
            <v xml:space="preserve"> Zero</v>
          </cell>
        </row>
        <row r="2">
          <cell r="A2">
            <v>1</v>
          </cell>
          <cell r="B2" t="str">
            <v xml:space="preserve"> One</v>
          </cell>
        </row>
        <row r="3">
          <cell r="A3">
            <v>2</v>
          </cell>
          <cell r="B3" t="str">
            <v xml:space="preserve"> Two</v>
          </cell>
        </row>
        <row r="4">
          <cell r="A4">
            <v>3</v>
          </cell>
          <cell r="B4" t="str">
            <v xml:space="preserve"> Three</v>
          </cell>
        </row>
        <row r="5">
          <cell r="A5">
            <v>4</v>
          </cell>
          <cell r="B5" t="str">
            <v xml:space="preserve"> Four</v>
          </cell>
        </row>
        <row r="6">
          <cell r="A6">
            <v>5</v>
          </cell>
          <cell r="B6" t="str">
            <v xml:space="preserve"> Five</v>
          </cell>
        </row>
        <row r="7">
          <cell r="A7">
            <v>6</v>
          </cell>
          <cell r="B7" t="str">
            <v xml:space="preserve"> Six</v>
          </cell>
        </row>
        <row r="8">
          <cell r="A8">
            <v>7</v>
          </cell>
          <cell r="B8" t="str">
            <v xml:space="preserve"> Seven</v>
          </cell>
        </row>
        <row r="9">
          <cell r="A9">
            <v>8</v>
          </cell>
          <cell r="B9" t="str">
            <v xml:space="preserve"> Eight</v>
          </cell>
        </row>
        <row r="10">
          <cell r="A10">
            <v>9</v>
          </cell>
          <cell r="B10" t="str">
            <v xml:space="preserve"> Nine</v>
          </cell>
        </row>
        <row r="11">
          <cell r="A11">
            <v>10</v>
          </cell>
          <cell r="B11" t="str">
            <v xml:space="preserve"> Ten</v>
          </cell>
        </row>
        <row r="12">
          <cell r="A12">
            <v>11</v>
          </cell>
          <cell r="B12" t="str">
            <v xml:space="preserve"> Eleven</v>
          </cell>
        </row>
        <row r="13">
          <cell r="A13">
            <v>12</v>
          </cell>
          <cell r="B13" t="str">
            <v xml:space="preserve"> Twelve</v>
          </cell>
        </row>
        <row r="14">
          <cell r="A14">
            <v>13</v>
          </cell>
          <cell r="B14" t="str">
            <v xml:space="preserve"> Thirteen</v>
          </cell>
        </row>
        <row r="15">
          <cell r="A15">
            <v>14</v>
          </cell>
          <cell r="B15" t="str">
            <v xml:space="preserve"> Fourteen</v>
          </cell>
        </row>
        <row r="16">
          <cell r="A16">
            <v>15</v>
          </cell>
          <cell r="B16" t="str">
            <v xml:space="preserve"> Fifteen</v>
          </cell>
        </row>
        <row r="17">
          <cell r="A17">
            <v>16</v>
          </cell>
          <cell r="B17" t="str">
            <v xml:space="preserve"> Sixteen</v>
          </cell>
        </row>
        <row r="18">
          <cell r="A18">
            <v>17</v>
          </cell>
          <cell r="B18" t="str">
            <v xml:space="preserve"> Seventeen</v>
          </cell>
        </row>
        <row r="19">
          <cell r="A19">
            <v>18</v>
          </cell>
          <cell r="B19" t="str">
            <v xml:space="preserve"> Eighteen</v>
          </cell>
        </row>
        <row r="20">
          <cell r="A20">
            <v>19</v>
          </cell>
          <cell r="B20" t="str">
            <v xml:space="preserve"> Ninteen</v>
          </cell>
        </row>
        <row r="21">
          <cell r="A21">
            <v>20</v>
          </cell>
          <cell r="B21" t="str">
            <v xml:space="preserve"> Twenty </v>
          </cell>
        </row>
        <row r="22">
          <cell r="A22">
            <v>21</v>
          </cell>
          <cell r="B22" t="str">
            <v xml:space="preserve"> Twenty One</v>
          </cell>
        </row>
        <row r="23">
          <cell r="A23">
            <v>22</v>
          </cell>
          <cell r="B23" t="str">
            <v xml:space="preserve"> Twenty Two</v>
          </cell>
        </row>
        <row r="24">
          <cell r="A24">
            <v>23</v>
          </cell>
          <cell r="B24" t="str">
            <v xml:space="preserve"> Twenty Three</v>
          </cell>
        </row>
        <row r="25">
          <cell r="A25">
            <v>24</v>
          </cell>
          <cell r="B25" t="str">
            <v xml:space="preserve"> Twenty Four</v>
          </cell>
        </row>
        <row r="26">
          <cell r="A26">
            <v>25</v>
          </cell>
          <cell r="B26" t="str">
            <v xml:space="preserve"> Twenty Five</v>
          </cell>
        </row>
        <row r="27">
          <cell r="A27">
            <v>26</v>
          </cell>
          <cell r="B27" t="str">
            <v xml:space="preserve"> Twenty Six</v>
          </cell>
        </row>
        <row r="28">
          <cell r="A28">
            <v>27</v>
          </cell>
          <cell r="B28" t="str">
            <v xml:space="preserve"> Twenty Seven</v>
          </cell>
        </row>
        <row r="29">
          <cell r="A29">
            <v>28</v>
          </cell>
          <cell r="B29" t="str">
            <v xml:space="preserve"> Twenty Eight</v>
          </cell>
        </row>
        <row r="30">
          <cell r="A30">
            <v>29</v>
          </cell>
          <cell r="B30" t="str">
            <v xml:space="preserve"> Twenty Nine</v>
          </cell>
        </row>
        <row r="31">
          <cell r="A31">
            <v>30</v>
          </cell>
          <cell r="B31" t="str">
            <v xml:space="preserve"> Thirty</v>
          </cell>
        </row>
        <row r="32">
          <cell r="A32">
            <v>31</v>
          </cell>
          <cell r="B32" t="str">
            <v xml:space="preserve"> Thirty One</v>
          </cell>
        </row>
        <row r="33">
          <cell r="A33">
            <v>32</v>
          </cell>
          <cell r="B33" t="str">
            <v xml:space="preserve"> Thirty Two</v>
          </cell>
        </row>
        <row r="34">
          <cell r="A34">
            <v>33</v>
          </cell>
          <cell r="B34" t="str">
            <v xml:space="preserve"> Thirty Three</v>
          </cell>
        </row>
        <row r="35">
          <cell r="A35">
            <v>34</v>
          </cell>
          <cell r="B35" t="str">
            <v xml:space="preserve"> Thirty Four</v>
          </cell>
        </row>
        <row r="36">
          <cell r="A36">
            <v>35</v>
          </cell>
          <cell r="B36" t="str">
            <v xml:space="preserve"> Thirty Five</v>
          </cell>
        </row>
        <row r="37">
          <cell r="A37">
            <v>36</v>
          </cell>
          <cell r="B37" t="str">
            <v xml:space="preserve"> Thirty Six</v>
          </cell>
        </row>
        <row r="38">
          <cell r="A38">
            <v>37</v>
          </cell>
          <cell r="B38" t="str">
            <v xml:space="preserve"> Thirty Seven</v>
          </cell>
        </row>
        <row r="39">
          <cell r="A39">
            <v>38</v>
          </cell>
          <cell r="B39" t="str">
            <v xml:space="preserve"> Thirty Eight</v>
          </cell>
        </row>
        <row r="40">
          <cell r="A40">
            <v>39</v>
          </cell>
          <cell r="B40" t="str">
            <v xml:space="preserve"> Thirty Nine</v>
          </cell>
        </row>
        <row r="41">
          <cell r="A41">
            <v>40</v>
          </cell>
          <cell r="B41" t="str">
            <v xml:space="preserve"> Forty</v>
          </cell>
        </row>
        <row r="42">
          <cell r="A42">
            <v>41</v>
          </cell>
          <cell r="B42" t="str">
            <v xml:space="preserve"> Forty One</v>
          </cell>
        </row>
        <row r="43">
          <cell r="A43">
            <v>42</v>
          </cell>
          <cell r="B43" t="str">
            <v xml:space="preserve"> Forty Two</v>
          </cell>
        </row>
        <row r="44">
          <cell r="A44">
            <v>43</v>
          </cell>
          <cell r="B44" t="str">
            <v xml:space="preserve"> Forty Three</v>
          </cell>
        </row>
        <row r="45">
          <cell r="A45">
            <v>44</v>
          </cell>
          <cell r="B45" t="str">
            <v xml:space="preserve"> Forty Four</v>
          </cell>
        </row>
        <row r="46">
          <cell r="A46">
            <v>45</v>
          </cell>
          <cell r="B46" t="str">
            <v xml:space="preserve"> Forty Five</v>
          </cell>
        </row>
        <row r="47">
          <cell r="A47">
            <v>46</v>
          </cell>
          <cell r="B47" t="str">
            <v xml:space="preserve"> Forty Six</v>
          </cell>
        </row>
        <row r="48">
          <cell r="A48">
            <v>47</v>
          </cell>
          <cell r="B48" t="str">
            <v xml:space="preserve"> Forty Seven</v>
          </cell>
        </row>
        <row r="49">
          <cell r="A49">
            <v>48</v>
          </cell>
          <cell r="B49" t="str">
            <v xml:space="preserve"> Forty Eight</v>
          </cell>
        </row>
        <row r="50">
          <cell r="A50">
            <v>49</v>
          </cell>
          <cell r="B50" t="str">
            <v xml:space="preserve"> Forty Nine</v>
          </cell>
        </row>
        <row r="51">
          <cell r="A51">
            <v>50</v>
          </cell>
          <cell r="B51" t="str">
            <v xml:space="preserve"> Fifty</v>
          </cell>
        </row>
        <row r="52">
          <cell r="A52">
            <v>51</v>
          </cell>
          <cell r="B52" t="str">
            <v xml:space="preserve"> Fifty One</v>
          </cell>
        </row>
        <row r="53">
          <cell r="A53">
            <v>52</v>
          </cell>
          <cell r="B53" t="str">
            <v xml:space="preserve"> Fifty Two</v>
          </cell>
        </row>
        <row r="54">
          <cell r="A54">
            <v>53</v>
          </cell>
          <cell r="B54" t="str">
            <v xml:space="preserve"> Fifty Three</v>
          </cell>
        </row>
        <row r="55">
          <cell r="A55">
            <v>54</v>
          </cell>
          <cell r="B55" t="str">
            <v xml:space="preserve"> Fifty Four</v>
          </cell>
        </row>
        <row r="56">
          <cell r="A56">
            <v>55</v>
          </cell>
          <cell r="B56" t="str">
            <v xml:space="preserve"> Fifty Five</v>
          </cell>
        </row>
        <row r="57">
          <cell r="A57">
            <v>56</v>
          </cell>
          <cell r="B57" t="str">
            <v xml:space="preserve"> Fifty Six</v>
          </cell>
        </row>
        <row r="58">
          <cell r="A58">
            <v>57</v>
          </cell>
          <cell r="B58" t="str">
            <v xml:space="preserve"> Fifty Seven</v>
          </cell>
        </row>
        <row r="59">
          <cell r="A59">
            <v>58</v>
          </cell>
          <cell r="B59" t="str">
            <v xml:space="preserve"> Fifty Eight</v>
          </cell>
        </row>
        <row r="60">
          <cell r="A60">
            <v>59</v>
          </cell>
          <cell r="B60" t="str">
            <v xml:space="preserve"> Fifty Nine</v>
          </cell>
        </row>
        <row r="61">
          <cell r="A61">
            <v>60</v>
          </cell>
          <cell r="B61" t="str">
            <v xml:space="preserve"> Sixty</v>
          </cell>
        </row>
        <row r="62">
          <cell r="A62">
            <v>61</v>
          </cell>
          <cell r="B62" t="str">
            <v xml:space="preserve"> Sixty One</v>
          </cell>
        </row>
        <row r="63">
          <cell r="A63">
            <v>62</v>
          </cell>
          <cell r="B63" t="str">
            <v xml:space="preserve"> Sixty Two</v>
          </cell>
        </row>
        <row r="64">
          <cell r="A64">
            <v>63</v>
          </cell>
          <cell r="B64" t="str">
            <v xml:space="preserve"> Sixty Three</v>
          </cell>
        </row>
        <row r="65">
          <cell r="A65">
            <v>64</v>
          </cell>
          <cell r="B65" t="str">
            <v xml:space="preserve"> Sixty Four</v>
          </cell>
        </row>
        <row r="66">
          <cell r="A66">
            <v>65</v>
          </cell>
          <cell r="B66" t="str">
            <v xml:space="preserve"> Sixty Five</v>
          </cell>
        </row>
        <row r="67">
          <cell r="A67">
            <v>66</v>
          </cell>
          <cell r="B67" t="str">
            <v xml:space="preserve"> Sixty Six</v>
          </cell>
        </row>
        <row r="68">
          <cell r="A68">
            <v>67</v>
          </cell>
          <cell r="B68" t="str">
            <v xml:space="preserve"> Sixty Seven</v>
          </cell>
        </row>
        <row r="69">
          <cell r="A69">
            <v>68</v>
          </cell>
          <cell r="B69" t="str">
            <v xml:space="preserve"> Sixty Eight</v>
          </cell>
        </row>
        <row r="70">
          <cell r="A70">
            <v>69</v>
          </cell>
          <cell r="B70" t="str">
            <v xml:space="preserve"> Sixty Nine</v>
          </cell>
        </row>
        <row r="71">
          <cell r="A71">
            <v>70</v>
          </cell>
          <cell r="B71" t="str">
            <v xml:space="preserve"> Seventy</v>
          </cell>
        </row>
        <row r="72">
          <cell r="A72">
            <v>71</v>
          </cell>
          <cell r="B72" t="str">
            <v xml:space="preserve"> Seventy One</v>
          </cell>
        </row>
        <row r="73">
          <cell r="A73">
            <v>72</v>
          </cell>
          <cell r="B73" t="str">
            <v xml:space="preserve"> Seventy Two</v>
          </cell>
        </row>
        <row r="74">
          <cell r="A74">
            <v>73</v>
          </cell>
          <cell r="B74" t="str">
            <v xml:space="preserve"> Seventy Three</v>
          </cell>
        </row>
        <row r="75">
          <cell r="A75">
            <v>74</v>
          </cell>
          <cell r="B75" t="str">
            <v xml:space="preserve"> Seventy Four</v>
          </cell>
        </row>
        <row r="76">
          <cell r="A76">
            <v>75</v>
          </cell>
          <cell r="B76" t="str">
            <v xml:space="preserve"> Seventy Five</v>
          </cell>
        </row>
        <row r="77">
          <cell r="A77">
            <v>76</v>
          </cell>
          <cell r="B77" t="str">
            <v xml:space="preserve"> Seventy Six </v>
          </cell>
        </row>
        <row r="78">
          <cell r="A78">
            <v>77</v>
          </cell>
          <cell r="B78" t="str">
            <v xml:space="preserve"> Seventy Seven</v>
          </cell>
        </row>
        <row r="79">
          <cell r="A79">
            <v>78</v>
          </cell>
          <cell r="B79" t="str">
            <v xml:space="preserve"> Seventy Eight</v>
          </cell>
        </row>
        <row r="80">
          <cell r="A80">
            <v>79</v>
          </cell>
          <cell r="B80" t="str">
            <v xml:space="preserve"> Seventy Nine</v>
          </cell>
        </row>
        <row r="81">
          <cell r="A81">
            <v>80</v>
          </cell>
          <cell r="B81" t="str">
            <v xml:space="preserve"> Eighty</v>
          </cell>
        </row>
        <row r="82">
          <cell r="A82">
            <v>81</v>
          </cell>
          <cell r="B82" t="str">
            <v xml:space="preserve"> Eighty One</v>
          </cell>
        </row>
        <row r="83">
          <cell r="A83">
            <v>82</v>
          </cell>
          <cell r="B83" t="str">
            <v xml:space="preserve"> Eighty Two</v>
          </cell>
        </row>
        <row r="84">
          <cell r="A84">
            <v>83</v>
          </cell>
          <cell r="B84" t="str">
            <v xml:space="preserve"> Eighty Three</v>
          </cell>
        </row>
        <row r="85">
          <cell r="A85">
            <v>84</v>
          </cell>
          <cell r="B85" t="str">
            <v xml:space="preserve"> Eighty Four</v>
          </cell>
        </row>
        <row r="86">
          <cell r="A86">
            <v>85</v>
          </cell>
          <cell r="B86" t="str">
            <v xml:space="preserve"> Eighty Five</v>
          </cell>
        </row>
        <row r="87">
          <cell r="A87">
            <v>86</v>
          </cell>
          <cell r="B87" t="str">
            <v xml:space="preserve"> Eighty Six</v>
          </cell>
        </row>
        <row r="88">
          <cell r="A88">
            <v>87</v>
          </cell>
          <cell r="B88" t="str">
            <v xml:space="preserve"> Eighty Seven</v>
          </cell>
        </row>
        <row r="89">
          <cell r="A89">
            <v>88</v>
          </cell>
          <cell r="B89" t="str">
            <v xml:space="preserve"> Eighty Eight</v>
          </cell>
        </row>
        <row r="90">
          <cell r="A90">
            <v>89</v>
          </cell>
          <cell r="B90" t="str">
            <v xml:space="preserve"> Eighty Nine</v>
          </cell>
        </row>
        <row r="91">
          <cell r="A91">
            <v>90</v>
          </cell>
          <cell r="B91" t="str">
            <v xml:space="preserve"> Ninety</v>
          </cell>
        </row>
        <row r="92">
          <cell r="A92">
            <v>91</v>
          </cell>
          <cell r="B92" t="str">
            <v xml:space="preserve"> Ninety One</v>
          </cell>
        </row>
        <row r="93">
          <cell r="A93">
            <v>92</v>
          </cell>
          <cell r="B93" t="str">
            <v xml:space="preserve"> Ninety Two</v>
          </cell>
        </row>
        <row r="94">
          <cell r="A94">
            <v>93</v>
          </cell>
          <cell r="B94" t="str">
            <v xml:space="preserve"> Ninety Three</v>
          </cell>
        </row>
        <row r="95">
          <cell r="A95">
            <v>94</v>
          </cell>
          <cell r="B95" t="str">
            <v xml:space="preserve"> Ninety Four</v>
          </cell>
        </row>
        <row r="96">
          <cell r="A96">
            <v>95</v>
          </cell>
          <cell r="B96" t="str">
            <v xml:space="preserve"> Ninety Five</v>
          </cell>
        </row>
        <row r="97">
          <cell r="A97">
            <v>96</v>
          </cell>
          <cell r="B97" t="str">
            <v xml:space="preserve"> Ninety Six</v>
          </cell>
        </row>
        <row r="98">
          <cell r="A98">
            <v>97</v>
          </cell>
          <cell r="B98" t="str">
            <v xml:space="preserve"> Ninety Seven</v>
          </cell>
        </row>
        <row r="99">
          <cell r="A99">
            <v>98</v>
          </cell>
          <cell r="B99" t="str">
            <v xml:space="preserve"> Ninety Eight</v>
          </cell>
        </row>
        <row r="100">
          <cell r="A100">
            <v>99</v>
          </cell>
          <cell r="B100" t="str">
            <v xml:space="preserve"> Ninety Nine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m1"/>
      <sheetName val="est"/>
      <sheetName val="she"/>
      <sheetName val="m4"/>
    </sheetNames>
    <sheetDataSet>
      <sheetData sheetId="0"/>
      <sheetData sheetId="1"/>
      <sheetData sheetId="2"/>
      <sheetData sheetId="3"/>
      <sheetData sheetId="4"/>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m1"/>
      <sheetName val="est"/>
      <sheetName val="she"/>
      <sheetName val="m4"/>
      <sheetName val="Labour"/>
      <sheetName val="Material"/>
      <sheetName val="Plant &amp;  Machinery"/>
      <sheetName val="ppraodata"/>
      <sheetName val="splmidata"/>
    </sheetNames>
    <sheetDataSet>
      <sheetData sheetId="0" refreshError="1">
        <row r="2">
          <cell r="A2" t="str">
            <v>Name of work: BT to road from Chennavaram to Mallavaram (via) Vutukuru.</v>
          </cell>
        </row>
      </sheetData>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port"/>
      <sheetName val="Est"/>
      <sheetName val="QryMap"/>
      <sheetName val="Leads"/>
      <sheetName val="RMR"/>
      <sheetName val="Data"/>
      <sheetName val="RATES"/>
    </sheetNames>
    <sheetDataSet>
      <sheetData sheetId="0"/>
      <sheetData sheetId="1" refreshError="1"/>
      <sheetData sheetId="2" refreshError="1"/>
      <sheetData sheetId="3"/>
      <sheetData sheetId="4"/>
      <sheetData sheetId="5"/>
      <sheetData sheetId="6"/>
      <sheetData sheetId="7"/>
      <sheetData sheetId="8"/>
      <sheetData sheetId="9"/>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put"/>
      <sheetName val="REPORT"/>
      <sheetName val="COVER"/>
      <sheetName val="Detailed Estimate"/>
      <sheetName val="Hydraulic Design (Pipe)"/>
      <sheetName val="Upstream Wing"/>
      <sheetName val="Downstream Wing "/>
      <sheetName val="Upstream Return"/>
      <sheetName val="Downstream Return "/>
      <sheetName val="Hydraulic Design (Barrel)"/>
      <sheetName val="Hydraulic Design _Pipe_"/>
      <sheetName val="structures"/>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put"/>
      <sheetName val="REPORT"/>
      <sheetName val="COVER"/>
      <sheetName val="Detailed Estimate"/>
      <sheetName val="Hydraulic Design (Pipe)"/>
      <sheetName val="Upstream Wing"/>
      <sheetName val="Downstream Wing "/>
      <sheetName val="Upstream Return"/>
      <sheetName val="Downstream Return "/>
      <sheetName val="Hydraulic Design (Barrel)"/>
      <sheetName val="Hydraulic Design _Pipe_"/>
    </sheetNames>
    <sheetDataSet>
      <sheetData sheetId="0"/>
      <sheetData sheetId="1"/>
      <sheetData sheetId="2"/>
      <sheetData sheetId="3"/>
      <sheetData sheetId="4"/>
      <sheetData sheetId="5" refreshError="1">
        <row r="29">
          <cell r="B29">
            <v>20</v>
          </cell>
        </row>
      </sheetData>
      <sheetData sheetId="6"/>
      <sheetData sheetId="7"/>
      <sheetData sheetId="8"/>
      <sheetData sheetId="9"/>
      <sheetData sheetId="10"/>
      <sheetData sheetId="1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31)"/>
      <sheetName val="Gen-Abs (2)"/>
      <sheetName val="WS-dtailed"/>
      <sheetName val="ws-det-est"/>
      <sheetName val="ELECL"/>
      <sheetName val="Det-est"/>
      <sheetName val="ws-abs"/>
      <sheetName val="ws-data"/>
      <sheetName val="Gen-Abs"/>
      <sheetName val="Abs-est"/>
      <sheetName val="Data-civil"/>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 (31)"/>
      <sheetName val="Gen-Abs (2)"/>
      <sheetName val="WS-dtailed"/>
      <sheetName val="ws-det-est"/>
      <sheetName val="ELECL"/>
      <sheetName val="Det-est"/>
      <sheetName val="ws-abs"/>
      <sheetName val="ws-data"/>
      <sheetName val="Gen-Abs"/>
      <sheetName val="Abs-est"/>
      <sheetName val="Data-civil"/>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rpt"/>
      <sheetName val="CS"/>
      <sheetName val="GA"/>
      <sheetName val="WE ROAD"/>
      <sheetName val="HP"/>
      <sheetName val="SLAB 1V 6.00 m"/>
      <sheetName val="DRAIN"/>
      <sheetName val="slab 2V of 6.00m span"/>
      <sheetName val="Retaining wall"/>
      <sheetName val="Seiniorage charges"/>
      <sheetName val="ROAD DATA"/>
      <sheetName val="Stone masonry 1st sort-Data"/>
      <sheetName val="Dressing stone"/>
      <sheetName val="HP PIPE  DATA"/>
      <sheetName val="SLAB  DATA"/>
      <sheetName val="Lead  "/>
      <sheetName val="lead chart"/>
      <sheetName val="BTR (2)"/>
      <sheetName val="RMR"/>
      <sheetName val="RATES"/>
      <sheetName val="Sheet1"/>
      <sheetName val="DRAINS DATA"/>
      <sheetName val="6m dRG"/>
      <sheetName val="Sheet2"/>
      <sheetName val="Cs1 (2)"/>
      <sheetName val="Cs1 (3)"/>
      <sheetName val="drain drg (3)"/>
      <sheetName val="Certificates (2)"/>
      <sheetName val="Certificate"/>
      <sheetName val="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3R800"/>
      <sheetName val="Ret wall"/>
      <sheetName val="Road data"/>
      <sheetName val="BTR"/>
      <sheetName val="RMR"/>
      <sheetName val="certificates"/>
      <sheetName val="mlead"/>
      <sheetName val="m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79">
          <cell r="C79" t="str">
            <v>Picking old metalled surface to a depth of 40 mm to 100 mm and sectioning including all labour and incidental charges complete for finished item of work and as directed by the Engineer-in-Charge.</v>
          </cell>
        </row>
        <row r="88">
          <cell r="K88">
            <v>1.6</v>
          </cell>
        </row>
      </sheetData>
      <sheetData sheetId="13" refreshError="1"/>
      <sheetData sheetId="14" refreshError="1"/>
      <sheetData sheetId="15" refreshError="1"/>
      <sheetData sheetId="16" refreshError="1"/>
      <sheetData sheetId="17"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arma"/>
      <sheetName val="gnut"/>
      <sheetName val="maize"/>
      <sheetName val="jawar"/>
      <sheetName val="PADDY"/>
      <sheetName val="capacitytable"/>
      <sheetName val="total_demand"/>
      <sheetName val="yielddist"/>
      <sheetName val="RGMTBL"/>
      <sheetName val="surplus"/>
      <sheetName val="rainfall"/>
      <sheetName val="Sheet1"/>
      <sheetName val="GABcnls"/>
      <sheetName val="ABSTAWCNAL"/>
      <sheetName val="AB2vslb"/>
      <sheetName val="AB2vput"/>
      <sheetName val="SMRYQTYBND"/>
      <sheetName val="abstractbnd"/>
      <sheetName val="abstr_sluice"/>
      <sheetName val="Abstrtsrpls"/>
      <sheetName val="Abstrtweir"/>
      <sheetName val="GEN_abstrct"/>
      <sheetName val="S_PURAM"/>
      <sheetName val="canalcutng"/>
      <sheetName val="canal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XXXXXXXXXXXXX"/>
      <sheetName val="XXXXXXXXXXXX0"/>
      <sheetName val="design"/>
      <sheetName val="Lead"/>
      <sheetName val="Data"/>
      <sheetName val="est "/>
      <sheetName val="Levels"/>
    </sheetNames>
    <sheetDataSet>
      <sheetData sheetId="0"/>
      <sheetData sheetId="1"/>
      <sheetData sheetId="2"/>
      <sheetData sheetId="3"/>
      <sheetData sheetId="4"/>
      <sheetData sheetId="5"/>
      <sheetData sheetId="6"/>
      <sheetData sheetId="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addam"/>
      <sheetName val="rdamdata"/>
      <sheetName val="CDdata (2)"/>
      <sheetName val="1v600stone"/>
      <sheetName val="2v900stone"/>
      <sheetName val="3v900stone"/>
      <sheetName val="CDdata"/>
      <sheetName val="F7hp600"/>
      <sheetName val="1v900"/>
      <sheetName val="cwaydata (2)"/>
      <sheetName val="LLCWay"/>
      <sheetName val="1v900stone"/>
      <sheetName val="lead-st"/>
      <sheetName val="CDdata (3)"/>
      <sheetName val="F7hp1v900"/>
      <sheetName val="F7hp2v900"/>
      <sheetName val="F7hp3v900"/>
      <sheetName val="Hydra"/>
      <sheetName val="Levels"/>
      <sheetName val="Note"/>
      <sheetName val="aug,0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row r="12">
          <cell r="L12">
            <v>360</v>
          </cell>
        </row>
      </sheetData>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 esti"/>
      <sheetName val="wor - toil"/>
      <sheetName val="Cover_Sheet (2)"/>
      <sheetName val="toilet"/>
      <sheetName val="Check_Slip"/>
      <sheetName val="Misc"/>
      <sheetName val="Data_Base"/>
      <sheetName val="quarry"/>
      <sheetName val="Templates"/>
      <sheetName val="Cover_Sheet"/>
      <sheetName val="Sp_Report"/>
      <sheetName val="Estimate"/>
      <sheetName val="Lead"/>
      <sheetName val="Conveyance_Rates"/>
      <sheetName val="Conveyance_Table"/>
      <sheetName val="Est_amt_text"/>
      <sheetName val="Data"/>
      <sheetName val="Labour_Charges"/>
      <sheetName val="Labour_Charges(detl)"/>
      <sheetName val="Specification"/>
      <sheetName val="Core_S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R"/>
      <sheetName val="Road Abst."/>
      <sheetName val="CD works Abst."/>
      <sheetName val="CC drains Abst."/>
      <sheetName val="Road Detail Est."/>
      <sheetName val="CD works detail Est."/>
      <sheetName val="CC drains detail Est."/>
      <sheetName val="Earth work Cal"/>
      <sheetName val="Earth Volume"/>
      <sheetName val="General Abst."/>
      <sheetName val="Lead Statement"/>
      <sheetName val="Road data"/>
      <sheetName val="CD works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R"/>
      <sheetName val="Road Abst."/>
      <sheetName val="CD works Abst."/>
      <sheetName val="CC drains Abst."/>
      <sheetName val="Road Detail Est."/>
      <sheetName val="CD works detail Est."/>
      <sheetName val="CC drains detail Est."/>
      <sheetName val="Earth work Cal"/>
      <sheetName val="Earth Volume"/>
      <sheetName val="General Abst."/>
      <sheetName val="Lead Statement"/>
      <sheetName val="Road data"/>
      <sheetName val="CD works data"/>
      <sheetName val="Lead"/>
      <sheetName val="quarry"/>
      <sheetName val="Labour"/>
      <sheetName val="Sheet1"/>
      <sheetName val="Estimate_Sl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CD-DATA"/>
      <sheetName val="F7-1v1000-0 (3)"/>
      <sheetName val="DATA"/>
      <sheetName val="F6-Estt"/>
      <sheetName val="ABST(PART B) "/>
      <sheetName val="F6-Gnrl Abstrt"/>
      <sheetName val="Cover-MEstt."/>
      <sheetName val="Road Detail Est."/>
      <sheetName val="Road data"/>
      <sheetName val="F7-1v1000-0_(3)"/>
      <sheetName val="ABST(PART_B)_"/>
      <sheetName val="F6-Gnrl_Abstrt"/>
      <sheetName val="Cover-MEstt_"/>
      <sheetName val="Levels"/>
      <sheetName val="r"/>
      <sheetName val="detls"/>
      <sheetName val="cert"/>
      <sheetName val="F7-1v1000-0_(3)1"/>
      <sheetName val="ABST(PART_B)_1"/>
      <sheetName val="F6-Gnrl_Abstrt1"/>
      <sheetName val="Cover-MEstt_1"/>
      <sheetName val="Road_Detail_Est_"/>
      <sheetName val="Road_data"/>
      <sheetName val="R_ad Detail Est."/>
      <sheetName val="leads"/>
      <sheetName val="rdamdata"/>
      <sheetName val="pvc-pipe-rates"/>
      <sheetName val="Specification"/>
      <sheetName val="Plant &amp;  Machinery"/>
      <sheetName val="sch"/>
      <sheetName val="RMR"/>
      <sheetName val="ssr-rates"/>
      <sheetName val="0000000000000"/>
      <sheetName val="R_Det"/>
      <sheetName val="Material"/>
      <sheetName val="Labour"/>
      <sheetName val="MRATES"/>
      <sheetName val="t_prsr"/>
      <sheetName val="wh"/>
      <sheetName val="int-Dia-pvc"/>
      <sheetName val="Input"/>
      <sheetName val="Rate"/>
      <sheetName val="LEAD STATEMENT"/>
      <sheetName val="_Yamanapalli to Mahamutharam (M"/>
      <sheetName val="maya"/>
      <sheetName val="quarry"/>
      <sheetName val="CABLE DATA"/>
      <sheetName val="m1"/>
      <sheetName val="lead-st"/>
      <sheetName val=" data sheet "/>
      <sheetName val="PVC_dia"/>
      <sheetName val="Cd"/>
      <sheetName val="Cs"/>
      <sheetName val="CPIPE"/>
      <sheetName val="THK"/>
      <sheetName val="CPIPE 1"/>
      <sheetName val="temp-SDData (2)"/>
      <sheetName val="coverpage"/>
      <sheetName val="Boq"/>
      <sheetName val="Bitumen trunk"/>
      <sheetName val="Feeder"/>
      <sheetName val="R99 etc"/>
      <sheetName val="Trunk unpaved"/>
      <sheetName val="Sheet1"/>
      <sheetName val="BWSCPlt"/>
      <sheetName val="CI"/>
      <sheetName val="DI"/>
      <sheetName val="G.R.P"/>
      <sheetName val="HDPE"/>
      <sheetName val="PSC REVISED"/>
      <sheetName val="pvc"/>
      <sheetName val="DATA SHEET"/>
      <sheetName val="PVC weights"/>
      <sheetName val="l"/>
      <sheetName val="1-Pop Proj"/>
      <sheetName val="1V of 2m slab"/>
      <sheetName val="2V of 3.0Mslab"/>
      <sheetName val="1V800"/>
      <sheetName val="Sheet2"/>
      <sheetName val="Common "/>
      <sheetName val="sand"/>
      <sheetName val="stone"/>
      <sheetName val="index"/>
      <sheetName val="pvc-rates"/>
      <sheetName val="v"/>
      <sheetName val="R_Det esst"/>
      <sheetName val="CD_All_No_"/>
      <sheetName val="GA"/>
      <sheetName val="m"/>
      <sheetName val="Rising Main"/>
      <sheetName val="COVER"/>
      <sheetName val="Line"/>
      <sheetName val="Staff Acco."/>
      <sheetName val="mlead"/>
      <sheetName val="_Yamanapalli_to_Mahamutharam__2"/>
      <sheetName val="Usage"/>
      <sheetName val="F7-1v1000-0_(3)2"/>
      <sheetName val="ABST(PART_B)_2"/>
      <sheetName val="F6-Gnrl_Abstrt2"/>
      <sheetName val="Cover-MEstt_2"/>
      <sheetName val="Road_Detail_Est_1"/>
      <sheetName val="Road_data1"/>
      <sheetName val="R_ad_Detail_Est_"/>
      <sheetName val="Plant_&amp;__Machinery"/>
      <sheetName val="F7-1v1000-0_(3)3"/>
      <sheetName val="ABST(PART_B)_3"/>
      <sheetName val="F6-Gnrl_Abstrt3"/>
      <sheetName val="Cover-MEstt_3"/>
      <sheetName val="Road_Detail_Est_2"/>
      <sheetName val="Road_data2"/>
      <sheetName val="R_ad_Detail_Est_1"/>
      <sheetName val="Plant_&amp;__Machinery1"/>
      <sheetName val="RECAPITULATION"/>
      <sheetName val="final abstract"/>
      <sheetName val="BOQ_Direct_selling cost"/>
      <sheetName val="Rate analysis"/>
      <sheetName val="GROUND FLOOR"/>
      <sheetName val="Sorted"/>
      <sheetName val="water-hammar-strenght"/>
      <sheetName val="WATER-HAMMER"/>
      <sheetName val="hdpe weights"/>
      <sheetName val="Nspt-smp-final-ORIGINAL"/>
      <sheetName val="Cable-data"/>
      <sheetName val="LEAD.2014-15 West"/>
      <sheetName val="MTC-estimate"/>
      <sheetName val="_Yamanapalli_to_Mahamutharam__3"/>
      <sheetName val="_Yamanapalli_to_Mahamutharam__4"/>
      <sheetName val="DATA_PRG"/>
      <sheetName val="Data.F8.BTR"/>
      <sheetName val="_Yamanapalli_to_Mahamutharam__5"/>
      <sheetName val="well-cap"/>
      <sheetName val="Data_Renuals"/>
      <sheetName val="p&amp;m"/>
      <sheetName val="BOXCELL"/>
      <sheetName val="BOXCULVERT"/>
      <sheetName val="Cut Fill"/>
      <sheetName val="FORM5"/>
      <sheetName val="Habitation"/>
      <sheetName val="Maintenance"/>
      <sheetName val="Proforma B"/>
      <sheetName val="RET "/>
      <sheetName val="TOE"/>
      <sheetName val="Traffic"/>
      <sheetName val="_Yamanapalli_to_Mahamutharam__6"/>
      <sheetName val="Specification report"/>
      <sheetName val="Road-furniture "/>
      <sheetName val="Estt"/>
      <sheetName val="Analy"/>
      <sheetName val="HDPE-pipe-rates"/>
      <sheetName val="id"/>
      <sheetName val="Lead Distance"/>
      <sheetName val="HS 1"/>
      <sheetName val="wh_data"/>
      <sheetName val="wh_data_R"/>
      <sheetName val="CPHEEO"/>
      <sheetName val="JAWAHAR-hyd-original"/>
      <sheetName val="LEAD (2)"/>
      <sheetName val="mas_hab"/>
      <sheetName val="habs-details"/>
      <sheetName val="int-Dia"/>
      <sheetName val="habs-list"/>
      <sheetName val="_Yamanapalli_to_Mahamutharam__7"/>
      <sheetName val="_Yamanapalli_to_Mahamutharam__8"/>
      <sheetName val="Analysis-NH-Roads"/>
      <sheetName val="TBAL9697 -group wise  sdpl"/>
      <sheetName val="Iocount"/>
      <sheetName val="DATA-BASE"/>
      <sheetName val="DATA-ABSTRACT"/>
      <sheetName val="SSR 2014-15 Rates"/>
      <sheetName val="hyperstatic"/>
      <sheetName val="ANALYSIS"/>
      <sheetName val="mroad data"/>
      <sheetName val="abs"/>
      <sheetName val="PM&amp;GM"/>
      <sheetName val="pop"/>
      <sheetName val="Data "/>
      <sheetName val="int-Dia-hdpe"/>
      <sheetName val="_Yamanapalli_to_Mahamutharam__9"/>
      <sheetName val="_Yamanapalli_to_Mahamutharam_10"/>
      <sheetName val="_Yamanapalli_to_Mahamutharam_11"/>
      <sheetName val="CBL_SIZE"/>
      <sheetName val="Load List"/>
      <sheetName val="CBL_OD"/>
      <sheetName val="MRMECADAMoad data"/>
      <sheetName val="road est"/>
      <sheetName val="Schedule"/>
      <sheetName val="LOCAL RATES"/>
      <sheetName val="Lead 09-10"/>
      <sheetName val="PUMP_DATA"/>
      <sheetName val="Detailed"/>
      <sheetName val="R/ad Detail Est."/>
      <sheetName val="[Yamanapalli to Mahamutharam (M"/>
      <sheetName val="R/ad_Detail_Est_"/>
      <sheetName val="R/ad_Detail_Est_1"/>
      <sheetName val="Sheet1 (2)"/>
      <sheetName val="ewst"/>
      <sheetName val="11.habitations"/>
      <sheetName val="AV-HDPE"/>
      <sheetName val="Di_gate-HDPE"/>
      <sheetName val="Data-ELSR"/>
      <sheetName val="WORDS"/>
      <sheetName val="AV_AC"/>
      <sheetName val="di_Gate_AC"/>
      <sheetName val="Digate-BWSCP-MS"/>
      <sheetName val="DI_gate_di"/>
      <sheetName val="Sheet9"/>
      <sheetName val="Main sheet"/>
      <sheetName val="BLD-ELEC-13-4"/>
      <sheetName val="dump"/>
      <sheetName val="strong stylecolor blueDate Wise"/>
      <sheetName val="lead charges"/>
      <sheetName val="Basic Data"/>
      <sheetName val="Daily Wages of Crew"/>
      <sheetName val="Fuel"/>
      <sheetName val="Hire Charges"/>
      <sheetName val="lead statetment"/>
      <sheetName val="Hire"/>
      <sheetName val="lead details"/>
      <sheetName val="MHNO_LEV"/>
      <sheetName val="not req 3"/>
      <sheetName val="GN-ST-10"/>
      <sheetName val="labour &amp; Centering"/>
      <sheetName val="factors"/>
      <sheetName val="Summary"/>
      <sheetName val="BTR"/>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INDEX DATA"/>
      <sheetName val="LATEST DATA"/>
      <sheetName val="lead"/>
      <sheetName val="(-) lead"/>
      <sheetName val="INPUT"/>
      <sheetName val="SC"/>
      <sheetName val="Workslip"/>
      <sheetName val="WD com.stt."/>
      <sheetName val="dee ins"/>
      <sheetName val="cover"/>
      <sheetName val="check slip"/>
      <sheetName val="ee ins"/>
      <sheetName val="REPORT"/>
      <sheetName val="ee joint"/>
      <sheetName val="abs 1.5-2.0"/>
      <sheetName val="DET 1.5-2.0"/>
      <sheetName val="abs 1.5-1.5"/>
      <sheetName val="CS 1.5-1.5"/>
      <sheetName val="CS 1.5-2.0"/>
      <sheetName val="CS OF PIPE"/>
      <sheetName val="CS OF 2 GW"/>
      <sheetName val="breach sec"/>
      <sheetName val="certificates"/>
      <sheetName val="2 pipes"/>
      <sheetName val="3 pipes"/>
      <sheetName val="1 guide wall"/>
      <sheetName val="gw 1"/>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abst"/>
      <sheetName val="report"/>
      <sheetName val="trialpit"/>
      <sheetName val="abstract"/>
      <sheetName val="detailed"/>
      <sheetName val="data_new"/>
      <sheetName val="lead-st"/>
      <sheetName val="v"/>
      <sheetName val="r"/>
      <sheetName val="l"/>
      <sheetName val="sectorwise"/>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abst"/>
      <sheetName val="report"/>
      <sheetName val="trialpit"/>
      <sheetName val="abstract"/>
      <sheetName val="detailed"/>
      <sheetName val="data_new"/>
      <sheetName val="lead-st"/>
      <sheetName val="v"/>
      <sheetName val="r"/>
      <sheetName val="l"/>
      <sheetName val="leads"/>
    </sheetNames>
    <sheetDataSet>
      <sheetData sheetId="0"/>
      <sheetData sheetId="1"/>
      <sheetData sheetId="2"/>
      <sheetData sheetId="3"/>
      <sheetData sheetId="4"/>
      <sheetData sheetId="5"/>
      <sheetData sheetId="6"/>
      <sheetData sheetId="7"/>
      <sheetData sheetId="8" refreshError="1">
        <row r="7">
          <cell r="F7">
            <v>91</v>
          </cell>
        </row>
      </sheetData>
      <sheetData sheetId="9"/>
      <sheetData sheetId="10"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XXXXXXXXX"/>
      <sheetName val="ABS-MODELS"/>
      <sheetName val="BT_Patch_works_BT_RC"/>
      <sheetName val="WMM_BT"/>
      <sheetName val="WBM_Patch_with_GRAVEL-BLINDAGE"/>
      <sheetName val="GRAVEL-BLINDAGE_WBM_Surface"/>
      <sheetName val="GSB-3Layrers"/>
      <sheetName val="GSB-2Layrers"/>
      <sheetName val="GSB-1Layer"/>
      <sheetName val="LEAD"/>
      <sheetName val="Data-Road "/>
      <sheetName val="Mtc-data"/>
      <sheetName val="DATA-CD"/>
      <sheetName val="Road-furniture"/>
      <sheetName val="Sheet4"/>
      <sheetName val="CD Abs"/>
      <sheetName val="Cd-qty-ws"/>
      <sheetName val="Gen Abs"/>
      <sheetName val="Det estt_Road"/>
      <sheetName val="Schedule-A"/>
      <sheetName val="ws"/>
      <sheetName val="NF"/>
      <sheetName val="MTC-ABS"/>
      <sheetName val="MTC-estimate"/>
      <sheetName val="Road Furniture-Data"/>
      <sheetName val="MTC-Table"/>
      <sheetName val="other rates"/>
      <sheetName val="Hire"/>
      <sheetName val="Conv"/>
      <sheetName val="NP3 pipes"/>
      <sheetName val="NP3 colla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0">
          <cell r="I20">
            <v>22</v>
          </cell>
        </row>
        <row r="21">
          <cell r="I21">
            <v>40</v>
          </cell>
        </row>
        <row r="22">
          <cell r="I22">
            <v>50</v>
          </cell>
        </row>
      </sheetData>
      <sheetData sheetId="28"/>
      <sheetData sheetId="29"/>
      <sheetData sheetId="30"/>
      <sheetData sheetId="3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charges"/>
      <sheetName val="User_guidelines"/>
      <sheetName val="select items_PMW"/>
      <sheetName val="select items_DAW"/>
      <sheetName val="select items_TAW"/>
      <sheetName val="select items_CAW"/>
      <sheetName val="select items_CCDW"/>
      <sheetName val="select items_GAW"/>
      <sheetName val="abstract_of_items"/>
      <sheetName val="Homepage"/>
      <sheetName val="estimate"/>
      <sheetName val="General Abstract"/>
      <sheetName val="Breach Filling"/>
      <sheetName val="final"/>
      <sheetName val="Note"/>
    </sheetNames>
    <sheetDataSet>
      <sheetData sheetId="0" refreshError="1"/>
      <sheetData sheetId="1" refreshError="1"/>
      <sheetData sheetId="2">
        <row r="20">
          <cell r="AO20">
            <v>14</v>
          </cell>
        </row>
        <row r="21">
          <cell r="AO21">
            <v>15</v>
          </cell>
        </row>
        <row r="22">
          <cell r="AO22" t="str">
            <v/>
          </cell>
        </row>
        <row r="23">
          <cell r="AO23" t="str">
            <v/>
          </cell>
        </row>
        <row r="24">
          <cell r="AO24" t="str">
            <v/>
          </cell>
        </row>
        <row r="25">
          <cell r="AO25" t="str">
            <v/>
          </cell>
        </row>
        <row r="26">
          <cell r="AO26" t="str">
            <v/>
          </cell>
        </row>
        <row r="27">
          <cell r="AO27" t="str">
            <v/>
          </cell>
        </row>
        <row r="28">
          <cell r="AO28" t="str">
            <v/>
          </cell>
        </row>
        <row r="29">
          <cell r="AO29" t="str">
            <v/>
          </cell>
        </row>
        <row r="30">
          <cell r="AO30" t="str">
            <v/>
          </cell>
        </row>
        <row r="31">
          <cell r="AO31" t="str">
            <v/>
          </cell>
        </row>
        <row r="32">
          <cell r="AO32" t="str">
            <v/>
          </cell>
        </row>
        <row r="33">
          <cell r="AO33" t="str">
            <v/>
          </cell>
        </row>
        <row r="34">
          <cell r="AO34" t="str">
            <v/>
          </cell>
        </row>
        <row r="35">
          <cell r="AO35" t="str">
            <v/>
          </cell>
        </row>
        <row r="36">
          <cell r="AO36" t="str">
            <v/>
          </cell>
        </row>
        <row r="37">
          <cell r="AO37" t="str">
            <v/>
          </cell>
        </row>
        <row r="38">
          <cell r="AO38" t="str">
            <v/>
          </cell>
        </row>
        <row r="39">
          <cell r="AO39" t="str">
            <v/>
          </cell>
        </row>
        <row r="40">
          <cell r="AO40" t="str">
            <v/>
          </cell>
        </row>
        <row r="41">
          <cell r="AO41" t="str">
            <v/>
          </cell>
        </row>
        <row r="42">
          <cell r="AO42" t="str">
            <v/>
          </cell>
        </row>
        <row r="43">
          <cell r="AO43" t="str">
            <v/>
          </cell>
        </row>
        <row r="44">
          <cell r="AO44" t="str">
            <v/>
          </cell>
        </row>
        <row r="45">
          <cell r="AO45" t="str">
            <v/>
          </cell>
        </row>
        <row r="46">
          <cell r="AO46" t="str">
            <v/>
          </cell>
        </row>
        <row r="47">
          <cell r="AO47" t="str">
            <v/>
          </cell>
        </row>
        <row r="48">
          <cell r="AO48" t="str">
            <v/>
          </cell>
        </row>
        <row r="49">
          <cell r="AO49" t="str">
            <v/>
          </cell>
        </row>
        <row r="50">
          <cell r="AO50" t="str">
            <v/>
          </cell>
        </row>
        <row r="51">
          <cell r="AO51" t="str">
            <v/>
          </cell>
        </row>
        <row r="52">
          <cell r="AO52" t="str">
            <v/>
          </cell>
        </row>
        <row r="53">
          <cell r="AO53" t="str">
            <v/>
          </cell>
        </row>
        <row r="54">
          <cell r="AO54" t="str">
            <v/>
          </cell>
        </row>
        <row r="55">
          <cell r="AO55" t="str">
            <v/>
          </cell>
        </row>
        <row r="56">
          <cell r="AO56" t="str">
            <v/>
          </cell>
        </row>
        <row r="57">
          <cell r="AO57" t="str">
            <v/>
          </cell>
        </row>
        <row r="58">
          <cell r="AO58" t="str">
            <v/>
          </cell>
        </row>
        <row r="59">
          <cell r="AO59" t="str">
            <v/>
          </cell>
        </row>
        <row r="60">
          <cell r="AO60" t="str">
            <v/>
          </cell>
        </row>
        <row r="61">
          <cell r="AO61" t="str">
            <v/>
          </cell>
        </row>
        <row r="62">
          <cell r="AO62" t="str">
            <v/>
          </cell>
        </row>
        <row r="63">
          <cell r="AO63" t="str">
            <v/>
          </cell>
        </row>
        <row r="64">
          <cell r="AO64" t="str">
            <v/>
          </cell>
        </row>
        <row r="65">
          <cell r="AO65" t="str">
            <v/>
          </cell>
        </row>
        <row r="66">
          <cell r="AO66" t="str">
            <v/>
          </cell>
        </row>
        <row r="67">
          <cell r="AO67" t="str">
            <v/>
          </cell>
        </row>
        <row r="68">
          <cell r="AO68" t="str">
            <v/>
          </cell>
        </row>
        <row r="69">
          <cell r="AO69" t="str">
            <v/>
          </cell>
        </row>
        <row r="70">
          <cell r="AO70" t="str">
            <v/>
          </cell>
        </row>
        <row r="71">
          <cell r="AO71" t="str">
            <v/>
          </cell>
        </row>
        <row r="72">
          <cell r="AO72" t="str">
            <v/>
          </cell>
        </row>
        <row r="73">
          <cell r="AO73" t="str">
            <v/>
          </cell>
        </row>
        <row r="74">
          <cell r="AO74" t="str">
            <v/>
          </cell>
        </row>
        <row r="75">
          <cell r="AO75" t="str">
            <v/>
          </cell>
        </row>
        <row r="76">
          <cell r="AO76" t="str">
            <v/>
          </cell>
        </row>
        <row r="77">
          <cell r="AO77" t="str">
            <v/>
          </cell>
        </row>
        <row r="78">
          <cell r="AO78" t="str">
            <v/>
          </cell>
        </row>
        <row r="79">
          <cell r="AO79" t="str">
            <v/>
          </cell>
        </row>
        <row r="80">
          <cell r="AO80" t="str">
            <v/>
          </cell>
        </row>
        <row r="81">
          <cell r="AO81" t="str">
            <v/>
          </cell>
        </row>
        <row r="82">
          <cell r="AO82" t="str">
            <v/>
          </cell>
        </row>
        <row r="83">
          <cell r="AO83" t="str">
            <v/>
          </cell>
        </row>
        <row r="84">
          <cell r="AO84" t="str">
            <v/>
          </cell>
        </row>
        <row r="85">
          <cell r="AO85" t="str">
            <v/>
          </cell>
        </row>
        <row r="86">
          <cell r="AO86" t="str">
            <v/>
          </cell>
        </row>
        <row r="87">
          <cell r="AO87" t="str">
            <v/>
          </cell>
        </row>
        <row r="88">
          <cell r="AO88" t="str">
            <v/>
          </cell>
        </row>
        <row r="89">
          <cell r="AO89" t="str">
            <v/>
          </cell>
        </row>
        <row r="90">
          <cell r="AO90" t="str">
            <v/>
          </cell>
        </row>
        <row r="91">
          <cell r="AO91" t="str">
            <v/>
          </cell>
        </row>
        <row r="92">
          <cell r="AO92" t="str">
            <v/>
          </cell>
        </row>
        <row r="93">
          <cell r="AO93" t="str">
            <v/>
          </cell>
        </row>
        <row r="94">
          <cell r="AO94" t="str">
            <v/>
          </cell>
        </row>
        <row r="95">
          <cell r="AO95" t="str">
            <v/>
          </cell>
        </row>
        <row r="96">
          <cell r="AO96" t="str">
            <v/>
          </cell>
        </row>
        <row r="97">
          <cell r="AO97" t="str">
            <v/>
          </cell>
        </row>
        <row r="98">
          <cell r="AO98" t="str">
            <v/>
          </cell>
        </row>
        <row r="99">
          <cell r="AO99" t="str">
            <v/>
          </cell>
        </row>
        <row r="100">
          <cell r="AO100" t="str">
            <v/>
          </cell>
        </row>
        <row r="101">
          <cell r="AO101" t="str">
            <v/>
          </cell>
        </row>
        <row r="102">
          <cell r="AO102" t="str">
            <v/>
          </cell>
        </row>
        <row r="103">
          <cell r="AO103" t="str">
            <v/>
          </cell>
        </row>
        <row r="104">
          <cell r="AO104" t="str">
            <v/>
          </cell>
        </row>
        <row r="105">
          <cell r="AO105" t="str">
            <v/>
          </cell>
        </row>
        <row r="106">
          <cell r="AO106" t="str">
            <v/>
          </cell>
        </row>
        <row r="107">
          <cell r="AO107" t="str">
            <v/>
          </cell>
        </row>
        <row r="108">
          <cell r="AO108" t="str">
            <v/>
          </cell>
        </row>
        <row r="109">
          <cell r="AO109" t="str">
            <v/>
          </cell>
        </row>
        <row r="110">
          <cell r="AO110" t="str">
            <v/>
          </cell>
        </row>
        <row r="111">
          <cell r="AO111" t="str">
            <v/>
          </cell>
        </row>
        <row r="112">
          <cell r="AO112" t="str">
            <v/>
          </cell>
        </row>
        <row r="113">
          <cell r="AO113" t="str">
            <v/>
          </cell>
        </row>
        <row r="114">
          <cell r="AO114" t="str">
            <v/>
          </cell>
        </row>
        <row r="115">
          <cell r="AO115" t="str">
            <v/>
          </cell>
        </row>
        <row r="116">
          <cell r="AO116" t="str">
            <v/>
          </cell>
        </row>
        <row r="117">
          <cell r="AO117" t="str">
            <v/>
          </cell>
        </row>
        <row r="118">
          <cell r="AO118" t="str">
            <v/>
          </cell>
        </row>
        <row r="119">
          <cell r="AO119" t="str">
            <v/>
          </cell>
        </row>
        <row r="120">
          <cell r="AO120" t="str">
            <v/>
          </cell>
        </row>
        <row r="121">
          <cell r="AO121" t="str">
            <v/>
          </cell>
        </row>
        <row r="122">
          <cell r="AO122" t="str">
            <v/>
          </cell>
        </row>
        <row r="123">
          <cell r="AO123" t="str">
            <v/>
          </cell>
        </row>
        <row r="124">
          <cell r="AO124" t="str">
            <v/>
          </cell>
        </row>
        <row r="125">
          <cell r="AO125" t="str">
            <v/>
          </cell>
        </row>
        <row r="126">
          <cell r="AO126" t="str">
            <v/>
          </cell>
        </row>
        <row r="127">
          <cell r="AO127" t="str">
            <v/>
          </cell>
        </row>
        <row r="128">
          <cell r="AO128" t="str">
            <v/>
          </cell>
        </row>
        <row r="129">
          <cell r="AO129" t="str">
            <v/>
          </cell>
        </row>
        <row r="130">
          <cell r="AO130" t="str">
            <v/>
          </cell>
        </row>
        <row r="131">
          <cell r="AO131" t="str">
            <v/>
          </cell>
        </row>
        <row r="132">
          <cell r="AO132" t="str">
            <v/>
          </cell>
        </row>
        <row r="133">
          <cell r="AO133" t="str">
            <v/>
          </cell>
        </row>
        <row r="134">
          <cell r="AO134" t="str">
            <v/>
          </cell>
        </row>
        <row r="135">
          <cell r="AO135" t="str">
            <v/>
          </cell>
        </row>
        <row r="136">
          <cell r="AO136" t="str">
            <v/>
          </cell>
        </row>
        <row r="137">
          <cell r="AO137" t="str">
            <v/>
          </cell>
        </row>
        <row r="138">
          <cell r="AO138" t="str">
            <v/>
          </cell>
        </row>
        <row r="139">
          <cell r="AO139" t="str">
            <v/>
          </cell>
        </row>
        <row r="140">
          <cell r="AO140" t="str">
            <v/>
          </cell>
        </row>
        <row r="141">
          <cell r="AO141" t="str">
            <v/>
          </cell>
        </row>
        <row r="142">
          <cell r="AO142" t="str">
            <v/>
          </cell>
        </row>
        <row r="143">
          <cell r="AO143" t="str">
            <v/>
          </cell>
        </row>
        <row r="144">
          <cell r="AO144" t="str">
            <v/>
          </cell>
        </row>
        <row r="145">
          <cell r="AO145" t="str">
            <v/>
          </cell>
        </row>
        <row r="146">
          <cell r="AO146" t="str">
            <v/>
          </cell>
        </row>
        <row r="147">
          <cell r="AO147" t="str">
            <v/>
          </cell>
        </row>
        <row r="148">
          <cell r="AO148" t="str">
            <v/>
          </cell>
        </row>
        <row r="149">
          <cell r="AO149" t="str">
            <v/>
          </cell>
        </row>
        <row r="150">
          <cell r="AO150" t="str">
            <v/>
          </cell>
        </row>
        <row r="151">
          <cell r="AO151" t="str">
            <v/>
          </cell>
        </row>
        <row r="152">
          <cell r="AO152" t="str">
            <v/>
          </cell>
        </row>
        <row r="153">
          <cell r="AO153" t="str">
            <v/>
          </cell>
        </row>
        <row r="154">
          <cell r="AO154" t="str">
            <v/>
          </cell>
        </row>
        <row r="155">
          <cell r="AO155" t="str">
            <v/>
          </cell>
        </row>
        <row r="156">
          <cell r="AO156" t="str">
            <v/>
          </cell>
        </row>
        <row r="157">
          <cell r="AO157" t="str">
            <v/>
          </cell>
        </row>
        <row r="158">
          <cell r="AO158" t="str">
            <v/>
          </cell>
        </row>
        <row r="159">
          <cell r="AO159" t="str">
            <v/>
          </cell>
        </row>
        <row r="160">
          <cell r="AO160" t="str">
            <v/>
          </cell>
        </row>
        <row r="161">
          <cell r="AO161" t="str">
            <v/>
          </cell>
        </row>
        <row r="162">
          <cell r="AO162" t="str">
            <v/>
          </cell>
        </row>
        <row r="163">
          <cell r="AO163" t="str">
            <v/>
          </cell>
        </row>
        <row r="164">
          <cell r="AO164" t="str">
            <v/>
          </cell>
        </row>
        <row r="165">
          <cell r="AO165" t="str">
            <v/>
          </cell>
        </row>
        <row r="166">
          <cell r="AO166" t="str">
            <v/>
          </cell>
        </row>
        <row r="167">
          <cell r="AO167" t="str">
            <v/>
          </cell>
        </row>
        <row r="168">
          <cell r="AO168" t="str">
            <v/>
          </cell>
        </row>
        <row r="169">
          <cell r="AO169" t="str">
            <v/>
          </cell>
        </row>
        <row r="170">
          <cell r="AO170" t="str">
            <v/>
          </cell>
        </row>
        <row r="171">
          <cell r="AO171" t="str">
            <v/>
          </cell>
        </row>
        <row r="172">
          <cell r="AO172" t="str">
            <v/>
          </cell>
        </row>
        <row r="173">
          <cell r="AO173" t="str">
            <v/>
          </cell>
        </row>
        <row r="174">
          <cell r="AO174" t="str">
            <v/>
          </cell>
        </row>
        <row r="175">
          <cell r="AO175" t="str">
            <v/>
          </cell>
        </row>
        <row r="176">
          <cell r="AO176" t="str">
            <v/>
          </cell>
        </row>
        <row r="177">
          <cell r="AO177" t="str">
            <v/>
          </cell>
        </row>
        <row r="178">
          <cell r="AO178" t="str">
            <v/>
          </cell>
        </row>
        <row r="179">
          <cell r="AO179" t="str">
            <v/>
          </cell>
        </row>
        <row r="180">
          <cell r="AO180" t="str">
            <v/>
          </cell>
        </row>
        <row r="181">
          <cell r="AO181" t="str">
            <v/>
          </cell>
        </row>
        <row r="182">
          <cell r="AO182" t="str">
            <v/>
          </cell>
        </row>
        <row r="183">
          <cell r="AO183" t="str">
            <v/>
          </cell>
        </row>
        <row r="184">
          <cell r="AO184" t="str">
            <v/>
          </cell>
        </row>
        <row r="185">
          <cell r="AO185" t="str">
            <v/>
          </cell>
        </row>
        <row r="186">
          <cell r="AO186" t="str">
            <v/>
          </cell>
        </row>
        <row r="187">
          <cell r="AO187" t="str">
            <v/>
          </cell>
        </row>
        <row r="188">
          <cell r="AO188" t="str">
            <v/>
          </cell>
        </row>
        <row r="189">
          <cell r="AO189" t="str">
            <v/>
          </cell>
        </row>
        <row r="190">
          <cell r="AO190" t="str">
            <v/>
          </cell>
        </row>
        <row r="191">
          <cell r="AO191" t="str">
            <v/>
          </cell>
        </row>
        <row r="192">
          <cell r="AO192" t="str">
            <v/>
          </cell>
        </row>
        <row r="193">
          <cell r="AO193" t="str">
            <v/>
          </cell>
        </row>
        <row r="194">
          <cell r="AO194" t="str">
            <v/>
          </cell>
        </row>
        <row r="195">
          <cell r="AO195" t="str">
            <v/>
          </cell>
        </row>
        <row r="196">
          <cell r="AO196" t="str">
            <v/>
          </cell>
        </row>
        <row r="197">
          <cell r="AO197" t="str">
            <v/>
          </cell>
        </row>
        <row r="198">
          <cell r="AO198" t="str">
            <v/>
          </cell>
        </row>
        <row r="199">
          <cell r="AO199" t="str">
            <v/>
          </cell>
        </row>
        <row r="200">
          <cell r="AO200" t="str">
            <v/>
          </cell>
        </row>
        <row r="201">
          <cell r="AO201" t="str">
            <v/>
          </cell>
        </row>
        <row r="202">
          <cell r="AO202" t="str">
            <v/>
          </cell>
        </row>
        <row r="203">
          <cell r="AO203" t="str">
            <v/>
          </cell>
        </row>
        <row r="204">
          <cell r="AO204" t="str">
            <v/>
          </cell>
        </row>
        <row r="205">
          <cell r="AO205" t="str">
            <v/>
          </cell>
        </row>
        <row r="206">
          <cell r="AO206" t="str">
            <v/>
          </cell>
        </row>
        <row r="207">
          <cell r="AO207" t="str">
            <v/>
          </cell>
        </row>
        <row r="208">
          <cell r="AO208" t="str">
            <v/>
          </cell>
        </row>
        <row r="209">
          <cell r="AO209" t="str">
            <v/>
          </cell>
        </row>
        <row r="210">
          <cell r="AO210" t="str">
            <v/>
          </cell>
        </row>
        <row r="211">
          <cell r="AO211" t="str">
            <v/>
          </cell>
        </row>
        <row r="212">
          <cell r="AO212" t="str">
            <v/>
          </cell>
        </row>
        <row r="213">
          <cell r="AO213" t="str">
            <v/>
          </cell>
        </row>
        <row r="214">
          <cell r="AO214" t="str">
            <v/>
          </cell>
        </row>
        <row r="215">
          <cell r="AO215" t="str">
            <v/>
          </cell>
        </row>
        <row r="216">
          <cell r="AO216" t="str">
            <v/>
          </cell>
        </row>
        <row r="217">
          <cell r="AO217" t="str">
            <v/>
          </cell>
        </row>
        <row r="218">
          <cell r="AO218" t="str">
            <v/>
          </cell>
        </row>
        <row r="219">
          <cell r="AO219" t="str">
            <v/>
          </cell>
        </row>
        <row r="220">
          <cell r="AO220" t="str">
            <v/>
          </cell>
        </row>
        <row r="221">
          <cell r="AO221" t="str">
            <v/>
          </cell>
        </row>
        <row r="222">
          <cell r="AO222" t="str">
            <v/>
          </cell>
        </row>
        <row r="223">
          <cell r="AO223" t="str">
            <v/>
          </cell>
        </row>
        <row r="224">
          <cell r="AO224" t="str">
            <v/>
          </cell>
        </row>
        <row r="225">
          <cell r="AO225" t="str">
            <v/>
          </cell>
        </row>
        <row r="226">
          <cell r="AO226" t="str">
            <v/>
          </cell>
        </row>
        <row r="227">
          <cell r="AO227" t="str">
            <v/>
          </cell>
        </row>
        <row r="228">
          <cell r="AO228" t="str">
            <v/>
          </cell>
        </row>
        <row r="229">
          <cell r="AO229" t="str">
            <v/>
          </cell>
        </row>
        <row r="230">
          <cell r="AO230" t="str">
            <v/>
          </cell>
        </row>
        <row r="231">
          <cell r="AO231" t="str">
            <v/>
          </cell>
        </row>
        <row r="232">
          <cell r="AO232" t="str">
            <v/>
          </cell>
        </row>
        <row r="233">
          <cell r="AO233" t="str">
            <v/>
          </cell>
        </row>
        <row r="234">
          <cell r="AO234" t="str">
            <v/>
          </cell>
        </row>
        <row r="235">
          <cell r="AO235" t="str">
            <v/>
          </cell>
        </row>
        <row r="236">
          <cell r="AO236" t="str">
            <v/>
          </cell>
        </row>
        <row r="237">
          <cell r="AO237" t="str">
            <v/>
          </cell>
        </row>
        <row r="238">
          <cell r="AO238" t="str">
            <v/>
          </cell>
        </row>
        <row r="239">
          <cell r="AO239" t="str">
            <v/>
          </cell>
        </row>
        <row r="240">
          <cell r="AO240" t="str">
            <v/>
          </cell>
        </row>
        <row r="241">
          <cell r="AO241" t="str">
            <v/>
          </cell>
        </row>
        <row r="242">
          <cell r="AO242" t="str">
            <v/>
          </cell>
        </row>
        <row r="243">
          <cell r="AO243" t="str">
            <v/>
          </cell>
        </row>
        <row r="244">
          <cell r="AO244" t="str">
            <v/>
          </cell>
        </row>
        <row r="245">
          <cell r="AO245" t="str">
            <v/>
          </cell>
        </row>
        <row r="246">
          <cell r="AO246" t="str">
            <v/>
          </cell>
        </row>
        <row r="247">
          <cell r="AO247" t="str">
            <v/>
          </cell>
        </row>
        <row r="248">
          <cell r="AO248" t="str">
            <v/>
          </cell>
        </row>
        <row r="249">
          <cell r="AO249" t="str">
            <v/>
          </cell>
        </row>
        <row r="250">
          <cell r="AO250" t="str">
            <v/>
          </cell>
        </row>
        <row r="251">
          <cell r="AO251" t="str">
            <v/>
          </cell>
        </row>
        <row r="252">
          <cell r="AO252" t="str">
            <v/>
          </cell>
        </row>
        <row r="253">
          <cell r="AO253" t="str">
            <v/>
          </cell>
        </row>
        <row r="254">
          <cell r="AO254" t="str">
            <v/>
          </cell>
        </row>
        <row r="255">
          <cell r="AO255" t="str">
            <v/>
          </cell>
        </row>
        <row r="256">
          <cell r="AO256" t="str">
            <v/>
          </cell>
        </row>
        <row r="257">
          <cell r="AO257" t="str">
            <v/>
          </cell>
        </row>
        <row r="258">
          <cell r="AO258" t="str">
            <v/>
          </cell>
        </row>
        <row r="259">
          <cell r="AO259" t="str">
            <v/>
          </cell>
        </row>
        <row r="260">
          <cell r="AO260" t="str">
            <v/>
          </cell>
        </row>
        <row r="261">
          <cell r="AO261" t="str">
            <v/>
          </cell>
        </row>
        <row r="262">
          <cell r="AO262" t="str">
            <v/>
          </cell>
        </row>
        <row r="263">
          <cell r="AO263" t="str">
            <v/>
          </cell>
        </row>
        <row r="264">
          <cell r="AO264" t="str">
            <v/>
          </cell>
        </row>
        <row r="265">
          <cell r="AO265" t="str">
            <v/>
          </cell>
        </row>
        <row r="266">
          <cell r="AO266" t="str">
            <v/>
          </cell>
        </row>
        <row r="267">
          <cell r="AO267" t="str">
            <v/>
          </cell>
        </row>
        <row r="268">
          <cell r="AO268" t="str">
            <v/>
          </cell>
        </row>
        <row r="269">
          <cell r="AO269" t="str">
            <v/>
          </cell>
        </row>
        <row r="270">
          <cell r="AO270" t="str">
            <v/>
          </cell>
        </row>
        <row r="271">
          <cell r="AO271" t="str">
            <v/>
          </cell>
        </row>
        <row r="272">
          <cell r="AO272" t="str">
            <v/>
          </cell>
        </row>
        <row r="273">
          <cell r="AO273" t="str">
            <v/>
          </cell>
        </row>
        <row r="274">
          <cell r="AO274" t="str">
            <v/>
          </cell>
        </row>
        <row r="275">
          <cell r="AO275" t="str">
            <v/>
          </cell>
        </row>
        <row r="276">
          <cell r="AO276" t="str">
            <v/>
          </cell>
        </row>
        <row r="277">
          <cell r="AO277" t="str">
            <v/>
          </cell>
        </row>
        <row r="278">
          <cell r="AO278" t="str">
            <v/>
          </cell>
        </row>
        <row r="279">
          <cell r="AO279" t="str">
            <v/>
          </cell>
        </row>
        <row r="280">
          <cell r="AO280" t="str">
            <v/>
          </cell>
        </row>
        <row r="281">
          <cell r="AO281" t="str">
            <v/>
          </cell>
        </row>
        <row r="282">
          <cell r="AO282" t="str">
            <v/>
          </cell>
        </row>
        <row r="283">
          <cell r="AO283" t="str">
            <v/>
          </cell>
        </row>
        <row r="284">
          <cell r="AO284" t="str">
            <v/>
          </cell>
        </row>
        <row r="285">
          <cell r="AO285" t="str">
            <v/>
          </cell>
        </row>
        <row r="286">
          <cell r="AO286" t="str">
            <v/>
          </cell>
        </row>
        <row r="287">
          <cell r="AO287" t="str">
            <v/>
          </cell>
        </row>
        <row r="288">
          <cell r="AO288" t="str">
            <v/>
          </cell>
        </row>
        <row r="289">
          <cell r="AO289" t="str">
            <v/>
          </cell>
        </row>
        <row r="290">
          <cell r="AO290" t="str">
            <v/>
          </cell>
        </row>
        <row r="291">
          <cell r="AO291" t="str">
            <v/>
          </cell>
        </row>
        <row r="292">
          <cell r="AO292" t="str">
            <v/>
          </cell>
        </row>
        <row r="293">
          <cell r="AO293" t="str">
            <v/>
          </cell>
        </row>
        <row r="294">
          <cell r="AO294" t="str">
            <v/>
          </cell>
        </row>
        <row r="295">
          <cell r="AO295" t="str">
            <v/>
          </cell>
        </row>
        <row r="296">
          <cell r="AO296" t="str">
            <v/>
          </cell>
        </row>
        <row r="297">
          <cell r="AO297" t="str">
            <v/>
          </cell>
        </row>
        <row r="298">
          <cell r="AO298" t="str">
            <v/>
          </cell>
        </row>
        <row r="299">
          <cell r="AO299" t="str">
            <v/>
          </cell>
        </row>
        <row r="300">
          <cell r="AO300" t="str">
            <v/>
          </cell>
        </row>
        <row r="301">
          <cell r="AO301" t="str">
            <v/>
          </cell>
        </row>
        <row r="302">
          <cell r="AO302" t="str">
            <v/>
          </cell>
        </row>
        <row r="303">
          <cell r="AO303" t="str">
            <v/>
          </cell>
        </row>
        <row r="304">
          <cell r="AO304" t="str">
            <v/>
          </cell>
        </row>
        <row r="305">
          <cell r="AO305" t="str">
            <v/>
          </cell>
        </row>
        <row r="306">
          <cell r="AO306" t="str">
            <v/>
          </cell>
        </row>
        <row r="307">
          <cell r="AO307" t="str">
            <v/>
          </cell>
        </row>
        <row r="308">
          <cell r="AO308" t="str">
            <v/>
          </cell>
        </row>
        <row r="309">
          <cell r="AO309" t="str">
            <v/>
          </cell>
        </row>
        <row r="310">
          <cell r="AO310" t="str">
            <v/>
          </cell>
        </row>
        <row r="311">
          <cell r="AO311" t="str">
            <v/>
          </cell>
        </row>
        <row r="312">
          <cell r="AO312" t="str">
            <v/>
          </cell>
        </row>
        <row r="313">
          <cell r="AO313" t="str">
            <v/>
          </cell>
        </row>
        <row r="314">
          <cell r="AO314" t="str">
            <v/>
          </cell>
        </row>
        <row r="315">
          <cell r="AO315" t="str">
            <v/>
          </cell>
        </row>
        <row r="316">
          <cell r="AO316" t="str">
            <v/>
          </cell>
        </row>
        <row r="317">
          <cell r="AO317" t="str">
            <v/>
          </cell>
        </row>
        <row r="318">
          <cell r="AO318" t="str">
            <v/>
          </cell>
        </row>
        <row r="319">
          <cell r="AO319" t="str">
            <v/>
          </cell>
        </row>
        <row r="320">
          <cell r="AO320" t="str">
            <v/>
          </cell>
        </row>
        <row r="321">
          <cell r="AO321" t="str">
            <v/>
          </cell>
        </row>
        <row r="322">
          <cell r="AO322" t="str">
            <v/>
          </cell>
        </row>
        <row r="323">
          <cell r="AO323" t="str">
            <v/>
          </cell>
        </row>
        <row r="324">
          <cell r="AO324" t="str">
            <v/>
          </cell>
        </row>
        <row r="325">
          <cell r="AO325" t="str">
            <v/>
          </cell>
        </row>
        <row r="326">
          <cell r="AO326" t="str">
            <v/>
          </cell>
        </row>
        <row r="327">
          <cell r="AO327" t="str">
            <v/>
          </cell>
        </row>
        <row r="328">
          <cell r="AO328" t="str">
            <v/>
          </cell>
        </row>
        <row r="329">
          <cell r="AO329" t="str">
            <v/>
          </cell>
        </row>
        <row r="330">
          <cell r="AO330" t="str">
            <v/>
          </cell>
        </row>
        <row r="331">
          <cell r="AO331" t="str">
            <v/>
          </cell>
        </row>
        <row r="332">
          <cell r="AO332" t="str">
            <v/>
          </cell>
        </row>
        <row r="333">
          <cell r="AO333" t="str">
            <v/>
          </cell>
        </row>
        <row r="334">
          <cell r="AO334" t="str">
            <v/>
          </cell>
        </row>
        <row r="335">
          <cell r="AO335" t="str">
            <v/>
          </cell>
        </row>
        <row r="336">
          <cell r="AO336" t="str">
            <v/>
          </cell>
        </row>
        <row r="337">
          <cell r="AO337" t="str">
            <v/>
          </cell>
        </row>
        <row r="338">
          <cell r="AO338" t="str">
            <v/>
          </cell>
        </row>
        <row r="339">
          <cell r="AO339" t="str">
            <v/>
          </cell>
        </row>
        <row r="340">
          <cell r="AO340">
            <v>0</v>
          </cell>
        </row>
        <row r="341">
          <cell r="AO341">
            <v>0</v>
          </cell>
        </row>
        <row r="342">
          <cell r="AO342">
            <v>0</v>
          </cell>
        </row>
        <row r="343">
          <cell r="AO343">
            <v>0</v>
          </cell>
        </row>
        <row r="344">
          <cell r="AO344">
            <v>0</v>
          </cell>
        </row>
        <row r="345">
          <cell r="AO345">
            <v>0</v>
          </cell>
        </row>
        <row r="346">
          <cell r="AO346">
            <v>0</v>
          </cell>
        </row>
        <row r="347">
          <cell r="AO347">
            <v>0</v>
          </cell>
        </row>
        <row r="348">
          <cell r="AO348">
            <v>0</v>
          </cell>
        </row>
        <row r="349">
          <cell r="AO349">
            <v>0</v>
          </cell>
        </row>
        <row r="350">
          <cell r="AO350">
            <v>0</v>
          </cell>
        </row>
        <row r="351">
          <cell r="AO351">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charges"/>
      <sheetName val="User_guidelines"/>
      <sheetName val="select items_PMW"/>
      <sheetName val="select items_DAW"/>
      <sheetName val="select items_TAW"/>
      <sheetName val="select items_CAW"/>
      <sheetName val="select items_CCDW"/>
      <sheetName val="select items_GAW"/>
      <sheetName val="abstract_of_items"/>
      <sheetName val="Homepage"/>
      <sheetName val="estimate"/>
      <sheetName val="General Abstract"/>
      <sheetName val="Breach Filling"/>
      <sheetName val="final"/>
    </sheetNames>
    <sheetDataSet>
      <sheetData sheetId="0" refreshError="1"/>
      <sheetData sheetId="1" refreshError="1"/>
      <sheetData sheetId="2">
        <row r="20">
          <cell r="AO20">
            <v>14</v>
          </cell>
        </row>
        <row r="21">
          <cell r="AO21">
            <v>15</v>
          </cell>
        </row>
        <row r="22">
          <cell r="AO22" t="str">
            <v/>
          </cell>
        </row>
        <row r="23">
          <cell r="AO23" t="str">
            <v/>
          </cell>
        </row>
        <row r="24">
          <cell r="AO24" t="str">
            <v/>
          </cell>
        </row>
        <row r="25">
          <cell r="AO25" t="str">
            <v/>
          </cell>
        </row>
        <row r="26">
          <cell r="AO26" t="str">
            <v/>
          </cell>
        </row>
        <row r="27">
          <cell r="AO27" t="str">
            <v/>
          </cell>
        </row>
        <row r="28">
          <cell r="AO28" t="str">
            <v/>
          </cell>
        </row>
        <row r="29">
          <cell r="AO29" t="str">
            <v/>
          </cell>
        </row>
        <row r="30">
          <cell r="AO30" t="str">
            <v/>
          </cell>
        </row>
        <row r="31">
          <cell r="AO31" t="str">
            <v/>
          </cell>
        </row>
        <row r="32">
          <cell r="AO32" t="str">
            <v/>
          </cell>
        </row>
        <row r="33">
          <cell r="AO33" t="str">
            <v/>
          </cell>
        </row>
        <row r="34">
          <cell r="AO34" t="str">
            <v/>
          </cell>
        </row>
        <row r="35">
          <cell r="AO35" t="str">
            <v/>
          </cell>
        </row>
        <row r="36">
          <cell r="AO36" t="str">
            <v/>
          </cell>
        </row>
        <row r="37">
          <cell r="AO37" t="str">
            <v/>
          </cell>
        </row>
        <row r="38">
          <cell r="AO38" t="str">
            <v/>
          </cell>
        </row>
        <row r="39">
          <cell r="AO39" t="str">
            <v/>
          </cell>
        </row>
        <row r="40">
          <cell r="AO40" t="str">
            <v/>
          </cell>
        </row>
        <row r="41">
          <cell r="AO41" t="str">
            <v/>
          </cell>
        </row>
        <row r="42">
          <cell r="AO42" t="str">
            <v/>
          </cell>
        </row>
        <row r="43">
          <cell r="AO43" t="str">
            <v/>
          </cell>
        </row>
        <row r="44">
          <cell r="AO44" t="str">
            <v/>
          </cell>
        </row>
        <row r="45">
          <cell r="AO45" t="str">
            <v/>
          </cell>
        </row>
        <row r="46">
          <cell r="AO46" t="str">
            <v/>
          </cell>
        </row>
        <row r="47">
          <cell r="AO47" t="str">
            <v/>
          </cell>
        </row>
        <row r="48">
          <cell r="AO48" t="str">
            <v/>
          </cell>
        </row>
        <row r="49">
          <cell r="AO49" t="str">
            <v/>
          </cell>
        </row>
        <row r="50">
          <cell r="AO50" t="str">
            <v/>
          </cell>
        </row>
        <row r="51">
          <cell r="AO51" t="str">
            <v/>
          </cell>
        </row>
        <row r="52">
          <cell r="AO52" t="str">
            <v/>
          </cell>
        </row>
        <row r="53">
          <cell r="AO53" t="str">
            <v/>
          </cell>
        </row>
        <row r="54">
          <cell r="AO54" t="str">
            <v/>
          </cell>
        </row>
        <row r="55">
          <cell r="AO55" t="str">
            <v/>
          </cell>
        </row>
        <row r="56">
          <cell r="AO56" t="str">
            <v/>
          </cell>
        </row>
        <row r="57">
          <cell r="AO57" t="str">
            <v/>
          </cell>
        </row>
        <row r="58">
          <cell r="AO58" t="str">
            <v/>
          </cell>
        </row>
        <row r="59">
          <cell r="AO59" t="str">
            <v/>
          </cell>
        </row>
        <row r="60">
          <cell r="AO60" t="str">
            <v/>
          </cell>
        </row>
        <row r="61">
          <cell r="AO61" t="str">
            <v/>
          </cell>
        </row>
        <row r="62">
          <cell r="AO62" t="str">
            <v/>
          </cell>
        </row>
        <row r="63">
          <cell r="AO63" t="str">
            <v/>
          </cell>
        </row>
        <row r="64">
          <cell r="AO64" t="str">
            <v/>
          </cell>
        </row>
        <row r="65">
          <cell r="AO65" t="str">
            <v/>
          </cell>
        </row>
        <row r="66">
          <cell r="AO66" t="str">
            <v/>
          </cell>
        </row>
        <row r="67">
          <cell r="AO67" t="str">
            <v/>
          </cell>
        </row>
        <row r="68">
          <cell r="AO68" t="str">
            <v/>
          </cell>
        </row>
        <row r="69">
          <cell r="AO69" t="str">
            <v/>
          </cell>
        </row>
        <row r="70">
          <cell r="AO70" t="str">
            <v/>
          </cell>
        </row>
        <row r="71">
          <cell r="AO71" t="str">
            <v/>
          </cell>
        </row>
        <row r="72">
          <cell r="AO72" t="str">
            <v/>
          </cell>
        </row>
        <row r="73">
          <cell r="AO73" t="str">
            <v/>
          </cell>
        </row>
        <row r="74">
          <cell r="AO74" t="str">
            <v/>
          </cell>
        </row>
        <row r="75">
          <cell r="AO75" t="str">
            <v/>
          </cell>
        </row>
        <row r="76">
          <cell r="AO76" t="str">
            <v/>
          </cell>
        </row>
        <row r="77">
          <cell r="AO77" t="str">
            <v/>
          </cell>
        </row>
        <row r="78">
          <cell r="AO78" t="str">
            <v/>
          </cell>
        </row>
        <row r="79">
          <cell r="AO79" t="str">
            <v/>
          </cell>
        </row>
        <row r="80">
          <cell r="AO80" t="str">
            <v/>
          </cell>
        </row>
        <row r="81">
          <cell r="AO81" t="str">
            <v/>
          </cell>
        </row>
        <row r="82">
          <cell r="AO82" t="str">
            <v/>
          </cell>
        </row>
        <row r="83">
          <cell r="AO83" t="str">
            <v/>
          </cell>
        </row>
        <row r="84">
          <cell r="AO84" t="str">
            <v/>
          </cell>
        </row>
        <row r="85">
          <cell r="AO85" t="str">
            <v/>
          </cell>
        </row>
        <row r="86">
          <cell r="AO86" t="str">
            <v/>
          </cell>
        </row>
        <row r="87">
          <cell r="AO87" t="str">
            <v/>
          </cell>
        </row>
        <row r="88">
          <cell r="AO88" t="str">
            <v/>
          </cell>
        </row>
        <row r="89">
          <cell r="AO89" t="str">
            <v/>
          </cell>
        </row>
        <row r="90">
          <cell r="AO90" t="str">
            <v/>
          </cell>
        </row>
        <row r="91">
          <cell r="AO91" t="str">
            <v/>
          </cell>
        </row>
        <row r="92">
          <cell r="AO92" t="str">
            <v/>
          </cell>
        </row>
        <row r="93">
          <cell r="AO93" t="str">
            <v/>
          </cell>
        </row>
        <row r="94">
          <cell r="AO94" t="str">
            <v/>
          </cell>
        </row>
        <row r="95">
          <cell r="AO95" t="str">
            <v/>
          </cell>
        </row>
        <row r="96">
          <cell r="AO96" t="str">
            <v/>
          </cell>
        </row>
        <row r="97">
          <cell r="AO97" t="str">
            <v/>
          </cell>
        </row>
        <row r="98">
          <cell r="AO98" t="str">
            <v/>
          </cell>
        </row>
        <row r="99">
          <cell r="AO99" t="str">
            <v/>
          </cell>
        </row>
        <row r="100">
          <cell r="AO100" t="str">
            <v/>
          </cell>
        </row>
        <row r="101">
          <cell r="AO101" t="str">
            <v/>
          </cell>
        </row>
        <row r="102">
          <cell r="AO102" t="str">
            <v/>
          </cell>
        </row>
        <row r="103">
          <cell r="AO103" t="str">
            <v/>
          </cell>
        </row>
        <row r="104">
          <cell r="AO104" t="str">
            <v/>
          </cell>
        </row>
        <row r="105">
          <cell r="AO105" t="str">
            <v/>
          </cell>
        </row>
        <row r="106">
          <cell r="AO106" t="str">
            <v/>
          </cell>
        </row>
        <row r="107">
          <cell r="AO107" t="str">
            <v/>
          </cell>
        </row>
        <row r="108">
          <cell r="AO108" t="str">
            <v/>
          </cell>
        </row>
        <row r="109">
          <cell r="AO109" t="str">
            <v/>
          </cell>
        </row>
        <row r="110">
          <cell r="AO110" t="str">
            <v/>
          </cell>
        </row>
        <row r="111">
          <cell r="AO111" t="str">
            <v/>
          </cell>
        </row>
        <row r="112">
          <cell r="AO112" t="str">
            <v/>
          </cell>
        </row>
        <row r="113">
          <cell r="AO113" t="str">
            <v/>
          </cell>
        </row>
        <row r="114">
          <cell r="AO114" t="str">
            <v/>
          </cell>
        </row>
        <row r="115">
          <cell r="AO115" t="str">
            <v/>
          </cell>
        </row>
        <row r="116">
          <cell r="AO116" t="str">
            <v/>
          </cell>
        </row>
        <row r="117">
          <cell r="AO117" t="str">
            <v/>
          </cell>
        </row>
        <row r="118">
          <cell r="AO118" t="str">
            <v/>
          </cell>
        </row>
        <row r="119">
          <cell r="AO119" t="str">
            <v/>
          </cell>
        </row>
        <row r="120">
          <cell r="AO120" t="str">
            <v/>
          </cell>
        </row>
        <row r="121">
          <cell r="AO121" t="str">
            <v/>
          </cell>
        </row>
        <row r="122">
          <cell r="AO122" t="str">
            <v/>
          </cell>
        </row>
        <row r="123">
          <cell r="AO123" t="str">
            <v/>
          </cell>
        </row>
        <row r="124">
          <cell r="AO124" t="str">
            <v/>
          </cell>
        </row>
        <row r="125">
          <cell r="AO125" t="str">
            <v/>
          </cell>
        </row>
        <row r="126">
          <cell r="AO126" t="str">
            <v/>
          </cell>
        </row>
        <row r="127">
          <cell r="AO127" t="str">
            <v/>
          </cell>
        </row>
        <row r="128">
          <cell r="AO128" t="str">
            <v/>
          </cell>
        </row>
        <row r="129">
          <cell r="AO129" t="str">
            <v/>
          </cell>
        </row>
        <row r="130">
          <cell r="AO130" t="str">
            <v/>
          </cell>
        </row>
        <row r="131">
          <cell r="AO131" t="str">
            <v/>
          </cell>
        </row>
        <row r="132">
          <cell r="AO132" t="str">
            <v/>
          </cell>
        </row>
        <row r="133">
          <cell r="AO133" t="str">
            <v/>
          </cell>
        </row>
        <row r="134">
          <cell r="AO134" t="str">
            <v/>
          </cell>
        </row>
        <row r="135">
          <cell r="AO135" t="str">
            <v/>
          </cell>
        </row>
        <row r="136">
          <cell r="AO136" t="str">
            <v/>
          </cell>
        </row>
        <row r="137">
          <cell r="AO137" t="str">
            <v/>
          </cell>
        </row>
        <row r="138">
          <cell r="AO138" t="str">
            <v/>
          </cell>
        </row>
        <row r="139">
          <cell r="AO139" t="str">
            <v/>
          </cell>
        </row>
        <row r="140">
          <cell r="AO140" t="str">
            <v/>
          </cell>
        </row>
        <row r="141">
          <cell r="AO141" t="str">
            <v/>
          </cell>
        </row>
        <row r="142">
          <cell r="AO142" t="str">
            <v/>
          </cell>
        </row>
        <row r="143">
          <cell r="AO143" t="str">
            <v/>
          </cell>
        </row>
        <row r="144">
          <cell r="AO144" t="str">
            <v/>
          </cell>
        </row>
        <row r="145">
          <cell r="AO145" t="str">
            <v/>
          </cell>
        </row>
        <row r="146">
          <cell r="AO146" t="str">
            <v/>
          </cell>
        </row>
        <row r="147">
          <cell r="AO147" t="str">
            <v/>
          </cell>
        </row>
        <row r="148">
          <cell r="AO148" t="str">
            <v/>
          </cell>
        </row>
        <row r="149">
          <cell r="AO149" t="str">
            <v/>
          </cell>
        </row>
        <row r="150">
          <cell r="AO150" t="str">
            <v/>
          </cell>
        </row>
        <row r="151">
          <cell r="AO151" t="str">
            <v/>
          </cell>
        </row>
        <row r="152">
          <cell r="AO152" t="str">
            <v/>
          </cell>
        </row>
        <row r="153">
          <cell r="AO153" t="str">
            <v/>
          </cell>
        </row>
        <row r="154">
          <cell r="AO154" t="str">
            <v/>
          </cell>
        </row>
        <row r="155">
          <cell r="AO155" t="str">
            <v/>
          </cell>
        </row>
        <row r="156">
          <cell r="AO156" t="str">
            <v/>
          </cell>
        </row>
        <row r="157">
          <cell r="AO157" t="str">
            <v/>
          </cell>
        </row>
        <row r="158">
          <cell r="AO158" t="str">
            <v/>
          </cell>
        </row>
        <row r="159">
          <cell r="AO159" t="str">
            <v/>
          </cell>
        </row>
        <row r="160">
          <cell r="AO160" t="str">
            <v/>
          </cell>
        </row>
        <row r="161">
          <cell r="AO161" t="str">
            <v/>
          </cell>
        </row>
        <row r="162">
          <cell r="AO162" t="str">
            <v/>
          </cell>
        </row>
        <row r="163">
          <cell r="AO163" t="str">
            <v/>
          </cell>
        </row>
        <row r="164">
          <cell r="AO164" t="str">
            <v/>
          </cell>
        </row>
        <row r="165">
          <cell r="AO165" t="str">
            <v/>
          </cell>
        </row>
        <row r="166">
          <cell r="AO166" t="str">
            <v/>
          </cell>
        </row>
        <row r="167">
          <cell r="AO167" t="str">
            <v/>
          </cell>
        </row>
        <row r="168">
          <cell r="AO168" t="str">
            <v/>
          </cell>
        </row>
        <row r="169">
          <cell r="AO169" t="str">
            <v/>
          </cell>
        </row>
        <row r="170">
          <cell r="AO170" t="str">
            <v/>
          </cell>
        </row>
        <row r="171">
          <cell r="AO171" t="str">
            <v/>
          </cell>
        </row>
        <row r="172">
          <cell r="AO172" t="str">
            <v/>
          </cell>
        </row>
        <row r="173">
          <cell r="AO173" t="str">
            <v/>
          </cell>
        </row>
        <row r="174">
          <cell r="AO174" t="str">
            <v/>
          </cell>
        </row>
        <row r="175">
          <cell r="AO175" t="str">
            <v/>
          </cell>
        </row>
        <row r="176">
          <cell r="AO176" t="str">
            <v/>
          </cell>
        </row>
        <row r="177">
          <cell r="AO177" t="str">
            <v/>
          </cell>
        </row>
        <row r="178">
          <cell r="AO178" t="str">
            <v/>
          </cell>
        </row>
        <row r="179">
          <cell r="AO179" t="str">
            <v/>
          </cell>
        </row>
        <row r="180">
          <cell r="AO180" t="str">
            <v/>
          </cell>
        </row>
        <row r="181">
          <cell r="AO181" t="str">
            <v/>
          </cell>
        </row>
        <row r="182">
          <cell r="AO182" t="str">
            <v/>
          </cell>
        </row>
        <row r="183">
          <cell r="AO183" t="str">
            <v/>
          </cell>
        </row>
        <row r="184">
          <cell r="AO184" t="str">
            <v/>
          </cell>
        </row>
        <row r="185">
          <cell r="AO185" t="str">
            <v/>
          </cell>
        </row>
        <row r="186">
          <cell r="AO186" t="str">
            <v/>
          </cell>
        </row>
        <row r="187">
          <cell r="AO187" t="str">
            <v/>
          </cell>
        </row>
        <row r="188">
          <cell r="AO188" t="str">
            <v/>
          </cell>
        </row>
        <row r="189">
          <cell r="AO189" t="str">
            <v/>
          </cell>
        </row>
        <row r="190">
          <cell r="AO190" t="str">
            <v/>
          </cell>
        </row>
        <row r="191">
          <cell r="AO191" t="str">
            <v/>
          </cell>
        </row>
        <row r="192">
          <cell r="AO192" t="str">
            <v/>
          </cell>
        </row>
        <row r="193">
          <cell r="AO193" t="str">
            <v/>
          </cell>
        </row>
        <row r="194">
          <cell r="AO194" t="str">
            <v/>
          </cell>
        </row>
        <row r="195">
          <cell r="AO195" t="str">
            <v/>
          </cell>
        </row>
        <row r="196">
          <cell r="AO196" t="str">
            <v/>
          </cell>
        </row>
        <row r="197">
          <cell r="AO197" t="str">
            <v/>
          </cell>
        </row>
        <row r="198">
          <cell r="AO198" t="str">
            <v/>
          </cell>
        </row>
        <row r="199">
          <cell r="AO199" t="str">
            <v/>
          </cell>
        </row>
        <row r="200">
          <cell r="AO200" t="str">
            <v/>
          </cell>
        </row>
        <row r="201">
          <cell r="AO201" t="str">
            <v/>
          </cell>
        </row>
        <row r="202">
          <cell r="AO202" t="str">
            <v/>
          </cell>
        </row>
        <row r="203">
          <cell r="AO203" t="str">
            <v/>
          </cell>
        </row>
        <row r="204">
          <cell r="AO204" t="str">
            <v/>
          </cell>
        </row>
        <row r="205">
          <cell r="AO205" t="str">
            <v/>
          </cell>
        </row>
        <row r="206">
          <cell r="AO206" t="str">
            <v/>
          </cell>
        </row>
        <row r="207">
          <cell r="AO207" t="str">
            <v/>
          </cell>
        </row>
        <row r="208">
          <cell r="AO208" t="str">
            <v/>
          </cell>
        </row>
        <row r="209">
          <cell r="AO209" t="str">
            <v/>
          </cell>
        </row>
        <row r="210">
          <cell r="AO210" t="str">
            <v/>
          </cell>
        </row>
        <row r="211">
          <cell r="AO211" t="str">
            <v/>
          </cell>
        </row>
        <row r="212">
          <cell r="AO212" t="str">
            <v/>
          </cell>
        </row>
        <row r="213">
          <cell r="AO213" t="str">
            <v/>
          </cell>
        </row>
        <row r="214">
          <cell r="AO214" t="str">
            <v/>
          </cell>
        </row>
        <row r="215">
          <cell r="AO215" t="str">
            <v/>
          </cell>
        </row>
        <row r="216">
          <cell r="AO216" t="str">
            <v/>
          </cell>
        </row>
        <row r="217">
          <cell r="AO217" t="str">
            <v/>
          </cell>
        </row>
        <row r="218">
          <cell r="AO218" t="str">
            <v/>
          </cell>
        </row>
        <row r="219">
          <cell r="AO219" t="str">
            <v/>
          </cell>
        </row>
        <row r="220">
          <cell r="AO220" t="str">
            <v/>
          </cell>
        </row>
        <row r="221">
          <cell r="AO221" t="str">
            <v/>
          </cell>
        </row>
        <row r="222">
          <cell r="AO222" t="str">
            <v/>
          </cell>
        </row>
        <row r="223">
          <cell r="AO223" t="str">
            <v/>
          </cell>
        </row>
        <row r="224">
          <cell r="AO224" t="str">
            <v/>
          </cell>
        </row>
        <row r="225">
          <cell r="AO225" t="str">
            <v/>
          </cell>
        </row>
        <row r="226">
          <cell r="AO226" t="str">
            <v/>
          </cell>
        </row>
        <row r="227">
          <cell r="AO227" t="str">
            <v/>
          </cell>
        </row>
        <row r="228">
          <cell r="AO228" t="str">
            <v/>
          </cell>
        </row>
        <row r="229">
          <cell r="AO229" t="str">
            <v/>
          </cell>
        </row>
        <row r="230">
          <cell r="AO230" t="str">
            <v/>
          </cell>
        </row>
        <row r="231">
          <cell r="AO231" t="str">
            <v/>
          </cell>
        </row>
        <row r="232">
          <cell r="AO232" t="str">
            <v/>
          </cell>
        </row>
        <row r="233">
          <cell r="AO233" t="str">
            <v/>
          </cell>
        </row>
        <row r="234">
          <cell r="AO234" t="str">
            <v/>
          </cell>
        </row>
        <row r="235">
          <cell r="AO235" t="str">
            <v/>
          </cell>
        </row>
        <row r="236">
          <cell r="AO236" t="str">
            <v/>
          </cell>
        </row>
        <row r="237">
          <cell r="AO237" t="str">
            <v/>
          </cell>
        </row>
        <row r="238">
          <cell r="AO238" t="str">
            <v/>
          </cell>
        </row>
        <row r="239">
          <cell r="AO239" t="str">
            <v/>
          </cell>
        </row>
        <row r="240">
          <cell r="AO240" t="str">
            <v/>
          </cell>
        </row>
        <row r="241">
          <cell r="AO241" t="str">
            <v/>
          </cell>
        </row>
        <row r="242">
          <cell r="AO242" t="str">
            <v/>
          </cell>
        </row>
        <row r="243">
          <cell r="AO243" t="str">
            <v/>
          </cell>
        </row>
        <row r="244">
          <cell r="AO244" t="str">
            <v/>
          </cell>
        </row>
        <row r="245">
          <cell r="AO245" t="str">
            <v/>
          </cell>
        </row>
        <row r="246">
          <cell r="AO246" t="str">
            <v/>
          </cell>
        </row>
        <row r="247">
          <cell r="AO247" t="str">
            <v/>
          </cell>
        </row>
        <row r="248">
          <cell r="AO248" t="str">
            <v/>
          </cell>
        </row>
        <row r="249">
          <cell r="AO249" t="str">
            <v/>
          </cell>
        </row>
        <row r="250">
          <cell r="AO250" t="str">
            <v/>
          </cell>
        </row>
        <row r="251">
          <cell r="AO251" t="str">
            <v/>
          </cell>
        </row>
        <row r="252">
          <cell r="AO252" t="str">
            <v/>
          </cell>
        </row>
        <row r="253">
          <cell r="AO253" t="str">
            <v/>
          </cell>
        </row>
        <row r="254">
          <cell r="AO254" t="str">
            <v/>
          </cell>
        </row>
        <row r="255">
          <cell r="AO255" t="str">
            <v/>
          </cell>
        </row>
        <row r="256">
          <cell r="AO256" t="str">
            <v/>
          </cell>
        </row>
        <row r="257">
          <cell r="AO257" t="str">
            <v/>
          </cell>
        </row>
        <row r="258">
          <cell r="AO258" t="str">
            <v/>
          </cell>
        </row>
        <row r="259">
          <cell r="AO259" t="str">
            <v/>
          </cell>
        </row>
        <row r="260">
          <cell r="AO260" t="str">
            <v/>
          </cell>
        </row>
        <row r="261">
          <cell r="AO261" t="str">
            <v/>
          </cell>
        </row>
        <row r="262">
          <cell r="AO262" t="str">
            <v/>
          </cell>
        </row>
        <row r="263">
          <cell r="AO263" t="str">
            <v/>
          </cell>
        </row>
        <row r="264">
          <cell r="AO264" t="str">
            <v/>
          </cell>
        </row>
        <row r="265">
          <cell r="AO265" t="str">
            <v/>
          </cell>
        </row>
        <row r="266">
          <cell r="AO266" t="str">
            <v/>
          </cell>
        </row>
        <row r="267">
          <cell r="AO267" t="str">
            <v/>
          </cell>
        </row>
        <row r="268">
          <cell r="AO268" t="str">
            <v/>
          </cell>
        </row>
        <row r="269">
          <cell r="AO269" t="str">
            <v/>
          </cell>
        </row>
        <row r="270">
          <cell r="AO270" t="str">
            <v/>
          </cell>
        </row>
        <row r="271">
          <cell r="AO271" t="str">
            <v/>
          </cell>
        </row>
        <row r="272">
          <cell r="AO272" t="str">
            <v/>
          </cell>
        </row>
        <row r="273">
          <cell r="AO273" t="str">
            <v/>
          </cell>
        </row>
        <row r="274">
          <cell r="AO274" t="str">
            <v/>
          </cell>
        </row>
        <row r="275">
          <cell r="AO275" t="str">
            <v/>
          </cell>
        </row>
        <row r="276">
          <cell r="AO276" t="str">
            <v/>
          </cell>
        </row>
        <row r="277">
          <cell r="AO277" t="str">
            <v/>
          </cell>
        </row>
        <row r="278">
          <cell r="AO278" t="str">
            <v/>
          </cell>
        </row>
        <row r="279">
          <cell r="AO279" t="str">
            <v/>
          </cell>
        </row>
        <row r="280">
          <cell r="AO280" t="str">
            <v/>
          </cell>
        </row>
        <row r="281">
          <cell r="AO281" t="str">
            <v/>
          </cell>
        </row>
        <row r="282">
          <cell r="AO282" t="str">
            <v/>
          </cell>
        </row>
        <row r="283">
          <cell r="AO283" t="str">
            <v/>
          </cell>
        </row>
        <row r="284">
          <cell r="AO284" t="str">
            <v/>
          </cell>
        </row>
        <row r="285">
          <cell r="AO285" t="str">
            <v/>
          </cell>
        </row>
        <row r="286">
          <cell r="AO286" t="str">
            <v/>
          </cell>
        </row>
        <row r="287">
          <cell r="AO287" t="str">
            <v/>
          </cell>
        </row>
        <row r="288">
          <cell r="AO288" t="str">
            <v/>
          </cell>
        </row>
        <row r="289">
          <cell r="AO289" t="str">
            <v/>
          </cell>
        </row>
        <row r="290">
          <cell r="AO290" t="str">
            <v/>
          </cell>
        </row>
        <row r="291">
          <cell r="AO291" t="str">
            <v/>
          </cell>
        </row>
        <row r="292">
          <cell r="AO292" t="str">
            <v/>
          </cell>
        </row>
        <row r="293">
          <cell r="AO293" t="str">
            <v/>
          </cell>
        </row>
        <row r="294">
          <cell r="AO294" t="str">
            <v/>
          </cell>
        </row>
        <row r="295">
          <cell r="AO295" t="str">
            <v/>
          </cell>
        </row>
        <row r="296">
          <cell r="AO296" t="str">
            <v/>
          </cell>
        </row>
        <row r="297">
          <cell r="AO297" t="str">
            <v/>
          </cell>
        </row>
        <row r="298">
          <cell r="AO298" t="str">
            <v/>
          </cell>
        </row>
        <row r="299">
          <cell r="AO299" t="str">
            <v/>
          </cell>
        </row>
        <row r="300">
          <cell r="AO300" t="str">
            <v/>
          </cell>
        </row>
        <row r="301">
          <cell r="AO301" t="str">
            <v/>
          </cell>
        </row>
        <row r="302">
          <cell r="AO302" t="str">
            <v/>
          </cell>
        </row>
        <row r="303">
          <cell r="AO303" t="str">
            <v/>
          </cell>
        </row>
        <row r="304">
          <cell r="AO304" t="str">
            <v/>
          </cell>
        </row>
        <row r="305">
          <cell r="AO305" t="str">
            <v/>
          </cell>
        </row>
        <row r="306">
          <cell r="AO306" t="str">
            <v/>
          </cell>
        </row>
        <row r="307">
          <cell r="AO307" t="str">
            <v/>
          </cell>
        </row>
        <row r="308">
          <cell r="AO308" t="str">
            <v/>
          </cell>
        </row>
        <row r="309">
          <cell r="AO309" t="str">
            <v/>
          </cell>
        </row>
        <row r="310">
          <cell r="AO310" t="str">
            <v/>
          </cell>
        </row>
        <row r="311">
          <cell r="AO311" t="str">
            <v/>
          </cell>
        </row>
        <row r="312">
          <cell r="AO312" t="str">
            <v/>
          </cell>
        </row>
        <row r="313">
          <cell r="AO313" t="str">
            <v/>
          </cell>
        </row>
        <row r="314">
          <cell r="AO314" t="str">
            <v/>
          </cell>
        </row>
        <row r="315">
          <cell r="AO315" t="str">
            <v/>
          </cell>
        </row>
        <row r="316">
          <cell r="AO316" t="str">
            <v/>
          </cell>
        </row>
        <row r="317">
          <cell r="AO317" t="str">
            <v/>
          </cell>
        </row>
        <row r="318">
          <cell r="AO318" t="str">
            <v/>
          </cell>
        </row>
        <row r="319">
          <cell r="AO319" t="str">
            <v/>
          </cell>
        </row>
        <row r="320">
          <cell r="AO320" t="str">
            <v/>
          </cell>
        </row>
        <row r="321">
          <cell r="AO321" t="str">
            <v/>
          </cell>
        </row>
        <row r="322">
          <cell r="AO322" t="str">
            <v/>
          </cell>
        </row>
        <row r="323">
          <cell r="AO323" t="str">
            <v/>
          </cell>
        </row>
        <row r="324">
          <cell r="AO324" t="str">
            <v/>
          </cell>
        </row>
        <row r="325">
          <cell r="AO325" t="str">
            <v/>
          </cell>
        </row>
        <row r="326">
          <cell r="AO326" t="str">
            <v/>
          </cell>
        </row>
        <row r="327">
          <cell r="AO327" t="str">
            <v/>
          </cell>
        </row>
        <row r="328">
          <cell r="AO328" t="str">
            <v/>
          </cell>
        </row>
        <row r="329">
          <cell r="AO329" t="str">
            <v/>
          </cell>
        </row>
        <row r="330">
          <cell r="AO330" t="str">
            <v/>
          </cell>
        </row>
        <row r="331">
          <cell r="AO331" t="str">
            <v/>
          </cell>
        </row>
        <row r="332">
          <cell r="AO332" t="str">
            <v/>
          </cell>
        </row>
        <row r="333">
          <cell r="AO333" t="str">
            <v/>
          </cell>
        </row>
        <row r="334">
          <cell r="AO334" t="str">
            <v/>
          </cell>
        </row>
        <row r="335">
          <cell r="AO335" t="str">
            <v/>
          </cell>
        </row>
        <row r="336">
          <cell r="AO336" t="str">
            <v/>
          </cell>
        </row>
        <row r="337">
          <cell r="AO337" t="str">
            <v/>
          </cell>
        </row>
        <row r="338">
          <cell r="AO338" t="str">
            <v/>
          </cell>
        </row>
        <row r="339">
          <cell r="AO339" t="str">
            <v/>
          </cell>
        </row>
        <row r="340">
          <cell r="AO340" t="str">
            <v/>
          </cell>
        </row>
        <row r="341">
          <cell r="AO341" t="str">
            <v/>
          </cell>
        </row>
        <row r="342">
          <cell r="AO342" t="str">
            <v/>
          </cell>
        </row>
        <row r="343">
          <cell r="AO343" t="str">
            <v/>
          </cell>
        </row>
        <row r="344">
          <cell r="AO344" t="str">
            <v/>
          </cell>
        </row>
        <row r="345">
          <cell r="AO345" t="str">
            <v/>
          </cell>
        </row>
        <row r="346">
          <cell r="AO346" t="str">
            <v/>
          </cell>
        </row>
        <row r="347">
          <cell r="AO347" t="str">
            <v/>
          </cell>
        </row>
        <row r="348">
          <cell r="AO348" t="str">
            <v/>
          </cell>
        </row>
        <row r="349">
          <cell r="AO349" t="str">
            <v/>
          </cell>
        </row>
        <row r="350">
          <cell r="AO350" t="str">
            <v/>
          </cell>
        </row>
        <row r="351">
          <cell r="AO351" t="str">
            <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charges"/>
      <sheetName val="User_guidelines"/>
      <sheetName val="select items_PMW"/>
      <sheetName val="select items_DAW"/>
      <sheetName val="select items_TAW"/>
      <sheetName val="select items_CAW"/>
      <sheetName val="select items_CCDW"/>
      <sheetName val="select items_GAW"/>
      <sheetName val="abstract_of_items"/>
      <sheetName val="Homepage"/>
      <sheetName val="estimate"/>
      <sheetName val="General Abstract"/>
      <sheetName val="Breach Filling"/>
      <sheetName val="final"/>
    </sheetNames>
    <sheetDataSet>
      <sheetData sheetId="0" refreshError="1"/>
      <sheetData sheetId="1" refreshError="1"/>
      <sheetData sheetId="2">
        <row r="20">
          <cell r="AO20">
            <v>14</v>
          </cell>
        </row>
        <row r="21">
          <cell r="AO21">
            <v>15</v>
          </cell>
        </row>
        <row r="22">
          <cell r="AO22" t="str">
            <v/>
          </cell>
        </row>
        <row r="23">
          <cell r="AO23" t="str">
            <v/>
          </cell>
        </row>
        <row r="24">
          <cell r="AO24" t="str">
            <v/>
          </cell>
        </row>
        <row r="25">
          <cell r="AO25" t="str">
            <v/>
          </cell>
        </row>
        <row r="26">
          <cell r="AO26" t="str">
            <v/>
          </cell>
        </row>
        <row r="27">
          <cell r="AO27" t="str">
            <v/>
          </cell>
        </row>
        <row r="28">
          <cell r="AO28" t="str">
            <v/>
          </cell>
        </row>
        <row r="29">
          <cell r="AO29" t="str">
            <v/>
          </cell>
        </row>
        <row r="30">
          <cell r="AO30" t="str">
            <v/>
          </cell>
        </row>
        <row r="31">
          <cell r="AO31" t="str">
            <v/>
          </cell>
        </row>
        <row r="32">
          <cell r="AO32" t="str">
            <v/>
          </cell>
        </row>
        <row r="33">
          <cell r="AO33" t="str">
            <v/>
          </cell>
        </row>
        <row r="34">
          <cell r="AO34" t="str">
            <v/>
          </cell>
        </row>
        <row r="35">
          <cell r="AO35" t="str">
            <v/>
          </cell>
        </row>
        <row r="36">
          <cell r="AO36" t="str">
            <v/>
          </cell>
        </row>
        <row r="37">
          <cell r="AO37" t="str">
            <v/>
          </cell>
        </row>
        <row r="38">
          <cell r="AO38" t="str">
            <v/>
          </cell>
        </row>
        <row r="39">
          <cell r="AO39" t="str">
            <v/>
          </cell>
        </row>
        <row r="40">
          <cell r="AO40" t="str">
            <v/>
          </cell>
        </row>
        <row r="41">
          <cell r="AO41" t="str">
            <v/>
          </cell>
        </row>
        <row r="42">
          <cell r="AO42" t="str">
            <v/>
          </cell>
        </row>
        <row r="43">
          <cell r="AO43" t="str">
            <v/>
          </cell>
        </row>
        <row r="44">
          <cell r="AO44" t="str">
            <v/>
          </cell>
        </row>
        <row r="45">
          <cell r="AO45" t="str">
            <v/>
          </cell>
        </row>
        <row r="46">
          <cell r="AO46" t="str">
            <v/>
          </cell>
        </row>
        <row r="47">
          <cell r="AO47" t="str">
            <v/>
          </cell>
        </row>
        <row r="48">
          <cell r="AO48" t="str">
            <v/>
          </cell>
        </row>
        <row r="49">
          <cell r="AO49" t="str">
            <v/>
          </cell>
        </row>
        <row r="50">
          <cell r="AO50" t="str">
            <v/>
          </cell>
        </row>
        <row r="51">
          <cell r="AO51" t="str">
            <v/>
          </cell>
        </row>
        <row r="52">
          <cell r="AO52" t="str">
            <v/>
          </cell>
        </row>
        <row r="53">
          <cell r="AO53" t="str">
            <v/>
          </cell>
        </row>
        <row r="54">
          <cell r="AO54" t="str">
            <v/>
          </cell>
        </row>
        <row r="55">
          <cell r="AO55" t="str">
            <v/>
          </cell>
        </row>
        <row r="56">
          <cell r="AO56" t="str">
            <v/>
          </cell>
        </row>
        <row r="57">
          <cell r="AO57" t="str">
            <v/>
          </cell>
        </row>
        <row r="58">
          <cell r="AO58" t="str">
            <v/>
          </cell>
        </row>
        <row r="59">
          <cell r="AO59" t="str">
            <v/>
          </cell>
        </row>
        <row r="60">
          <cell r="AO60" t="str">
            <v/>
          </cell>
        </row>
        <row r="61">
          <cell r="AO61" t="str">
            <v/>
          </cell>
        </row>
        <row r="62">
          <cell r="AO62" t="str">
            <v/>
          </cell>
        </row>
        <row r="63">
          <cell r="AO63" t="str">
            <v/>
          </cell>
        </row>
        <row r="64">
          <cell r="AO64" t="str">
            <v/>
          </cell>
        </row>
        <row r="65">
          <cell r="AO65" t="str">
            <v/>
          </cell>
        </row>
        <row r="66">
          <cell r="AO66" t="str">
            <v/>
          </cell>
        </row>
        <row r="67">
          <cell r="AO67" t="str">
            <v/>
          </cell>
        </row>
        <row r="68">
          <cell r="AO68" t="str">
            <v/>
          </cell>
        </row>
        <row r="69">
          <cell r="AO69" t="str">
            <v/>
          </cell>
        </row>
        <row r="70">
          <cell r="AO70" t="str">
            <v/>
          </cell>
        </row>
        <row r="71">
          <cell r="AO71" t="str">
            <v/>
          </cell>
        </row>
        <row r="72">
          <cell r="AO72" t="str">
            <v/>
          </cell>
        </row>
        <row r="73">
          <cell r="AO73" t="str">
            <v/>
          </cell>
        </row>
        <row r="74">
          <cell r="AO74" t="str">
            <v/>
          </cell>
        </row>
        <row r="75">
          <cell r="AO75" t="str">
            <v/>
          </cell>
        </row>
        <row r="76">
          <cell r="AO76" t="str">
            <v/>
          </cell>
        </row>
        <row r="77">
          <cell r="AO77" t="str">
            <v/>
          </cell>
        </row>
        <row r="78">
          <cell r="AO78" t="str">
            <v/>
          </cell>
        </row>
        <row r="79">
          <cell r="AO79" t="str">
            <v/>
          </cell>
        </row>
        <row r="80">
          <cell r="AO80" t="str">
            <v/>
          </cell>
        </row>
        <row r="81">
          <cell r="AO81" t="str">
            <v/>
          </cell>
        </row>
        <row r="82">
          <cell r="AO82" t="str">
            <v/>
          </cell>
        </row>
        <row r="83">
          <cell r="AO83" t="str">
            <v/>
          </cell>
        </row>
        <row r="84">
          <cell r="AO84" t="str">
            <v/>
          </cell>
        </row>
        <row r="85">
          <cell r="AO85" t="str">
            <v/>
          </cell>
        </row>
        <row r="86">
          <cell r="AO86" t="str">
            <v/>
          </cell>
        </row>
        <row r="87">
          <cell r="AO87" t="str">
            <v/>
          </cell>
        </row>
        <row r="88">
          <cell r="AO88" t="str">
            <v/>
          </cell>
        </row>
        <row r="89">
          <cell r="AO89" t="str">
            <v/>
          </cell>
        </row>
        <row r="90">
          <cell r="AO90" t="str">
            <v/>
          </cell>
        </row>
        <row r="91">
          <cell r="AO91" t="str">
            <v/>
          </cell>
        </row>
        <row r="92">
          <cell r="AO92" t="str">
            <v/>
          </cell>
        </row>
        <row r="93">
          <cell r="AO93" t="str">
            <v/>
          </cell>
        </row>
        <row r="94">
          <cell r="AO94" t="str">
            <v/>
          </cell>
        </row>
        <row r="95">
          <cell r="AO95" t="str">
            <v/>
          </cell>
        </row>
        <row r="96">
          <cell r="AO96" t="str">
            <v/>
          </cell>
        </row>
        <row r="97">
          <cell r="AO97" t="str">
            <v/>
          </cell>
        </row>
        <row r="98">
          <cell r="AO98" t="str">
            <v/>
          </cell>
        </row>
        <row r="99">
          <cell r="AO99" t="str">
            <v/>
          </cell>
        </row>
        <row r="100">
          <cell r="AO100" t="str">
            <v/>
          </cell>
        </row>
        <row r="101">
          <cell r="AO101" t="str">
            <v/>
          </cell>
        </row>
        <row r="102">
          <cell r="AO102" t="str">
            <v/>
          </cell>
        </row>
        <row r="103">
          <cell r="AO103" t="str">
            <v/>
          </cell>
        </row>
        <row r="104">
          <cell r="AO104" t="str">
            <v/>
          </cell>
        </row>
        <row r="105">
          <cell r="AO105" t="str">
            <v/>
          </cell>
        </row>
        <row r="106">
          <cell r="AO106" t="str">
            <v/>
          </cell>
        </row>
        <row r="107">
          <cell r="AO107" t="str">
            <v/>
          </cell>
        </row>
        <row r="108">
          <cell r="AO108" t="str">
            <v/>
          </cell>
        </row>
        <row r="109">
          <cell r="AO109" t="str">
            <v/>
          </cell>
        </row>
        <row r="110">
          <cell r="AO110" t="str">
            <v/>
          </cell>
        </row>
        <row r="111">
          <cell r="AO111" t="str">
            <v/>
          </cell>
        </row>
        <row r="112">
          <cell r="AO112" t="str">
            <v/>
          </cell>
        </row>
        <row r="113">
          <cell r="AO113" t="str">
            <v/>
          </cell>
        </row>
        <row r="114">
          <cell r="AO114" t="str">
            <v/>
          </cell>
        </row>
        <row r="115">
          <cell r="AO115" t="str">
            <v/>
          </cell>
        </row>
        <row r="116">
          <cell r="AO116" t="str">
            <v/>
          </cell>
        </row>
        <row r="117">
          <cell r="AO117" t="str">
            <v/>
          </cell>
        </row>
        <row r="118">
          <cell r="AO118" t="str">
            <v/>
          </cell>
        </row>
        <row r="119">
          <cell r="AO119" t="str">
            <v/>
          </cell>
        </row>
        <row r="120">
          <cell r="AO120" t="str">
            <v/>
          </cell>
        </row>
        <row r="121">
          <cell r="AO121" t="str">
            <v/>
          </cell>
        </row>
        <row r="122">
          <cell r="AO122" t="str">
            <v/>
          </cell>
        </row>
        <row r="123">
          <cell r="AO123" t="str">
            <v/>
          </cell>
        </row>
        <row r="124">
          <cell r="AO124" t="str">
            <v/>
          </cell>
        </row>
        <row r="125">
          <cell r="AO125" t="str">
            <v/>
          </cell>
        </row>
        <row r="126">
          <cell r="AO126" t="str">
            <v/>
          </cell>
        </row>
        <row r="127">
          <cell r="AO127" t="str">
            <v/>
          </cell>
        </row>
        <row r="128">
          <cell r="AO128" t="str">
            <v/>
          </cell>
        </row>
        <row r="129">
          <cell r="AO129" t="str">
            <v/>
          </cell>
        </row>
        <row r="130">
          <cell r="AO130" t="str">
            <v/>
          </cell>
        </row>
        <row r="131">
          <cell r="AO131" t="str">
            <v/>
          </cell>
        </row>
        <row r="132">
          <cell r="AO132" t="str">
            <v/>
          </cell>
        </row>
        <row r="133">
          <cell r="AO133" t="str">
            <v/>
          </cell>
        </row>
        <row r="134">
          <cell r="AO134" t="str">
            <v/>
          </cell>
        </row>
        <row r="135">
          <cell r="AO135" t="str">
            <v/>
          </cell>
        </row>
        <row r="136">
          <cell r="AO136" t="str">
            <v/>
          </cell>
        </row>
        <row r="137">
          <cell r="AO137" t="str">
            <v/>
          </cell>
        </row>
        <row r="138">
          <cell r="AO138" t="str">
            <v/>
          </cell>
        </row>
        <row r="139">
          <cell r="AO139" t="str">
            <v/>
          </cell>
        </row>
        <row r="140">
          <cell r="AO140" t="str">
            <v/>
          </cell>
        </row>
        <row r="141">
          <cell r="AO141" t="str">
            <v/>
          </cell>
        </row>
        <row r="142">
          <cell r="AO142" t="str">
            <v/>
          </cell>
        </row>
        <row r="143">
          <cell r="AO143" t="str">
            <v/>
          </cell>
        </row>
        <row r="144">
          <cell r="AO144" t="str">
            <v/>
          </cell>
        </row>
        <row r="145">
          <cell r="AO145" t="str">
            <v/>
          </cell>
        </row>
        <row r="146">
          <cell r="AO146" t="str">
            <v/>
          </cell>
        </row>
        <row r="147">
          <cell r="AO147" t="str">
            <v/>
          </cell>
        </row>
        <row r="148">
          <cell r="AO148" t="str">
            <v/>
          </cell>
        </row>
        <row r="149">
          <cell r="AO149" t="str">
            <v/>
          </cell>
        </row>
        <row r="150">
          <cell r="AO150" t="str">
            <v/>
          </cell>
        </row>
        <row r="151">
          <cell r="AO151" t="str">
            <v/>
          </cell>
        </row>
        <row r="152">
          <cell r="AO152" t="str">
            <v/>
          </cell>
        </row>
        <row r="153">
          <cell r="AO153" t="str">
            <v/>
          </cell>
        </row>
        <row r="154">
          <cell r="AO154" t="str">
            <v/>
          </cell>
        </row>
        <row r="155">
          <cell r="AO155" t="str">
            <v/>
          </cell>
        </row>
        <row r="156">
          <cell r="AO156" t="str">
            <v/>
          </cell>
        </row>
        <row r="157">
          <cell r="AO157" t="str">
            <v/>
          </cell>
        </row>
        <row r="158">
          <cell r="AO158" t="str">
            <v/>
          </cell>
        </row>
        <row r="159">
          <cell r="AO159" t="str">
            <v/>
          </cell>
        </row>
        <row r="160">
          <cell r="AO160" t="str">
            <v/>
          </cell>
        </row>
        <row r="161">
          <cell r="AO161" t="str">
            <v/>
          </cell>
        </row>
        <row r="162">
          <cell r="AO162" t="str">
            <v/>
          </cell>
        </row>
        <row r="163">
          <cell r="AO163" t="str">
            <v/>
          </cell>
        </row>
        <row r="164">
          <cell r="AO164" t="str">
            <v/>
          </cell>
        </row>
        <row r="165">
          <cell r="AO165" t="str">
            <v/>
          </cell>
        </row>
        <row r="166">
          <cell r="AO166" t="str">
            <v/>
          </cell>
        </row>
        <row r="167">
          <cell r="AO167" t="str">
            <v/>
          </cell>
        </row>
        <row r="168">
          <cell r="AO168" t="str">
            <v/>
          </cell>
        </row>
        <row r="169">
          <cell r="AO169" t="str">
            <v/>
          </cell>
        </row>
        <row r="170">
          <cell r="AO170" t="str">
            <v/>
          </cell>
        </row>
        <row r="171">
          <cell r="AO171" t="str">
            <v/>
          </cell>
        </row>
        <row r="172">
          <cell r="AO172" t="str">
            <v/>
          </cell>
        </row>
        <row r="173">
          <cell r="AO173" t="str">
            <v/>
          </cell>
        </row>
        <row r="174">
          <cell r="AO174" t="str">
            <v/>
          </cell>
        </row>
        <row r="175">
          <cell r="AO175" t="str">
            <v/>
          </cell>
        </row>
        <row r="176">
          <cell r="AO176" t="str">
            <v/>
          </cell>
        </row>
        <row r="177">
          <cell r="AO177" t="str">
            <v/>
          </cell>
        </row>
        <row r="178">
          <cell r="AO178" t="str">
            <v/>
          </cell>
        </row>
        <row r="179">
          <cell r="AO179" t="str">
            <v/>
          </cell>
        </row>
        <row r="180">
          <cell r="AO180" t="str">
            <v/>
          </cell>
        </row>
        <row r="181">
          <cell r="AO181" t="str">
            <v/>
          </cell>
        </row>
        <row r="182">
          <cell r="AO182" t="str">
            <v/>
          </cell>
        </row>
        <row r="183">
          <cell r="AO183" t="str">
            <v/>
          </cell>
        </row>
        <row r="184">
          <cell r="AO184" t="str">
            <v/>
          </cell>
        </row>
        <row r="185">
          <cell r="AO185" t="str">
            <v/>
          </cell>
        </row>
        <row r="186">
          <cell r="AO186" t="str">
            <v/>
          </cell>
        </row>
        <row r="187">
          <cell r="AO187" t="str">
            <v/>
          </cell>
        </row>
        <row r="188">
          <cell r="AO188" t="str">
            <v/>
          </cell>
        </row>
        <row r="189">
          <cell r="AO189" t="str">
            <v/>
          </cell>
        </row>
        <row r="190">
          <cell r="AO190" t="str">
            <v/>
          </cell>
        </row>
        <row r="191">
          <cell r="AO191" t="str">
            <v/>
          </cell>
        </row>
        <row r="192">
          <cell r="AO192" t="str">
            <v/>
          </cell>
        </row>
        <row r="193">
          <cell r="AO193" t="str">
            <v/>
          </cell>
        </row>
        <row r="194">
          <cell r="AO194" t="str">
            <v/>
          </cell>
        </row>
        <row r="195">
          <cell r="AO195" t="str">
            <v/>
          </cell>
        </row>
        <row r="196">
          <cell r="AO196" t="str">
            <v/>
          </cell>
        </row>
        <row r="197">
          <cell r="AO197" t="str">
            <v/>
          </cell>
        </row>
        <row r="198">
          <cell r="AO198" t="str">
            <v/>
          </cell>
        </row>
        <row r="199">
          <cell r="AO199" t="str">
            <v/>
          </cell>
        </row>
        <row r="200">
          <cell r="AO200" t="str">
            <v/>
          </cell>
        </row>
        <row r="201">
          <cell r="AO201" t="str">
            <v/>
          </cell>
        </row>
        <row r="202">
          <cell r="AO202" t="str">
            <v/>
          </cell>
        </row>
        <row r="203">
          <cell r="AO203" t="str">
            <v/>
          </cell>
        </row>
        <row r="204">
          <cell r="AO204" t="str">
            <v/>
          </cell>
        </row>
        <row r="205">
          <cell r="AO205" t="str">
            <v/>
          </cell>
        </row>
        <row r="206">
          <cell r="AO206" t="str">
            <v/>
          </cell>
        </row>
        <row r="207">
          <cell r="AO207" t="str">
            <v/>
          </cell>
        </row>
        <row r="208">
          <cell r="AO208" t="str">
            <v/>
          </cell>
        </row>
        <row r="209">
          <cell r="AO209" t="str">
            <v/>
          </cell>
        </row>
        <row r="210">
          <cell r="AO210" t="str">
            <v/>
          </cell>
        </row>
        <row r="211">
          <cell r="AO211" t="str">
            <v/>
          </cell>
        </row>
        <row r="212">
          <cell r="AO212" t="str">
            <v/>
          </cell>
        </row>
        <row r="213">
          <cell r="AO213" t="str">
            <v/>
          </cell>
        </row>
        <row r="214">
          <cell r="AO214" t="str">
            <v/>
          </cell>
        </row>
        <row r="215">
          <cell r="AO215" t="str">
            <v/>
          </cell>
        </row>
        <row r="216">
          <cell r="AO216" t="str">
            <v/>
          </cell>
        </row>
        <row r="217">
          <cell r="AO217" t="str">
            <v/>
          </cell>
        </row>
        <row r="218">
          <cell r="AO218" t="str">
            <v/>
          </cell>
        </row>
        <row r="219">
          <cell r="AO219" t="str">
            <v/>
          </cell>
        </row>
        <row r="220">
          <cell r="AO220" t="str">
            <v/>
          </cell>
        </row>
        <row r="221">
          <cell r="AO221" t="str">
            <v/>
          </cell>
        </row>
        <row r="222">
          <cell r="AO222" t="str">
            <v/>
          </cell>
        </row>
        <row r="223">
          <cell r="AO223" t="str">
            <v/>
          </cell>
        </row>
        <row r="224">
          <cell r="AO224" t="str">
            <v/>
          </cell>
        </row>
        <row r="225">
          <cell r="AO225" t="str">
            <v/>
          </cell>
        </row>
        <row r="226">
          <cell r="AO226" t="str">
            <v/>
          </cell>
        </row>
        <row r="227">
          <cell r="AO227" t="str">
            <v/>
          </cell>
        </row>
        <row r="228">
          <cell r="AO228" t="str">
            <v/>
          </cell>
        </row>
        <row r="229">
          <cell r="AO229" t="str">
            <v/>
          </cell>
        </row>
        <row r="230">
          <cell r="AO230" t="str">
            <v/>
          </cell>
        </row>
        <row r="231">
          <cell r="AO231" t="str">
            <v/>
          </cell>
        </row>
        <row r="232">
          <cell r="AO232" t="str">
            <v/>
          </cell>
        </row>
        <row r="233">
          <cell r="AO233" t="str">
            <v/>
          </cell>
        </row>
        <row r="234">
          <cell r="AO234" t="str">
            <v/>
          </cell>
        </row>
        <row r="235">
          <cell r="AO235" t="str">
            <v/>
          </cell>
        </row>
        <row r="236">
          <cell r="AO236" t="str">
            <v/>
          </cell>
        </row>
        <row r="237">
          <cell r="AO237" t="str">
            <v/>
          </cell>
        </row>
        <row r="238">
          <cell r="AO238" t="str">
            <v/>
          </cell>
        </row>
        <row r="239">
          <cell r="AO239" t="str">
            <v/>
          </cell>
        </row>
        <row r="240">
          <cell r="AO240" t="str">
            <v/>
          </cell>
        </row>
        <row r="241">
          <cell r="AO241" t="str">
            <v/>
          </cell>
        </row>
        <row r="242">
          <cell r="AO242" t="str">
            <v/>
          </cell>
        </row>
        <row r="243">
          <cell r="AO243" t="str">
            <v/>
          </cell>
        </row>
        <row r="244">
          <cell r="AO244" t="str">
            <v/>
          </cell>
        </row>
        <row r="245">
          <cell r="AO245" t="str">
            <v/>
          </cell>
        </row>
        <row r="246">
          <cell r="AO246" t="str">
            <v/>
          </cell>
        </row>
        <row r="247">
          <cell r="AO247" t="str">
            <v/>
          </cell>
        </row>
        <row r="248">
          <cell r="AO248" t="str">
            <v/>
          </cell>
        </row>
        <row r="249">
          <cell r="AO249" t="str">
            <v/>
          </cell>
        </row>
        <row r="250">
          <cell r="AO250" t="str">
            <v/>
          </cell>
        </row>
        <row r="251">
          <cell r="AO251" t="str">
            <v/>
          </cell>
        </row>
        <row r="252">
          <cell r="AO252" t="str">
            <v/>
          </cell>
        </row>
        <row r="253">
          <cell r="AO253" t="str">
            <v/>
          </cell>
        </row>
        <row r="254">
          <cell r="AO254" t="str">
            <v/>
          </cell>
        </row>
        <row r="255">
          <cell r="AO255" t="str">
            <v/>
          </cell>
        </row>
        <row r="256">
          <cell r="AO256" t="str">
            <v/>
          </cell>
        </row>
        <row r="257">
          <cell r="AO257" t="str">
            <v/>
          </cell>
        </row>
        <row r="258">
          <cell r="AO258" t="str">
            <v/>
          </cell>
        </row>
        <row r="259">
          <cell r="AO259" t="str">
            <v/>
          </cell>
        </row>
        <row r="260">
          <cell r="AO260" t="str">
            <v/>
          </cell>
        </row>
        <row r="261">
          <cell r="AO261" t="str">
            <v/>
          </cell>
        </row>
        <row r="262">
          <cell r="AO262" t="str">
            <v/>
          </cell>
        </row>
        <row r="263">
          <cell r="AO263" t="str">
            <v/>
          </cell>
        </row>
        <row r="264">
          <cell r="AO264" t="str">
            <v/>
          </cell>
        </row>
        <row r="265">
          <cell r="AO265" t="str">
            <v/>
          </cell>
        </row>
        <row r="266">
          <cell r="AO266" t="str">
            <v/>
          </cell>
        </row>
        <row r="267">
          <cell r="AO267" t="str">
            <v/>
          </cell>
        </row>
        <row r="268">
          <cell r="AO268" t="str">
            <v/>
          </cell>
        </row>
        <row r="269">
          <cell r="AO269" t="str">
            <v/>
          </cell>
        </row>
        <row r="270">
          <cell r="AO270" t="str">
            <v/>
          </cell>
        </row>
        <row r="271">
          <cell r="AO271" t="str">
            <v/>
          </cell>
        </row>
        <row r="272">
          <cell r="AO272" t="str">
            <v/>
          </cell>
        </row>
        <row r="273">
          <cell r="AO273" t="str">
            <v/>
          </cell>
        </row>
        <row r="274">
          <cell r="AO274" t="str">
            <v/>
          </cell>
        </row>
        <row r="275">
          <cell r="AO275" t="str">
            <v/>
          </cell>
        </row>
        <row r="276">
          <cell r="AO276" t="str">
            <v/>
          </cell>
        </row>
        <row r="277">
          <cell r="AO277" t="str">
            <v/>
          </cell>
        </row>
        <row r="278">
          <cell r="AO278" t="str">
            <v/>
          </cell>
        </row>
        <row r="279">
          <cell r="AO279" t="str">
            <v/>
          </cell>
        </row>
        <row r="280">
          <cell r="AO280" t="str">
            <v/>
          </cell>
        </row>
        <row r="281">
          <cell r="AO281" t="str">
            <v/>
          </cell>
        </row>
        <row r="282">
          <cell r="AO282" t="str">
            <v/>
          </cell>
        </row>
        <row r="283">
          <cell r="AO283" t="str">
            <v/>
          </cell>
        </row>
        <row r="284">
          <cell r="AO284" t="str">
            <v/>
          </cell>
        </row>
        <row r="285">
          <cell r="AO285" t="str">
            <v/>
          </cell>
        </row>
        <row r="286">
          <cell r="AO286" t="str">
            <v/>
          </cell>
        </row>
        <row r="287">
          <cell r="AO287" t="str">
            <v/>
          </cell>
        </row>
        <row r="288">
          <cell r="AO288" t="str">
            <v/>
          </cell>
        </row>
        <row r="289">
          <cell r="AO289" t="str">
            <v/>
          </cell>
        </row>
        <row r="290">
          <cell r="AO290" t="str">
            <v/>
          </cell>
        </row>
        <row r="291">
          <cell r="AO291" t="str">
            <v/>
          </cell>
        </row>
        <row r="292">
          <cell r="AO292" t="str">
            <v/>
          </cell>
        </row>
        <row r="293">
          <cell r="AO293" t="str">
            <v/>
          </cell>
        </row>
        <row r="294">
          <cell r="AO294" t="str">
            <v/>
          </cell>
        </row>
        <row r="295">
          <cell r="AO295" t="str">
            <v/>
          </cell>
        </row>
        <row r="296">
          <cell r="AO296" t="str">
            <v/>
          </cell>
        </row>
        <row r="297">
          <cell r="AO297" t="str">
            <v/>
          </cell>
        </row>
        <row r="298">
          <cell r="AO298" t="str">
            <v/>
          </cell>
        </row>
        <row r="299">
          <cell r="AO299" t="str">
            <v/>
          </cell>
        </row>
        <row r="300">
          <cell r="AO300" t="str">
            <v/>
          </cell>
        </row>
        <row r="301">
          <cell r="AO301" t="str">
            <v/>
          </cell>
        </row>
        <row r="302">
          <cell r="AO302" t="str">
            <v/>
          </cell>
        </row>
        <row r="303">
          <cell r="AO303" t="str">
            <v/>
          </cell>
        </row>
        <row r="304">
          <cell r="AO304" t="str">
            <v/>
          </cell>
        </row>
        <row r="305">
          <cell r="AO305" t="str">
            <v/>
          </cell>
        </row>
        <row r="306">
          <cell r="AO306" t="str">
            <v/>
          </cell>
        </row>
        <row r="307">
          <cell r="AO307" t="str">
            <v/>
          </cell>
        </row>
        <row r="308">
          <cell r="AO308" t="str">
            <v/>
          </cell>
        </row>
        <row r="309">
          <cell r="AO309" t="str">
            <v/>
          </cell>
        </row>
        <row r="310">
          <cell r="AO310" t="str">
            <v/>
          </cell>
        </row>
        <row r="311">
          <cell r="AO311" t="str">
            <v/>
          </cell>
        </row>
        <row r="312">
          <cell r="AO312" t="str">
            <v/>
          </cell>
        </row>
        <row r="313">
          <cell r="AO313" t="str">
            <v/>
          </cell>
        </row>
        <row r="314">
          <cell r="AO314" t="str">
            <v/>
          </cell>
        </row>
        <row r="315">
          <cell r="AO315" t="str">
            <v/>
          </cell>
        </row>
        <row r="316">
          <cell r="AO316" t="str">
            <v/>
          </cell>
        </row>
        <row r="317">
          <cell r="AO317" t="str">
            <v/>
          </cell>
        </row>
        <row r="318">
          <cell r="AO318" t="str">
            <v/>
          </cell>
        </row>
        <row r="319">
          <cell r="AO319" t="str">
            <v/>
          </cell>
        </row>
        <row r="320">
          <cell r="AO320" t="str">
            <v/>
          </cell>
        </row>
        <row r="321">
          <cell r="AO321" t="str">
            <v/>
          </cell>
        </row>
        <row r="322">
          <cell r="AO322" t="str">
            <v/>
          </cell>
        </row>
        <row r="323">
          <cell r="AO323" t="str">
            <v/>
          </cell>
        </row>
        <row r="324">
          <cell r="AO324" t="str">
            <v/>
          </cell>
        </row>
        <row r="325">
          <cell r="AO325" t="str">
            <v/>
          </cell>
        </row>
        <row r="326">
          <cell r="AO326" t="str">
            <v/>
          </cell>
        </row>
        <row r="327">
          <cell r="AO327" t="str">
            <v/>
          </cell>
        </row>
        <row r="328">
          <cell r="AO328" t="str">
            <v/>
          </cell>
        </row>
        <row r="329">
          <cell r="AO329" t="str">
            <v/>
          </cell>
        </row>
        <row r="330">
          <cell r="AO330" t="str">
            <v/>
          </cell>
        </row>
        <row r="331">
          <cell r="AO331" t="str">
            <v/>
          </cell>
        </row>
        <row r="332">
          <cell r="AO332" t="str">
            <v/>
          </cell>
        </row>
        <row r="333">
          <cell r="AO333" t="str">
            <v/>
          </cell>
        </row>
        <row r="334">
          <cell r="AO334" t="str">
            <v/>
          </cell>
        </row>
        <row r="335">
          <cell r="AO335" t="str">
            <v/>
          </cell>
        </row>
        <row r="336">
          <cell r="AO336" t="str">
            <v/>
          </cell>
        </row>
        <row r="337">
          <cell r="AO337" t="str">
            <v/>
          </cell>
        </row>
        <row r="338">
          <cell r="AO338" t="str">
            <v/>
          </cell>
        </row>
        <row r="339">
          <cell r="AO339" t="str">
            <v/>
          </cell>
        </row>
        <row r="340">
          <cell r="AO340">
            <v>0</v>
          </cell>
        </row>
        <row r="341">
          <cell r="AO341">
            <v>0</v>
          </cell>
        </row>
        <row r="342">
          <cell r="AO342">
            <v>0</v>
          </cell>
        </row>
        <row r="343">
          <cell r="AO343">
            <v>0</v>
          </cell>
        </row>
        <row r="344">
          <cell r="AO344">
            <v>0</v>
          </cell>
        </row>
        <row r="345">
          <cell r="AO345">
            <v>0</v>
          </cell>
        </row>
        <row r="346">
          <cell r="AO346">
            <v>0</v>
          </cell>
        </row>
        <row r="347">
          <cell r="AO347">
            <v>0</v>
          </cell>
        </row>
        <row r="348">
          <cell r="AO348">
            <v>0</v>
          </cell>
        </row>
        <row r="349">
          <cell r="AO349">
            <v>0</v>
          </cell>
        </row>
        <row r="350">
          <cell r="AO350">
            <v>0</v>
          </cell>
        </row>
        <row r="351">
          <cell r="AO351">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charges"/>
      <sheetName val="Homepage"/>
      <sheetName val="User_guidelines"/>
      <sheetName val="select items_PMW"/>
      <sheetName val="select items_DAW"/>
      <sheetName val="select items_TAW"/>
      <sheetName val="select items_CAW"/>
      <sheetName val="select items_CCDW"/>
      <sheetName val="select items_GAW"/>
      <sheetName val="estimate for printing "/>
      <sheetName val="estimate"/>
      <sheetName val="abstract_of_items"/>
      <sheetName val="General Abstract"/>
      <sheetName val="New Rates"/>
      <sheetName val="DATAS"/>
      <sheetName val="final"/>
    </sheetNames>
    <sheetDataSet>
      <sheetData sheetId="0"/>
      <sheetData sheetId="1"/>
      <sheetData sheetId="2"/>
      <sheetData sheetId="3">
        <row r="20">
          <cell r="AO20" t="str">
            <v xml:space="preserve"> </v>
          </cell>
        </row>
        <row r="21">
          <cell r="AO21" t="str">
            <v xml:space="preserve"> </v>
          </cell>
        </row>
        <row r="22">
          <cell r="AO22" t="str">
            <v xml:space="preserve"> </v>
          </cell>
        </row>
        <row r="23">
          <cell r="AO23" t="str">
            <v xml:space="preserve"> </v>
          </cell>
        </row>
        <row r="24">
          <cell r="AO24" t="str">
            <v xml:space="preserve"> </v>
          </cell>
        </row>
        <row r="25">
          <cell r="AO25" t="str">
            <v xml:space="preserve"> </v>
          </cell>
        </row>
        <row r="26">
          <cell r="AO26" t="str">
            <v xml:space="preserve"> </v>
          </cell>
        </row>
        <row r="27">
          <cell r="AO27" t="str">
            <v xml:space="preserve"> </v>
          </cell>
        </row>
        <row r="28">
          <cell r="AO28" t="str">
            <v xml:space="preserve"> </v>
          </cell>
        </row>
        <row r="29">
          <cell r="AO29" t="str">
            <v xml:space="preserve"> </v>
          </cell>
        </row>
        <row r="30">
          <cell r="AO30" t="str">
            <v xml:space="preserve"> </v>
          </cell>
        </row>
        <row r="31">
          <cell r="AO31" t="str">
            <v xml:space="preserve"> </v>
          </cell>
        </row>
        <row r="32">
          <cell r="AO32" t="str">
            <v xml:space="preserve"> </v>
          </cell>
        </row>
        <row r="33">
          <cell r="AO33" t="str">
            <v xml:space="preserve"> </v>
          </cell>
        </row>
        <row r="34">
          <cell r="AO34" t="str">
            <v xml:space="preserve"> </v>
          </cell>
        </row>
        <row r="35">
          <cell r="AO35" t="str">
            <v xml:space="preserve"> </v>
          </cell>
        </row>
        <row r="36">
          <cell r="AO36" t="str">
            <v xml:space="preserve"> </v>
          </cell>
        </row>
        <row r="37">
          <cell r="AO37" t="str">
            <v xml:space="preserve"> </v>
          </cell>
        </row>
        <row r="38">
          <cell r="AO38" t="str">
            <v xml:space="preserve"> </v>
          </cell>
        </row>
        <row r="39">
          <cell r="AO39" t="str">
            <v xml:space="preserve"> </v>
          </cell>
        </row>
        <row r="40">
          <cell r="AO40" t="str">
            <v xml:space="preserve"> </v>
          </cell>
        </row>
        <row r="41">
          <cell r="AO41" t="str">
            <v xml:space="preserve"> </v>
          </cell>
        </row>
        <row r="42">
          <cell r="AO42" t="str">
            <v xml:space="preserve"> </v>
          </cell>
        </row>
        <row r="43">
          <cell r="AO43" t="str">
            <v xml:space="preserve"> </v>
          </cell>
        </row>
        <row r="44">
          <cell r="AO44" t="str">
            <v xml:space="preserve"> </v>
          </cell>
        </row>
        <row r="45">
          <cell r="AO45" t="str">
            <v xml:space="preserve"> </v>
          </cell>
        </row>
        <row r="46">
          <cell r="AO46" t="str">
            <v xml:space="preserve"> </v>
          </cell>
        </row>
        <row r="47">
          <cell r="AO47" t="str">
            <v xml:space="preserve"> </v>
          </cell>
        </row>
        <row r="48">
          <cell r="AO48" t="str">
            <v xml:space="preserve"> </v>
          </cell>
        </row>
        <row r="49">
          <cell r="AO49" t="str">
            <v xml:space="preserve"> </v>
          </cell>
        </row>
        <row r="50">
          <cell r="AO50" t="str">
            <v xml:space="preserve"> </v>
          </cell>
        </row>
        <row r="51">
          <cell r="AO51" t="str">
            <v xml:space="preserve"> </v>
          </cell>
        </row>
        <row r="52">
          <cell r="AO52" t="str">
            <v xml:space="preserve"> </v>
          </cell>
        </row>
        <row r="53">
          <cell r="AO53" t="str">
            <v xml:space="preserve"> </v>
          </cell>
        </row>
        <row r="54">
          <cell r="AO54" t="str">
            <v xml:space="preserve"> </v>
          </cell>
        </row>
        <row r="55">
          <cell r="AO55" t="str">
            <v xml:space="preserve"> </v>
          </cell>
        </row>
        <row r="56">
          <cell r="AO56" t="str">
            <v xml:space="preserve"> </v>
          </cell>
        </row>
        <row r="57">
          <cell r="AO57" t="str">
            <v xml:space="preserve"> </v>
          </cell>
        </row>
        <row r="58">
          <cell r="AO58" t="str">
            <v xml:space="preserve"> </v>
          </cell>
        </row>
        <row r="59">
          <cell r="AO59" t="str">
            <v xml:space="preserve"> </v>
          </cell>
        </row>
        <row r="60">
          <cell r="AO60" t="str">
            <v xml:space="preserve"> </v>
          </cell>
        </row>
        <row r="61">
          <cell r="AO61" t="str">
            <v xml:space="preserve"> </v>
          </cell>
        </row>
        <row r="62">
          <cell r="AO62" t="str">
            <v xml:space="preserve"> </v>
          </cell>
        </row>
        <row r="63">
          <cell r="AO63" t="str">
            <v xml:space="preserve"> </v>
          </cell>
        </row>
        <row r="64">
          <cell r="AO64" t="str">
            <v xml:space="preserve"> </v>
          </cell>
        </row>
        <row r="65">
          <cell r="AO65" t="str">
            <v xml:space="preserve"> </v>
          </cell>
        </row>
        <row r="66">
          <cell r="AO66" t="str">
            <v xml:space="preserve"> </v>
          </cell>
        </row>
        <row r="67">
          <cell r="AO67" t="str">
            <v xml:space="preserve"> </v>
          </cell>
        </row>
        <row r="68">
          <cell r="AO68" t="str">
            <v xml:space="preserve"> </v>
          </cell>
        </row>
        <row r="69">
          <cell r="AO69" t="str">
            <v xml:space="preserve"> </v>
          </cell>
        </row>
        <row r="70">
          <cell r="AO70" t="str">
            <v xml:space="preserve"> </v>
          </cell>
        </row>
        <row r="71">
          <cell r="AO71" t="str">
            <v xml:space="preserve"> </v>
          </cell>
        </row>
        <row r="72">
          <cell r="AO72" t="str">
            <v xml:space="preserve"> </v>
          </cell>
        </row>
        <row r="73">
          <cell r="AO73" t="str">
            <v xml:space="preserve"> </v>
          </cell>
        </row>
        <row r="74">
          <cell r="AO74" t="str">
            <v xml:space="preserve"> </v>
          </cell>
        </row>
        <row r="75">
          <cell r="AO75" t="str">
            <v xml:space="preserve"> </v>
          </cell>
        </row>
        <row r="76">
          <cell r="AO76" t="str">
            <v xml:space="preserve"> </v>
          </cell>
        </row>
        <row r="77">
          <cell r="AO77" t="str">
            <v xml:space="preserve"> </v>
          </cell>
        </row>
        <row r="78">
          <cell r="AO78" t="str">
            <v xml:space="preserve"> </v>
          </cell>
        </row>
        <row r="79">
          <cell r="AO79" t="str">
            <v xml:space="preserve"> </v>
          </cell>
        </row>
        <row r="80">
          <cell r="AO80" t="str">
            <v xml:space="preserve"> </v>
          </cell>
        </row>
        <row r="81">
          <cell r="AO81" t="str">
            <v xml:space="preserve"> </v>
          </cell>
        </row>
        <row r="82">
          <cell r="AO82" t="str">
            <v xml:space="preserve"> </v>
          </cell>
        </row>
        <row r="83">
          <cell r="AO83" t="str">
            <v xml:space="preserve"> </v>
          </cell>
        </row>
        <row r="84">
          <cell r="AO84" t="str">
            <v xml:space="preserve"> </v>
          </cell>
        </row>
        <row r="85">
          <cell r="AO85" t="str">
            <v xml:space="preserve"> </v>
          </cell>
        </row>
        <row r="86">
          <cell r="AO86" t="str">
            <v xml:space="preserve"> </v>
          </cell>
        </row>
        <row r="87">
          <cell r="AO87" t="str">
            <v xml:space="preserve"> </v>
          </cell>
        </row>
        <row r="88">
          <cell r="AO88" t="str">
            <v xml:space="preserve"> </v>
          </cell>
        </row>
        <row r="89">
          <cell r="AO89" t="str">
            <v xml:space="preserve"> </v>
          </cell>
        </row>
        <row r="90">
          <cell r="AO90" t="str">
            <v xml:space="preserve"> </v>
          </cell>
        </row>
        <row r="91">
          <cell r="AO91" t="str">
            <v xml:space="preserve"> </v>
          </cell>
        </row>
        <row r="92">
          <cell r="AO92" t="str">
            <v xml:space="preserve"> </v>
          </cell>
        </row>
        <row r="93">
          <cell r="AO93" t="str">
            <v xml:space="preserve"> </v>
          </cell>
        </row>
        <row r="94">
          <cell r="AO94" t="str">
            <v xml:space="preserve"> </v>
          </cell>
        </row>
        <row r="95">
          <cell r="AO95" t="str">
            <v xml:space="preserve"> </v>
          </cell>
        </row>
        <row r="96">
          <cell r="AO96" t="str">
            <v xml:space="preserve"> </v>
          </cell>
        </row>
        <row r="97">
          <cell r="AO97" t="str">
            <v xml:space="preserve"> </v>
          </cell>
        </row>
        <row r="98">
          <cell r="AO98" t="str">
            <v xml:space="preserve"> </v>
          </cell>
        </row>
        <row r="99">
          <cell r="AO99" t="str">
            <v xml:space="preserve"> </v>
          </cell>
        </row>
        <row r="100">
          <cell r="AO100" t="str">
            <v xml:space="preserve"> </v>
          </cell>
        </row>
        <row r="101">
          <cell r="AO101" t="str">
            <v xml:space="preserve"> </v>
          </cell>
        </row>
        <row r="102">
          <cell r="AO102" t="str">
            <v xml:space="preserve"> </v>
          </cell>
        </row>
        <row r="103">
          <cell r="AO103" t="str">
            <v xml:space="preserve"> </v>
          </cell>
        </row>
        <row r="104">
          <cell r="AO104" t="str">
            <v xml:space="preserve"> </v>
          </cell>
        </row>
        <row r="105">
          <cell r="AO105" t="str">
            <v xml:space="preserve"> </v>
          </cell>
        </row>
        <row r="106">
          <cell r="AO106" t="str">
            <v xml:space="preserve"> </v>
          </cell>
        </row>
        <row r="107">
          <cell r="AO107" t="str">
            <v xml:space="preserve"> </v>
          </cell>
        </row>
        <row r="108">
          <cell r="AO108" t="str">
            <v xml:space="preserve"> </v>
          </cell>
        </row>
        <row r="109">
          <cell r="AO109" t="str">
            <v xml:space="preserve"> </v>
          </cell>
        </row>
        <row r="110">
          <cell r="AO110" t="str">
            <v xml:space="preserve"> </v>
          </cell>
        </row>
        <row r="111">
          <cell r="AO111" t="str">
            <v xml:space="preserve"> </v>
          </cell>
        </row>
        <row r="112">
          <cell r="AO112" t="str">
            <v xml:space="preserve"> </v>
          </cell>
        </row>
        <row r="113">
          <cell r="AO113" t="str">
            <v xml:space="preserve"> </v>
          </cell>
        </row>
        <row r="114">
          <cell r="AO114" t="str">
            <v xml:space="preserve"> </v>
          </cell>
        </row>
        <row r="115">
          <cell r="AO115" t="str">
            <v xml:space="preserve"> </v>
          </cell>
        </row>
        <row r="116">
          <cell r="AO116" t="str">
            <v xml:space="preserve"> </v>
          </cell>
        </row>
        <row r="117">
          <cell r="AO117" t="str">
            <v xml:space="preserve"> </v>
          </cell>
        </row>
        <row r="118">
          <cell r="AO118" t="str">
            <v xml:space="preserve"> </v>
          </cell>
        </row>
        <row r="119">
          <cell r="AO119" t="str">
            <v xml:space="preserve"> </v>
          </cell>
        </row>
        <row r="120">
          <cell r="AO120" t="str">
            <v xml:space="preserve"> </v>
          </cell>
        </row>
        <row r="121">
          <cell r="AO121" t="str">
            <v xml:space="preserve"> </v>
          </cell>
        </row>
        <row r="122">
          <cell r="AO122" t="str">
            <v xml:space="preserve"> </v>
          </cell>
        </row>
        <row r="123">
          <cell r="AO123" t="str">
            <v xml:space="preserve"> </v>
          </cell>
        </row>
        <row r="124">
          <cell r="AO124" t="str">
            <v xml:space="preserve"> </v>
          </cell>
        </row>
        <row r="125">
          <cell r="AO125" t="str">
            <v xml:space="preserve"> </v>
          </cell>
        </row>
        <row r="126">
          <cell r="AO126" t="str">
            <v xml:space="preserve"> </v>
          </cell>
        </row>
        <row r="127">
          <cell r="AO127" t="str">
            <v xml:space="preserve"> </v>
          </cell>
        </row>
        <row r="128">
          <cell r="AO128" t="str">
            <v xml:space="preserve"> </v>
          </cell>
        </row>
        <row r="129">
          <cell r="AO129" t="str">
            <v xml:space="preserve"> </v>
          </cell>
        </row>
        <row r="130">
          <cell r="AO130" t="str">
            <v xml:space="preserve"> </v>
          </cell>
        </row>
        <row r="131">
          <cell r="AO131" t="str">
            <v xml:space="preserve"> </v>
          </cell>
        </row>
        <row r="132">
          <cell r="AO132" t="str">
            <v xml:space="preserve"> </v>
          </cell>
        </row>
        <row r="133">
          <cell r="AO133" t="str">
            <v xml:space="preserve"> </v>
          </cell>
        </row>
        <row r="134">
          <cell r="AO134" t="str">
            <v xml:space="preserve"> </v>
          </cell>
        </row>
        <row r="135">
          <cell r="AO135" t="str">
            <v xml:space="preserve"> </v>
          </cell>
        </row>
        <row r="136">
          <cell r="AO136" t="str">
            <v xml:space="preserve"> </v>
          </cell>
        </row>
        <row r="137">
          <cell r="AO137" t="str">
            <v xml:space="preserve"> </v>
          </cell>
        </row>
        <row r="138">
          <cell r="AO138" t="str">
            <v xml:space="preserve"> </v>
          </cell>
        </row>
        <row r="139">
          <cell r="AO139" t="str">
            <v xml:space="preserve"> </v>
          </cell>
        </row>
        <row r="140">
          <cell r="AO140" t="str">
            <v xml:space="preserve"> </v>
          </cell>
        </row>
        <row r="141">
          <cell r="AO141" t="str">
            <v xml:space="preserve"> </v>
          </cell>
        </row>
        <row r="142">
          <cell r="AO142" t="str">
            <v xml:space="preserve"> </v>
          </cell>
        </row>
        <row r="143">
          <cell r="AO143" t="str">
            <v xml:space="preserve"> </v>
          </cell>
        </row>
        <row r="144">
          <cell r="AO144" t="str">
            <v xml:space="preserve"> </v>
          </cell>
        </row>
        <row r="145">
          <cell r="AO145" t="str">
            <v xml:space="preserve"> </v>
          </cell>
        </row>
        <row r="146">
          <cell r="AO146" t="str">
            <v xml:space="preserve"> </v>
          </cell>
        </row>
        <row r="147">
          <cell r="AO147" t="str">
            <v xml:space="preserve"> </v>
          </cell>
        </row>
        <row r="148">
          <cell r="AO148" t="str">
            <v xml:space="preserve"> </v>
          </cell>
        </row>
        <row r="149">
          <cell r="AO149" t="str">
            <v xml:space="preserve"> </v>
          </cell>
        </row>
        <row r="150">
          <cell r="AO150" t="str">
            <v xml:space="preserve"> </v>
          </cell>
        </row>
        <row r="151">
          <cell r="AO151" t="str">
            <v xml:space="preserve"> </v>
          </cell>
        </row>
        <row r="152">
          <cell r="AO152" t="str">
            <v xml:space="preserve"> </v>
          </cell>
        </row>
        <row r="153">
          <cell r="AO153" t="str">
            <v xml:space="preserve"> </v>
          </cell>
        </row>
        <row r="154">
          <cell r="AO154" t="str">
            <v xml:space="preserve"> </v>
          </cell>
        </row>
        <row r="155">
          <cell r="AO155" t="str">
            <v xml:space="preserve"> </v>
          </cell>
        </row>
        <row r="156">
          <cell r="AO156" t="str">
            <v xml:space="preserve"> </v>
          </cell>
        </row>
        <row r="157">
          <cell r="AO157" t="str">
            <v xml:space="preserve"> </v>
          </cell>
        </row>
        <row r="158">
          <cell r="AO158" t="str">
            <v xml:space="preserve"> </v>
          </cell>
        </row>
        <row r="159">
          <cell r="AO159" t="str">
            <v xml:space="preserve"> </v>
          </cell>
        </row>
        <row r="160">
          <cell r="AO160" t="str">
            <v xml:space="preserve"> </v>
          </cell>
        </row>
        <row r="161">
          <cell r="AO161" t="str">
            <v xml:space="preserve"> </v>
          </cell>
        </row>
        <row r="162">
          <cell r="AO162" t="str">
            <v xml:space="preserve"> </v>
          </cell>
        </row>
        <row r="163">
          <cell r="AO163" t="str">
            <v xml:space="preserve"> </v>
          </cell>
        </row>
        <row r="164">
          <cell r="AO164" t="str">
            <v xml:space="preserve"> </v>
          </cell>
        </row>
        <row r="165">
          <cell r="AO165" t="str">
            <v xml:space="preserve"> </v>
          </cell>
        </row>
        <row r="166">
          <cell r="AO166" t="str">
            <v xml:space="preserve"> </v>
          </cell>
        </row>
        <row r="167">
          <cell r="AO167" t="str">
            <v xml:space="preserve"> </v>
          </cell>
        </row>
        <row r="168">
          <cell r="AO168" t="str">
            <v xml:space="preserve"> </v>
          </cell>
        </row>
        <row r="169">
          <cell r="AO169" t="str">
            <v xml:space="preserve"> </v>
          </cell>
        </row>
        <row r="170">
          <cell r="AO170" t="str">
            <v xml:space="preserve"> </v>
          </cell>
        </row>
        <row r="171">
          <cell r="AO171" t="str">
            <v xml:space="preserve"> </v>
          </cell>
        </row>
        <row r="172">
          <cell r="AO172" t="str">
            <v xml:space="preserve"> </v>
          </cell>
        </row>
        <row r="173">
          <cell r="AO173" t="str">
            <v xml:space="preserve"> </v>
          </cell>
        </row>
        <row r="174">
          <cell r="AO174" t="str">
            <v xml:space="preserve"> </v>
          </cell>
        </row>
        <row r="175">
          <cell r="AO175" t="str">
            <v xml:space="preserve"> </v>
          </cell>
        </row>
        <row r="176">
          <cell r="AO176" t="str">
            <v xml:space="preserve"> </v>
          </cell>
        </row>
        <row r="177">
          <cell r="AO177" t="str">
            <v xml:space="preserve"> </v>
          </cell>
        </row>
        <row r="178">
          <cell r="AO178" t="str">
            <v xml:space="preserve"> </v>
          </cell>
        </row>
        <row r="179">
          <cell r="AO179" t="str">
            <v xml:space="preserve"> </v>
          </cell>
        </row>
        <row r="180">
          <cell r="AO180" t="str">
            <v xml:space="preserve"> </v>
          </cell>
        </row>
        <row r="181">
          <cell r="AO181" t="str">
            <v xml:space="preserve"> </v>
          </cell>
        </row>
        <row r="182">
          <cell r="AO182" t="str">
            <v xml:space="preserve"> </v>
          </cell>
        </row>
        <row r="183">
          <cell r="AO183" t="str">
            <v xml:space="preserve"> </v>
          </cell>
        </row>
        <row r="184">
          <cell r="AO184" t="str">
            <v xml:space="preserve"> </v>
          </cell>
        </row>
        <row r="185">
          <cell r="AO185" t="str">
            <v xml:space="preserve"> </v>
          </cell>
        </row>
        <row r="186">
          <cell r="AO186" t="str">
            <v xml:space="preserve"> </v>
          </cell>
        </row>
        <row r="187">
          <cell r="AO187" t="str">
            <v xml:space="preserve"> </v>
          </cell>
        </row>
        <row r="188">
          <cell r="AO188" t="str">
            <v xml:space="preserve"> </v>
          </cell>
        </row>
        <row r="189">
          <cell r="AO189" t="str">
            <v xml:space="preserve"> </v>
          </cell>
        </row>
        <row r="190">
          <cell r="AO190" t="str">
            <v xml:space="preserve"> </v>
          </cell>
        </row>
        <row r="191">
          <cell r="AO191" t="str">
            <v xml:space="preserve"> </v>
          </cell>
        </row>
        <row r="192">
          <cell r="AO192" t="str">
            <v xml:space="preserve"> </v>
          </cell>
        </row>
        <row r="193">
          <cell r="AO193" t="str">
            <v xml:space="preserve"> </v>
          </cell>
        </row>
        <row r="194">
          <cell r="AO194" t="str">
            <v xml:space="preserve"> </v>
          </cell>
        </row>
        <row r="195">
          <cell r="AO195" t="str">
            <v xml:space="preserve"> </v>
          </cell>
        </row>
        <row r="196">
          <cell r="AO196" t="str">
            <v xml:space="preserve"> </v>
          </cell>
        </row>
        <row r="197">
          <cell r="AO197" t="str">
            <v xml:space="preserve"> </v>
          </cell>
        </row>
        <row r="198">
          <cell r="AO198" t="str">
            <v xml:space="preserve"> </v>
          </cell>
        </row>
        <row r="199">
          <cell r="AO199" t="str">
            <v xml:space="preserve"> </v>
          </cell>
        </row>
        <row r="200">
          <cell r="AO200" t="str">
            <v xml:space="preserve"> </v>
          </cell>
        </row>
        <row r="201">
          <cell r="AO201" t="str">
            <v xml:space="preserve"> </v>
          </cell>
        </row>
        <row r="202">
          <cell r="AO202" t="str">
            <v xml:space="preserve"> </v>
          </cell>
        </row>
        <row r="203">
          <cell r="AO203" t="str">
            <v xml:space="preserve"> </v>
          </cell>
        </row>
        <row r="204">
          <cell r="AO204" t="str">
            <v xml:space="preserve"> </v>
          </cell>
        </row>
        <row r="205">
          <cell r="AO205" t="str">
            <v xml:space="preserve"> </v>
          </cell>
        </row>
        <row r="206">
          <cell r="AO206" t="str">
            <v xml:space="preserve"> </v>
          </cell>
        </row>
        <row r="207">
          <cell r="AO207" t="str">
            <v xml:space="preserve"> </v>
          </cell>
        </row>
        <row r="208">
          <cell r="AO208" t="str">
            <v xml:space="preserve"> </v>
          </cell>
        </row>
        <row r="209">
          <cell r="AO209" t="str">
            <v xml:space="preserve"> </v>
          </cell>
        </row>
        <row r="210">
          <cell r="AO210" t="str">
            <v xml:space="preserve"> </v>
          </cell>
        </row>
        <row r="211">
          <cell r="AO211" t="str">
            <v xml:space="preserve"> </v>
          </cell>
        </row>
        <row r="212">
          <cell r="AO212" t="str">
            <v xml:space="preserve"> </v>
          </cell>
        </row>
        <row r="213">
          <cell r="AO213" t="str">
            <v xml:space="preserve"> </v>
          </cell>
        </row>
        <row r="214">
          <cell r="AO214" t="str">
            <v xml:space="preserve"> </v>
          </cell>
        </row>
        <row r="215">
          <cell r="AO215" t="str">
            <v xml:space="preserve"> </v>
          </cell>
        </row>
        <row r="216">
          <cell r="AO216" t="str">
            <v xml:space="preserve"> </v>
          </cell>
        </row>
        <row r="217">
          <cell r="AO217" t="str">
            <v xml:space="preserve"> </v>
          </cell>
        </row>
        <row r="218">
          <cell r="AO218" t="str">
            <v xml:space="preserve"> </v>
          </cell>
        </row>
        <row r="219">
          <cell r="AO219" t="str">
            <v xml:space="preserve"> </v>
          </cell>
        </row>
        <row r="220">
          <cell r="AO220" t="str">
            <v xml:space="preserve"> </v>
          </cell>
        </row>
        <row r="221">
          <cell r="AO221" t="str">
            <v xml:space="preserve"> </v>
          </cell>
        </row>
        <row r="222">
          <cell r="AO222" t="str">
            <v xml:space="preserve"> </v>
          </cell>
        </row>
        <row r="223">
          <cell r="AO223" t="str">
            <v xml:space="preserve"> </v>
          </cell>
        </row>
        <row r="224">
          <cell r="AO224" t="str">
            <v xml:space="preserve"> </v>
          </cell>
        </row>
        <row r="225">
          <cell r="AO225" t="str">
            <v xml:space="preserve"> </v>
          </cell>
        </row>
        <row r="226">
          <cell r="AO226" t="str">
            <v xml:space="preserve"> </v>
          </cell>
        </row>
        <row r="227">
          <cell r="AO227" t="str">
            <v xml:space="preserve"> </v>
          </cell>
        </row>
        <row r="228">
          <cell r="AO228" t="str">
            <v xml:space="preserve"> </v>
          </cell>
        </row>
        <row r="229">
          <cell r="AO229" t="str">
            <v xml:space="preserve"> </v>
          </cell>
        </row>
        <row r="230">
          <cell r="AO230" t="str">
            <v xml:space="preserve"> </v>
          </cell>
        </row>
        <row r="231">
          <cell r="AO231" t="str">
            <v xml:space="preserve"> </v>
          </cell>
        </row>
        <row r="232">
          <cell r="AO232" t="str">
            <v xml:space="preserve"> </v>
          </cell>
        </row>
        <row r="233">
          <cell r="AO233" t="str">
            <v xml:space="preserve"> </v>
          </cell>
        </row>
        <row r="234">
          <cell r="AO234" t="str">
            <v xml:space="preserve"> </v>
          </cell>
        </row>
        <row r="235">
          <cell r="AO235" t="str">
            <v xml:space="preserve"> </v>
          </cell>
        </row>
        <row r="236">
          <cell r="AO236" t="str">
            <v xml:space="preserve"> </v>
          </cell>
        </row>
        <row r="237">
          <cell r="AO237" t="str">
            <v xml:space="preserve"> </v>
          </cell>
        </row>
        <row r="238">
          <cell r="AO238" t="str">
            <v xml:space="preserve"> </v>
          </cell>
        </row>
        <row r="239">
          <cell r="AO239" t="str">
            <v xml:space="preserve"> </v>
          </cell>
        </row>
        <row r="240">
          <cell r="AO240" t="str">
            <v xml:space="preserve"> </v>
          </cell>
        </row>
        <row r="241">
          <cell r="AO241" t="str">
            <v xml:space="preserve"> </v>
          </cell>
        </row>
        <row r="242">
          <cell r="AO242" t="str">
            <v xml:space="preserve"> </v>
          </cell>
        </row>
        <row r="243">
          <cell r="AO243" t="str">
            <v xml:space="preserve"> </v>
          </cell>
        </row>
        <row r="244">
          <cell r="AO244" t="str">
            <v xml:space="preserve"> </v>
          </cell>
        </row>
        <row r="245">
          <cell r="AO245" t="str">
            <v xml:space="preserve"> </v>
          </cell>
        </row>
        <row r="246">
          <cell r="AO246" t="str">
            <v xml:space="preserve"> </v>
          </cell>
        </row>
        <row r="247">
          <cell r="AO247" t="str">
            <v xml:space="preserve"> </v>
          </cell>
        </row>
        <row r="248">
          <cell r="AO248" t="str">
            <v xml:space="preserve"> </v>
          </cell>
        </row>
        <row r="249">
          <cell r="AO249" t="str">
            <v xml:space="preserve"> </v>
          </cell>
        </row>
        <row r="250">
          <cell r="AO250" t="str">
            <v xml:space="preserve"> </v>
          </cell>
        </row>
        <row r="251">
          <cell r="AO251" t="str">
            <v xml:space="preserve"> </v>
          </cell>
        </row>
        <row r="252">
          <cell r="AO252" t="str">
            <v xml:space="preserve"> </v>
          </cell>
        </row>
        <row r="253">
          <cell r="AO253" t="str">
            <v xml:space="preserve"> </v>
          </cell>
        </row>
        <row r="254">
          <cell r="AO254" t="str">
            <v xml:space="preserve"> </v>
          </cell>
        </row>
        <row r="255">
          <cell r="AO255" t="str">
            <v xml:space="preserve"> </v>
          </cell>
        </row>
        <row r="256">
          <cell r="AO256" t="str">
            <v xml:space="preserve"> </v>
          </cell>
        </row>
        <row r="257">
          <cell r="AO257" t="str">
            <v xml:space="preserve"> </v>
          </cell>
        </row>
        <row r="258">
          <cell r="AO258" t="str">
            <v xml:space="preserve"> </v>
          </cell>
        </row>
        <row r="259">
          <cell r="AO259" t="str">
            <v xml:space="preserve"> </v>
          </cell>
        </row>
        <row r="260">
          <cell r="AO260" t="str">
            <v xml:space="preserve"> </v>
          </cell>
        </row>
        <row r="261">
          <cell r="AO261" t="str">
            <v xml:space="preserve"> </v>
          </cell>
        </row>
        <row r="262">
          <cell r="AO262" t="str">
            <v xml:space="preserve"> </v>
          </cell>
        </row>
        <row r="263">
          <cell r="AO263" t="str">
            <v xml:space="preserve"> </v>
          </cell>
        </row>
        <row r="264">
          <cell r="AO264" t="str">
            <v xml:space="preserve"> </v>
          </cell>
        </row>
        <row r="265">
          <cell r="AO265" t="str">
            <v xml:space="preserve"> </v>
          </cell>
        </row>
        <row r="266">
          <cell r="AO266" t="str">
            <v xml:space="preserve"> </v>
          </cell>
        </row>
        <row r="267">
          <cell r="AO267" t="str">
            <v xml:space="preserve"> </v>
          </cell>
        </row>
        <row r="268">
          <cell r="AO268" t="str">
            <v xml:space="preserve"> </v>
          </cell>
        </row>
        <row r="269">
          <cell r="AO269" t="str">
            <v xml:space="preserve"> </v>
          </cell>
        </row>
        <row r="270">
          <cell r="AO270" t="str">
            <v xml:space="preserve"> </v>
          </cell>
        </row>
        <row r="271">
          <cell r="AO271" t="str">
            <v xml:space="preserve"> </v>
          </cell>
        </row>
        <row r="272">
          <cell r="AO272" t="str">
            <v xml:space="preserve"> </v>
          </cell>
        </row>
        <row r="273">
          <cell r="AO273" t="str">
            <v xml:space="preserve"> </v>
          </cell>
        </row>
        <row r="274">
          <cell r="AO274" t="str">
            <v xml:space="preserve"> </v>
          </cell>
        </row>
        <row r="275">
          <cell r="AO275" t="str">
            <v xml:space="preserve"> </v>
          </cell>
        </row>
        <row r="276">
          <cell r="AO276" t="str">
            <v xml:space="preserve"> </v>
          </cell>
        </row>
        <row r="277">
          <cell r="AO277" t="str">
            <v xml:space="preserve"> </v>
          </cell>
        </row>
        <row r="278">
          <cell r="AO278" t="str">
            <v xml:space="preserve"> </v>
          </cell>
        </row>
        <row r="279">
          <cell r="AO279" t="str">
            <v xml:space="preserve"> </v>
          </cell>
        </row>
        <row r="280">
          <cell r="AO280" t="str">
            <v xml:space="preserve"> </v>
          </cell>
        </row>
        <row r="281">
          <cell r="AO281" t="str">
            <v xml:space="preserve"> </v>
          </cell>
        </row>
        <row r="282">
          <cell r="AO282" t="str">
            <v xml:space="preserve"> </v>
          </cell>
        </row>
        <row r="283">
          <cell r="AO283" t="str">
            <v xml:space="preserve"> </v>
          </cell>
        </row>
        <row r="284">
          <cell r="AO284" t="str">
            <v xml:space="preserve"> </v>
          </cell>
        </row>
        <row r="285">
          <cell r="AO285" t="str">
            <v xml:space="preserve"> </v>
          </cell>
        </row>
        <row r="286">
          <cell r="AO286" t="str">
            <v xml:space="preserve"> </v>
          </cell>
        </row>
        <row r="287">
          <cell r="AO287" t="str">
            <v xml:space="preserve"> </v>
          </cell>
        </row>
        <row r="288">
          <cell r="AO288" t="str">
            <v xml:space="preserve"> </v>
          </cell>
        </row>
        <row r="289">
          <cell r="AO289" t="str">
            <v xml:space="preserve"> </v>
          </cell>
        </row>
        <row r="290">
          <cell r="AO290" t="str">
            <v xml:space="preserve"> </v>
          </cell>
        </row>
        <row r="291">
          <cell r="AO291" t="str">
            <v xml:space="preserve"> </v>
          </cell>
        </row>
        <row r="292">
          <cell r="AO292" t="str">
            <v xml:space="preserve"> </v>
          </cell>
        </row>
        <row r="293">
          <cell r="AO293" t="str">
            <v xml:space="preserve"> </v>
          </cell>
        </row>
        <row r="294">
          <cell r="AO294" t="str">
            <v xml:space="preserve"> </v>
          </cell>
        </row>
        <row r="295">
          <cell r="AO295" t="str">
            <v xml:space="preserve"> </v>
          </cell>
        </row>
        <row r="296">
          <cell r="AO296" t="str">
            <v xml:space="preserve"> </v>
          </cell>
        </row>
        <row r="297">
          <cell r="AO297" t="str">
            <v xml:space="preserve"> </v>
          </cell>
        </row>
        <row r="298">
          <cell r="AO298" t="str">
            <v xml:space="preserve"> </v>
          </cell>
        </row>
        <row r="299">
          <cell r="AO299" t="str">
            <v xml:space="preserve"> </v>
          </cell>
        </row>
        <row r="300">
          <cell r="AO300" t="str">
            <v xml:space="preserve"> </v>
          </cell>
        </row>
        <row r="301">
          <cell r="AO301" t="str">
            <v xml:space="preserve"> </v>
          </cell>
        </row>
        <row r="302">
          <cell r="AO302" t="str">
            <v xml:space="preserve"> </v>
          </cell>
        </row>
        <row r="303">
          <cell r="AO303" t="str">
            <v xml:space="preserve"> </v>
          </cell>
        </row>
        <row r="304">
          <cell r="AO304" t="str">
            <v xml:space="preserve"> </v>
          </cell>
        </row>
        <row r="305">
          <cell r="AO305" t="str">
            <v xml:space="preserve"> </v>
          </cell>
        </row>
        <row r="306">
          <cell r="AO306" t="str">
            <v xml:space="preserve"> </v>
          </cell>
        </row>
        <row r="307">
          <cell r="AO307" t="str">
            <v xml:space="preserve"> </v>
          </cell>
        </row>
        <row r="308">
          <cell r="AO308" t="str">
            <v xml:space="preserve"> </v>
          </cell>
        </row>
        <row r="309">
          <cell r="AO309" t="str">
            <v xml:space="preserve"> </v>
          </cell>
        </row>
        <row r="310">
          <cell r="AO310" t="str">
            <v xml:space="preserve"> </v>
          </cell>
        </row>
        <row r="311">
          <cell r="AO311" t="str">
            <v xml:space="preserve"> </v>
          </cell>
        </row>
        <row r="312">
          <cell r="AO312" t="str">
            <v xml:space="preserve"> </v>
          </cell>
        </row>
        <row r="313">
          <cell r="AO313" t="str">
            <v xml:space="preserve"> </v>
          </cell>
        </row>
        <row r="314">
          <cell r="AO314" t="str">
            <v xml:space="preserve"> </v>
          </cell>
        </row>
        <row r="315">
          <cell r="AO315" t="str">
            <v xml:space="preserve"> </v>
          </cell>
        </row>
        <row r="316">
          <cell r="AO316" t="str">
            <v xml:space="preserve"> </v>
          </cell>
        </row>
        <row r="317">
          <cell r="AO317" t="str">
            <v xml:space="preserve"> </v>
          </cell>
        </row>
        <row r="318">
          <cell r="AO318" t="str">
            <v xml:space="preserve"> </v>
          </cell>
        </row>
        <row r="319">
          <cell r="AO319" t="str">
            <v xml:space="preserve"> </v>
          </cell>
        </row>
        <row r="320">
          <cell r="AO320" t="str">
            <v xml:space="preserve"> </v>
          </cell>
        </row>
        <row r="321">
          <cell r="AO321" t="str">
            <v xml:space="preserve"> </v>
          </cell>
        </row>
        <row r="322">
          <cell r="AO322" t="str">
            <v xml:space="preserve"> </v>
          </cell>
        </row>
        <row r="323">
          <cell r="AO323" t="str">
            <v xml:space="preserve"> </v>
          </cell>
        </row>
        <row r="324">
          <cell r="AO324" t="str">
            <v xml:space="preserve"> </v>
          </cell>
        </row>
        <row r="325">
          <cell r="AO325" t="str">
            <v xml:space="preserve"> </v>
          </cell>
        </row>
        <row r="326">
          <cell r="AO326" t="str">
            <v xml:space="preserve"> </v>
          </cell>
        </row>
        <row r="327">
          <cell r="AO327" t="str">
            <v xml:space="preserve"> </v>
          </cell>
        </row>
        <row r="328">
          <cell r="AO328" t="str">
            <v xml:space="preserve"> </v>
          </cell>
        </row>
        <row r="329">
          <cell r="AO329" t="str">
            <v xml:space="preserve"> </v>
          </cell>
        </row>
        <row r="330">
          <cell r="AO330" t="str">
            <v xml:space="preserve"> </v>
          </cell>
        </row>
        <row r="331">
          <cell r="AO331" t="str">
            <v xml:space="preserve"> </v>
          </cell>
        </row>
        <row r="332">
          <cell r="AO332" t="str">
            <v xml:space="preserve"> </v>
          </cell>
        </row>
        <row r="333">
          <cell r="AO333" t="str">
            <v xml:space="preserve"> </v>
          </cell>
        </row>
        <row r="334">
          <cell r="AO334" t="str">
            <v xml:space="preserve"> </v>
          </cell>
        </row>
        <row r="335">
          <cell r="AO335" t="str">
            <v xml:space="preserve"> </v>
          </cell>
        </row>
        <row r="336">
          <cell r="AO336" t="str">
            <v xml:space="preserve"> </v>
          </cell>
        </row>
        <row r="337">
          <cell r="AO337" t="str">
            <v xml:space="preserve"> </v>
          </cell>
        </row>
        <row r="338">
          <cell r="AO338" t="str">
            <v xml:space="preserve"> </v>
          </cell>
        </row>
        <row r="339">
          <cell r="AO339" t="str">
            <v xml:space="preserve"> </v>
          </cell>
        </row>
        <row r="340">
          <cell r="AO340" t="str">
            <v xml:space="preserve"> </v>
          </cell>
        </row>
        <row r="341">
          <cell r="AO341" t="str">
            <v xml:space="preserve"> </v>
          </cell>
        </row>
        <row r="342">
          <cell r="AO342" t="str">
            <v/>
          </cell>
        </row>
        <row r="343">
          <cell r="AO343" t="str">
            <v/>
          </cell>
        </row>
        <row r="344">
          <cell r="AO344" t="str">
            <v/>
          </cell>
        </row>
        <row r="345">
          <cell r="AO345" t="str">
            <v/>
          </cell>
        </row>
        <row r="346">
          <cell r="AO346" t="str">
            <v/>
          </cell>
        </row>
        <row r="347">
          <cell r="AO347" t="str">
            <v/>
          </cell>
        </row>
        <row r="348">
          <cell r="AO348" t="str">
            <v/>
          </cell>
        </row>
        <row r="349">
          <cell r="AO349" t="str">
            <v/>
          </cell>
        </row>
        <row r="350">
          <cell r="AO350" t="str">
            <v/>
          </cell>
        </row>
        <row r="351">
          <cell r="AO351" t="str">
            <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charges"/>
      <sheetName val="User_guidelines"/>
      <sheetName val="select items_PMW"/>
      <sheetName val="select items_DAW"/>
      <sheetName val="select items_TAW"/>
      <sheetName val="select items_CAW"/>
      <sheetName val="select items_CCDW"/>
      <sheetName val="select items_GAW"/>
      <sheetName val="abstract_of_items"/>
      <sheetName val="Homepage"/>
      <sheetName val="estimate"/>
      <sheetName val="General Abstract"/>
      <sheetName val="Breach Filling"/>
      <sheetName val="final"/>
    </sheetNames>
    <sheetDataSet>
      <sheetData sheetId="0" refreshError="1"/>
      <sheetData sheetId="1" refreshError="1"/>
      <sheetData sheetId="2">
        <row r="20">
          <cell r="AO20">
            <v>14</v>
          </cell>
        </row>
        <row r="21">
          <cell r="AO21">
            <v>15</v>
          </cell>
        </row>
        <row r="22">
          <cell r="AO22" t="str">
            <v/>
          </cell>
        </row>
        <row r="23">
          <cell r="AO23" t="str">
            <v/>
          </cell>
        </row>
        <row r="24">
          <cell r="AO24" t="str">
            <v/>
          </cell>
        </row>
        <row r="25">
          <cell r="AO25" t="str">
            <v/>
          </cell>
        </row>
        <row r="26">
          <cell r="AO26" t="str">
            <v/>
          </cell>
        </row>
        <row r="27">
          <cell r="AO27" t="str">
            <v/>
          </cell>
        </row>
        <row r="28">
          <cell r="AO28" t="str">
            <v/>
          </cell>
        </row>
        <row r="29">
          <cell r="AO29" t="str">
            <v/>
          </cell>
        </row>
        <row r="30">
          <cell r="AO30" t="str">
            <v/>
          </cell>
        </row>
        <row r="31">
          <cell r="AO31" t="str">
            <v/>
          </cell>
        </row>
        <row r="32">
          <cell r="AO32" t="str">
            <v/>
          </cell>
        </row>
        <row r="33">
          <cell r="AO33" t="str">
            <v/>
          </cell>
        </row>
        <row r="34">
          <cell r="AO34" t="str">
            <v/>
          </cell>
        </row>
        <row r="35">
          <cell r="AO35" t="str">
            <v/>
          </cell>
        </row>
        <row r="36">
          <cell r="AO36" t="str">
            <v/>
          </cell>
        </row>
        <row r="37">
          <cell r="AO37" t="str">
            <v/>
          </cell>
        </row>
        <row r="38">
          <cell r="AO38" t="str">
            <v/>
          </cell>
        </row>
        <row r="39">
          <cell r="AO39" t="str">
            <v/>
          </cell>
        </row>
        <row r="40">
          <cell r="AO40" t="str">
            <v/>
          </cell>
        </row>
        <row r="41">
          <cell r="AO41" t="str">
            <v/>
          </cell>
        </row>
        <row r="42">
          <cell r="AO42" t="str">
            <v/>
          </cell>
        </row>
        <row r="43">
          <cell r="AO43" t="str">
            <v/>
          </cell>
        </row>
        <row r="44">
          <cell r="AO44" t="str">
            <v/>
          </cell>
        </row>
        <row r="45">
          <cell r="AO45" t="str">
            <v/>
          </cell>
        </row>
        <row r="46">
          <cell r="AO46" t="str">
            <v/>
          </cell>
        </row>
        <row r="47">
          <cell r="AO47" t="str">
            <v/>
          </cell>
        </row>
        <row r="48">
          <cell r="AO48" t="str">
            <v/>
          </cell>
        </row>
        <row r="49">
          <cell r="AO49" t="str">
            <v/>
          </cell>
        </row>
        <row r="50">
          <cell r="AO50" t="str">
            <v/>
          </cell>
        </row>
        <row r="51">
          <cell r="AO51" t="str">
            <v/>
          </cell>
        </row>
        <row r="52">
          <cell r="AO52" t="str">
            <v/>
          </cell>
        </row>
        <row r="53">
          <cell r="AO53" t="str">
            <v/>
          </cell>
        </row>
        <row r="54">
          <cell r="AO54" t="str">
            <v/>
          </cell>
        </row>
        <row r="55">
          <cell r="AO55" t="str">
            <v/>
          </cell>
        </row>
        <row r="56">
          <cell r="AO56" t="str">
            <v/>
          </cell>
        </row>
        <row r="57">
          <cell r="AO57" t="str">
            <v/>
          </cell>
        </row>
        <row r="58">
          <cell r="AO58" t="str">
            <v/>
          </cell>
        </row>
        <row r="59">
          <cell r="AO59" t="str">
            <v/>
          </cell>
        </row>
        <row r="60">
          <cell r="AO60" t="str">
            <v/>
          </cell>
        </row>
        <row r="61">
          <cell r="AO61" t="str">
            <v/>
          </cell>
        </row>
        <row r="62">
          <cell r="AO62" t="str">
            <v/>
          </cell>
        </row>
        <row r="63">
          <cell r="AO63" t="str">
            <v/>
          </cell>
        </row>
        <row r="64">
          <cell r="AO64" t="str">
            <v/>
          </cell>
        </row>
        <row r="65">
          <cell r="AO65" t="str">
            <v/>
          </cell>
        </row>
        <row r="66">
          <cell r="AO66" t="str">
            <v/>
          </cell>
        </row>
        <row r="67">
          <cell r="AO67" t="str">
            <v/>
          </cell>
        </row>
        <row r="68">
          <cell r="AO68" t="str">
            <v/>
          </cell>
        </row>
        <row r="69">
          <cell r="AO69" t="str">
            <v/>
          </cell>
        </row>
        <row r="70">
          <cell r="AO70" t="str">
            <v/>
          </cell>
        </row>
        <row r="71">
          <cell r="AO71" t="str">
            <v/>
          </cell>
        </row>
        <row r="72">
          <cell r="AO72" t="str">
            <v/>
          </cell>
        </row>
        <row r="73">
          <cell r="AO73" t="str">
            <v/>
          </cell>
        </row>
        <row r="74">
          <cell r="AO74" t="str">
            <v/>
          </cell>
        </row>
        <row r="75">
          <cell r="AO75" t="str">
            <v/>
          </cell>
        </row>
        <row r="76">
          <cell r="AO76" t="str">
            <v/>
          </cell>
        </row>
        <row r="77">
          <cell r="AO77" t="str">
            <v/>
          </cell>
        </row>
        <row r="78">
          <cell r="AO78" t="str">
            <v/>
          </cell>
        </row>
        <row r="79">
          <cell r="AO79" t="str">
            <v/>
          </cell>
        </row>
        <row r="80">
          <cell r="AO80" t="str">
            <v/>
          </cell>
        </row>
        <row r="81">
          <cell r="AO81" t="str">
            <v/>
          </cell>
        </row>
        <row r="82">
          <cell r="AO82" t="str">
            <v/>
          </cell>
        </row>
        <row r="83">
          <cell r="AO83" t="str">
            <v/>
          </cell>
        </row>
        <row r="84">
          <cell r="AO84" t="str">
            <v/>
          </cell>
        </row>
        <row r="85">
          <cell r="AO85" t="str">
            <v/>
          </cell>
        </row>
        <row r="86">
          <cell r="AO86" t="str">
            <v/>
          </cell>
        </row>
        <row r="87">
          <cell r="AO87" t="str">
            <v/>
          </cell>
        </row>
        <row r="88">
          <cell r="AO88" t="str">
            <v/>
          </cell>
        </row>
        <row r="89">
          <cell r="AO89" t="str">
            <v/>
          </cell>
        </row>
        <row r="90">
          <cell r="AO90" t="str">
            <v/>
          </cell>
        </row>
        <row r="91">
          <cell r="AO91" t="str">
            <v/>
          </cell>
        </row>
        <row r="92">
          <cell r="AO92" t="str">
            <v/>
          </cell>
        </row>
        <row r="93">
          <cell r="AO93" t="str">
            <v/>
          </cell>
        </row>
        <row r="94">
          <cell r="AO94" t="str">
            <v/>
          </cell>
        </row>
        <row r="95">
          <cell r="AO95" t="str">
            <v/>
          </cell>
        </row>
        <row r="96">
          <cell r="AO96" t="str">
            <v/>
          </cell>
        </row>
        <row r="97">
          <cell r="AO97" t="str">
            <v/>
          </cell>
        </row>
        <row r="98">
          <cell r="AO98" t="str">
            <v/>
          </cell>
        </row>
        <row r="99">
          <cell r="AO99" t="str">
            <v/>
          </cell>
        </row>
        <row r="100">
          <cell r="AO100" t="str">
            <v/>
          </cell>
        </row>
        <row r="101">
          <cell r="AO101" t="str">
            <v/>
          </cell>
        </row>
        <row r="102">
          <cell r="AO102" t="str">
            <v/>
          </cell>
        </row>
        <row r="103">
          <cell r="AO103" t="str">
            <v/>
          </cell>
        </row>
        <row r="104">
          <cell r="AO104" t="str">
            <v/>
          </cell>
        </row>
        <row r="105">
          <cell r="AO105" t="str">
            <v/>
          </cell>
        </row>
        <row r="106">
          <cell r="AO106" t="str">
            <v/>
          </cell>
        </row>
        <row r="107">
          <cell r="AO107" t="str">
            <v/>
          </cell>
        </row>
        <row r="108">
          <cell r="AO108" t="str">
            <v/>
          </cell>
        </row>
        <row r="109">
          <cell r="AO109" t="str">
            <v/>
          </cell>
        </row>
        <row r="110">
          <cell r="AO110" t="str">
            <v/>
          </cell>
        </row>
        <row r="111">
          <cell r="AO111" t="str">
            <v/>
          </cell>
        </row>
        <row r="112">
          <cell r="AO112" t="str">
            <v/>
          </cell>
        </row>
        <row r="113">
          <cell r="AO113" t="str">
            <v/>
          </cell>
        </row>
        <row r="114">
          <cell r="AO114" t="str">
            <v/>
          </cell>
        </row>
        <row r="115">
          <cell r="AO115" t="str">
            <v/>
          </cell>
        </row>
        <row r="116">
          <cell r="AO116" t="str">
            <v/>
          </cell>
        </row>
        <row r="117">
          <cell r="AO117" t="str">
            <v/>
          </cell>
        </row>
        <row r="118">
          <cell r="AO118" t="str">
            <v/>
          </cell>
        </row>
        <row r="119">
          <cell r="AO119" t="str">
            <v/>
          </cell>
        </row>
        <row r="120">
          <cell r="AO120" t="str">
            <v/>
          </cell>
        </row>
        <row r="121">
          <cell r="AO121" t="str">
            <v/>
          </cell>
        </row>
        <row r="122">
          <cell r="AO122" t="str">
            <v/>
          </cell>
        </row>
        <row r="123">
          <cell r="AO123" t="str">
            <v/>
          </cell>
        </row>
        <row r="124">
          <cell r="AO124" t="str">
            <v/>
          </cell>
        </row>
        <row r="125">
          <cell r="AO125" t="str">
            <v/>
          </cell>
        </row>
        <row r="126">
          <cell r="AO126" t="str">
            <v/>
          </cell>
        </row>
        <row r="127">
          <cell r="AO127" t="str">
            <v/>
          </cell>
        </row>
        <row r="128">
          <cell r="AO128" t="str">
            <v/>
          </cell>
        </row>
        <row r="129">
          <cell r="AO129" t="str">
            <v/>
          </cell>
        </row>
        <row r="130">
          <cell r="AO130" t="str">
            <v/>
          </cell>
        </row>
        <row r="131">
          <cell r="AO131" t="str">
            <v/>
          </cell>
        </row>
        <row r="132">
          <cell r="AO132" t="str">
            <v/>
          </cell>
        </row>
        <row r="133">
          <cell r="AO133" t="str">
            <v/>
          </cell>
        </row>
        <row r="134">
          <cell r="AO134" t="str">
            <v/>
          </cell>
        </row>
        <row r="135">
          <cell r="AO135" t="str">
            <v/>
          </cell>
        </row>
        <row r="136">
          <cell r="AO136" t="str">
            <v/>
          </cell>
        </row>
        <row r="137">
          <cell r="AO137" t="str">
            <v/>
          </cell>
        </row>
        <row r="138">
          <cell r="AO138" t="str">
            <v/>
          </cell>
        </row>
        <row r="139">
          <cell r="AO139" t="str">
            <v/>
          </cell>
        </row>
        <row r="140">
          <cell r="AO140" t="str">
            <v/>
          </cell>
        </row>
        <row r="141">
          <cell r="AO141" t="str">
            <v/>
          </cell>
        </row>
        <row r="142">
          <cell r="AO142" t="str">
            <v/>
          </cell>
        </row>
        <row r="143">
          <cell r="AO143" t="str">
            <v/>
          </cell>
        </row>
        <row r="144">
          <cell r="AO144" t="str">
            <v/>
          </cell>
        </row>
        <row r="145">
          <cell r="AO145" t="str">
            <v/>
          </cell>
        </row>
        <row r="146">
          <cell r="AO146" t="str">
            <v/>
          </cell>
        </row>
        <row r="147">
          <cell r="AO147" t="str">
            <v/>
          </cell>
        </row>
        <row r="148">
          <cell r="AO148" t="str">
            <v/>
          </cell>
        </row>
        <row r="149">
          <cell r="AO149" t="str">
            <v/>
          </cell>
        </row>
        <row r="150">
          <cell r="AO150" t="str">
            <v/>
          </cell>
        </row>
        <row r="151">
          <cell r="AO151" t="str">
            <v/>
          </cell>
        </row>
        <row r="152">
          <cell r="AO152" t="str">
            <v/>
          </cell>
        </row>
        <row r="153">
          <cell r="AO153" t="str">
            <v/>
          </cell>
        </row>
        <row r="154">
          <cell r="AO154" t="str">
            <v/>
          </cell>
        </row>
        <row r="155">
          <cell r="AO155" t="str">
            <v/>
          </cell>
        </row>
        <row r="156">
          <cell r="AO156" t="str">
            <v/>
          </cell>
        </row>
        <row r="157">
          <cell r="AO157" t="str">
            <v/>
          </cell>
        </row>
        <row r="158">
          <cell r="AO158" t="str">
            <v/>
          </cell>
        </row>
        <row r="159">
          <cell r="AO159" t="str">
            <v/>
          </cell>
        </row>
        <row r="160">
          <cell r="AO160" t="str">
            <v/>
          </cell>
        </row>
        <row r="161">
          <cell r="AO161" t="str">
            <v/>
          </cell>
        </row>
        <row r="162">
          <cell r="AO162" t="str">
            <v/>
          </cell>
        </row>
        <row r="163">
          <cell r="AO163" t="str">
            <v/>
          </cell>
        </row>
        <row r="164">
          <cell r="AO164" t="str">
            <v/>
          </cell>
        </row>
        <row r="165">
          <cell r="AO165" t="str">
            <v/>
          </cell>
        </row>
        <row r="166">
          <cell r="AO166" t="str">
            <v/>
          </cell>
        </row>
        <row r="167">
          <cell r="AO167" t="str">
            <v/>
          </cell>
        </row>
        <row r="168">
          <cell r="AO168" t="str">
            <v/>
          </cell>
        </row>
        <row r="169">
          <cell r="AO169" t="str">
            <v/>
          </cell>
        </row>
        <row r="170">
          <cell r="AO170" t="str">
            <v/>
          </cell>
        </row>
        <row r="171">
          <cell r="AO171" t="str">
            <v/>
          </cell>
        </row>
        <row r="172">
          <cell r="AO172" t="str">
            <v/>
          </cell>
        </row>
        <row r="173">
          <cell r="AO173" t="str">
            <v/>
          </cell>
        </row>
        <row r="174">
          <cell r="AO174" t="str">
            <v/>
          </cell>
        </row>
        <row r="175">
          <cell r="AO175" t="str">
            <v/>
          </cell>
        </row>
        <row r="176">
          <cell r="AO176" t="str">
            <v/>
          </cell>
        </row>
        <row r="177">
          <cell r="AO177" t="str">
            <v/>
          </cell>
        </row>
        <row r="178">
          <cell r="AO178" t="str">
            <v/>
          </cell>
        </row>
        <row r="179">
          <cell r="AO179" t="str">
            <v/>
          </cell>
        </row>
        <row r="180">
          <cell r="AO180" t="str">
            <v/>
          </cell>
        </row>
        <row r="181">
          <cell r="AO181" t="str">
            <v/>
          </cell>
        </row>
        <row r="182">
          <cell r="AO182" t="str">
            <v/>
          </cell>
        </row>
        <row r="183">
          <cell r="AO183" t="str">
            <v/>
          </cell>
        </row>
        <row r="184">
          <cell r="AO184" t="str">
            <v/>
          </cell>
        </row>
        <row r="185">
          <cell r="AO185" t="str">
            <v/>
          </cell>
        </row>
        <row r="186">
          <cell r="AO186" t="str">
            <v/>
          </cell>
        </row>
        <row r="187">
          <cell r="AO187" t="str">
            <v/>
          </cell>
        </row>
        <row r="188">
          <cell r="AO188" t="str">
            <v/>
          </cell>
        </row>
        <row r="189">
          <cell r="AO189" t="str">
            <v/>
          </cell>
        </row>
        <row r="190">
          <cell r="AO190" t="str">
            <v/>
          </cell>
        </row>
        <row r="191">
          <cell r="AO191" t="str">
            <v/>
          </cell>
        </row>
        <row r="192">
          <cell r="AO192" t="str">
            <v/>
          </cell>
        </row>
        <row r="193">
          <cell r="AO193" t="str">
            <v/>
          </cell>
        </row>
        <row r="194">
          <cell r="AO194" t="str">
            <v/>
          </cell>
        </row>
        <row r="195">
          <cell r="AO195" t="str">
            <v/>
          </cell>
        </row>
        <row r="196">
          <cell r="AO196" t="str">
            <v/>
          </cell>
        </row>
        <row r="197">
          <cell r="AO197" t="str">
            <v/>
          </cell>
        </row>
        <row r="198">
          <cell r="AO198" t="str">
            <v/>
          </cell>
        </row>
        <row r="199">
          <cell r="AO199" t="str">
            <v/>
          </cell>
        </row>
        <row r="200">
          <cell r="AO200" t="str">
            <v/>
          </cell>
        </row>
        <row r="201">
          <cell r="AO201" t="str">
            <v/>
          </cell>
        </row>
        <row r="202">
          <cell r="AO202" t="str">
            <v/>
          </cell>
        </row>
        <row r="203">
          <cell r="AO203" t="str">
            <v/>
          </cell>
        </row>
        <row r="204">
          <cell r="AO204" t="str">
            <v/>
          </cell>
        </row>
        <row r="205">
          <cell r="AO205" t="str">
            <v/>
          </cell>
        </row>
        <row r="206">
          <cell r="AO206" t="str">
            <v/>
          </cell>
        </row>
        <row r="207">
          <cell r="AO207" t="str">
            <v/>
          </cell>
        </row>
        <row r="208">
          <cell r="AO208" t="str">
            <v/>
          </cell>
        </row>
        <row r="209">
          <cell r="AO209" t="str">
            <v/>
          </cell>
        </row>
        <row r="210">
          <cell r="AO210" t="str">
            <v/>
          </cell>
        </row>
        <row r="211">
          <cell r="AO211" t="str">
            <v/>
          </cell>
        </row>
        <row r="212">
          <cell r="AO212" t="str">
            <v/>
          </cell>
        </row>
        <row r="213">
          <cell r="AO213" t="str">
            <v/>
          </cell>
        </row>
        <row r="214">
          <cell r="AO214" t="str">
            <v/>
          </cell>
        </row>
        <row r="215">
          <cell r="AO215" t="str">
            <v/>
          </cell>
        </row>
        <row r="216">
          <cell r="AO216" t="str">
            <v/>
          </cell>
        </row>
        <row r="217">
          <cell r="AO217" t="str">
            <v/>
          </cell>
        </row>
        <row r="218">
          <cell r="AO218" t="str">
            <v/>
          </cell>
        </row>
        <row r="219">
          <cell r="AO219" t="str">
            <v/>
          </cell>
        </row>
        <row r="220">
          <cell r="AO220" t="str">
            <v/>
          </cell>
        </row>
        <row r="221">
          <cell r="AO221" t="str">
            <v/>
          </cell>
        </row>
        <row r="222">
          <cell r="AO222" t="str">
            <v/>
          </cell>
        </row>
        <row r="223">
          <cell r="AO223" t="str">
            <v/>
          </cell>
        </row>
        <row r="224">
          <cell r="AO224" t="str">
            <v/>
          </cell>
        </row>
        <row r="225">
          <cell r="AO225" t="str">
            <v/>
          </cell>
        </row>
        <row r="226">
          <cell r="AO226" t="str">
            <v/>
          </cell>
        </row>
        <row r="227">
          <cell r="AO227" t="str">
            <v/>
          </cell>
        </row>
        <row r="228">
          <cell r="AO228" t="str">
            <v/>
          </cell>
        </row>
        <row r="229">
          <cell r="AO229" t="str">
            <v/>
          </cell>
        </row>
        <row r="230">
          <cell r="AO230" t="str">
            <v/>
          </cell>
        </row>
        <row r="231">
          <cell r="AO231" t="str">
            <v/>
          </cell>
        </row>
        <row r="232">
          <cell r="AO232" t="str">
            <v/>
          </cell>
        </row>
        <row r="233">
          <cell r="AO233" t="str">
            <v/>
          </cell>
        </row>
        <row r="234">
          <cell r="AO234" t="str">
            <v/>
          </cell>
        </row>
        <row r="235">
          <cell r="AO235" t="str">
            <v/>
          </cell>
        </row>
        <row r="236">
          <cell r="AO236" t="str">
            <v/>
          </cell>
        </row>
        <row r="237">
          <cell r="AO237" t="str">
            <v/>
          </cell>
        </row>
        <row r="238">
          <cell r="AO238" t="str">
            <v/>
          </cell>
        </row>
        <row r="239">
          <cell r="AO239" t="str">
            <v/>
          </cell>
        </row>
        <row r="240">
          <cell r="AO240" t="str">
            <v/>
          </cell>
        </row>
        <row r="241">
          <cell r="AO241" t="str">
            <v/>
          </cell>
        </row>
        <row r="242">
          <cell r="AO242" t="str">
            <v/>
          </cell>
        </row>
        <row r="243">
          <cell r="AO243" t="str">
            <v/>
          </cell>
        </row>
        <row r="244">
          <cell r="AO244" t="str">
            <v/>
          </cell>
        </row>
        <row r="245">
          <cell r="AO245" t="str">
            <v/>
          </cell>
        </row>
        <row r="246">
          <cell r="AO246" t="str">
            <v/>
          </cell>
        </row>
        <row r="247">
          <cell r="AO247" t="str">
            <v/>
          </cell>
        </row>
        <row r="248">
          <cell r="AO248" t="str">
            <v/>
          </cell>
        </row>
        <row r="249">
          <cell r="AO249" t="str">
            <v/>
          </cell>
        </row>
        <row r="250">
          <cell r="AO250" t="str">
            <v/>
          </cell>
        </row>
        <row r="251">
          <cell r="AO251" t="str">
            <v/>
          </cell>
        </row>
        <row r="252">
          <cell r="AO252" t="str">
            <v/>
          </cell>
        </row>
        <row r="253">
          <cell r="AO253" t="str">
            <v/>
          </cell>
        </row>
        <row r="254">
          <cell r="AO254" t="str">
            <v/>
          </cell>
        </row>
        <row r="255">
          <cell r="AO255" t="str">
            <v/>
          </cell>
        </row>
        <row r="256">
          <cell r="AO256" t="str">
            <v/>
          </cell>
        </row>
        <row r="257">
          <cell r="AO257" t="str">
            <v/>
          </cell>
        </row>
        <row r="258">
          <cell r="AO258" t="str">
            <v/>
          </cell>
        </row>
        <row r="259">
          <cell r="AO259" t="str">
            <v/>
          </cell>
        </row>
        <row r="260">
          <cell r="AO260" t="str">
            <v/>
          </cell>
        </row>
        <row r="261">
          <cell r="AO261" t="str">
            <v/>
          </cell>
        </row>
        <row r="262">
          <cell r="AO262" t="str">
            <v/>
          </cell>
        </row>
        <row r="263">
          <cell r="AO263" t="str">
            <v/>
          </cell>
        </row>
        <row r="264">
          <cell r="AO264" t="str">
            <v/>
          </cell>
        </row>
        <row r="265">
          <cell r="AO265" t="str">
            <v/>
          </cell>
        </row>
        <row r="266">
          <cell r="AO266" t="str">
            <v/>
          </cell>
        </row>
        <row r="267">
          <cell r="AO267" t="str">
            <v/>
          </cell>
        </row>
        <row r="268">
          <cell r="AO268" t="str">
            <v/>
          </cell>
        </row>
        <row r="269">
          <cell r="AO269" t="str">
            <v/>
          </cell>
        </row>
        <row r="270">
          <cell r="AO270" t="str">
            <v/>
          </cell>
        </row>
        <row r="271">
          <cell r="AO271" t="str">
            <v/>
          </cell>
        </row>
        <row r="272">
          <cell r="AO272" t="str">
            <v/>
          </cell>
        </row>
        <row r="273">
          <cell r="AO273" t="str">
            <v/>
          </cell>
        </row>
        <row r="274">
          <cell r="AO274" t="str">
            <v/>
          </cell>
        </row>
        <row r="275">
          <cell r="AO275" t="str">
            <v/>
          </cell>
        </row>
        <row r="276">
          <cell r="AO276" t="str">
            <v/>
          </cell>
        </row>
        <row r="277">
          <cell r="AO277" t="str">
            <v/>
          </cell>
        </row>
        <row r="278">
          <cell r="AO278" t="str">
            <v/>
          </cell>
        </row>
        <row r="279">
          <cell r="AO279" t="str">
            <v/>
          </cell>
        </row>
        <row r="280">
          <cell r="AO280" t="str">
            <v/>
          </cell>
        </row>
        <row r="281">
          <cell r="AO281" t="str">
            <v/>
          </cell>
        </row>
        <row r="282">
          <cell r="AO282" t="str">
            <v/>
          </cell>
        </row>
        <row r="283">
          <cell r="AO283" t="str">
            <v/>
          </cell>
        </row>
        <row r="284">
          <cell r="AO284" t="str">
            <v/>
          </cell>
        </row>
        <row r="285">
          <cell r="AO285" t="str">
            <v/>
          </cell>
        </row>
        <row r="286">
          <cell r="AO286" t="str">
            <v/>
          </cell>
        </row>
        <row r="287">
          <cell r="AO287" t="str">
            <v/>
          </cell>
        </row>
        <row r="288">
          <cell r="AO288" t="str">
            <v/>
          </cell>
        </row>
        <row r="289">
          <cell r="AO289" t="str">
            <v/>
          </cell>
        </row>
        <row r="290">
          <cell r="AO290" t="str">
            <v/>
          </cell>
        </row>
        <row r="291">
          <cell r="AO291" t="str">
            <v/>
          </cell>
        </row>
        <row r="292">
          <cell r="AO292" t="str">
            <v/>
          </cell>
        </row>
        <row r="293">
          <cell r="AO293" t="str">
            <v/>
          </cell>
        </row>
        <row r="294">
          <cell r="AO294" t="str">
            <v/>
          </cell>
        </row>
        <row r="295">
          <cell r="AO295" t="str">
            <v/>
          </cell>
        </row>
        <row r="296">
          <cell r="AO296" t="str">
            <v/>
          </cell>
        </row>
        <row r="297">
          <cell r="AO297" t="str">
            <v/>
          </cell>
        </row>
        <row r="298">
          <cell r="AO298" t="str">
            <v/>
          </cell>
        </row>
        <row r="299">
          <cell r="AO299" t="str">
            <v/>
          </cell>
        </row>
        <row r="300">
          <cell r="AO300" t="str">
            <v/>
          </cell>
        </row>
        <row r="301">
          <cell r="AO301" t="str">
            <v/>
          </cell>
        </row>
        <row r="302">
          <cell r="AO302" t="str">
            <v/>
          </cell>
        </row>
        <row r="303">
          <cell r="AO303" t="str">
            <v/>
          </cell>
        </row>
        <row r="304">
          <cell r="AO304" t="str">
            <v/>
          </cell>
        </row>
        <row r="305">
          <cell r="AO305" t="str">
            <v/>
          </cell>
        </row>
        <row r="306">
          <cell r="AO306" t="str">
            <v/>
          </cell>
        </row>
        <row r="307">
          <cell r="AO307" t="str">
            <v/>
          </cell>
        </row>
        <row r="308">
          <cell r="AO308" t="str">
            <v/>
          </cell>
        </row>
        <row r="309">
          <cell r="AO309" t="str">
            <v/>
          </cell>
        </row>
        <row r="310">
          <cell r="AO310" t="str">
            <v/>
          </cell>
        </row>
        <row r="311">
          <cell r="AO311" t="str">
            <v/>
          </cell>
        </row>
        <row r="312">
          <cell r="AO312" t="str">
            <v/>
          </cell>
        </row>
        <row r="313">
          <cell r="AO313" t="str">
            <v/>
          </cell>
        </row>
        <row r="314">
          <cell r="AO314" t="str">
            <v/>
          </cell>
        </row>
        <row r="315">
          <cell r="AO315" t="str">
            <v/>
          </cell>
        </row>
        <row r="316">
          <cell r="AO316" t="str">
            <v/>
          </cell>
        </row>
        <row r="317">
          <cell r="AO317" t="str">
            <v/>
          </cell>
        </row>
        <row r="318">
          <cell r="AO318" t="str">
            <v/>
          </cell>
        </row>
        <row r="319">
          <cell r="AO319" t="str">
            <v/>
          </cell>
        </row>
        <row r="320">
          <cell r="AO320" t="str">
            <v/>
          </cell>
        </row>
        <row r="321">
          <cell r="AO321" t="str">
            <v/>
          </cell>
        </row>
        <row r="322">
          <cell r="AO322" t="str">
            <v/>
          </cell>
        </row>
        <row r="323">
          <cell r="AO323" t="str">
            <v/>
          </cell>
        </row>
        <row r="324">
          <cell r="AO324" t="str">
            <v/>
          </cell>
        </row>
        <row r="325">
          <cell r="AO325" t="str">
            <v/>
          </cell>
        </row>
        <row r="326">
          <cell r="AO326" t="str">
            <v/>
          </cell>
        </row>
        <row r="327">
          <cell r="AO327" t="str">
            <v/>
          </cell>
        </row>
        <row r="328">
          <cell r="AO328" t="str">
            <v/>
          </cell>
        </row>
        <row r="329">
          <cell r="AO329" t="str">
            <v/>
          </cell>
        </row>
        <row r="330">
          <cell r="AO330" t="str">
            <v/>
          </cell>
        </row>
        <row r="331">
          <cell r="AO331" t="str">
            <v/>
          </cell>
        </row>
        <row r="332">
          <cell r="AO332" t="str">
            <v/>
          </cell>
        </row>
        <row r="333">
          <cell r="AO333" t="str">
            <v/>
          </cell>
        </row>
        <row r="334">
          <cell r="AO334" t="str">
            <v/>
          </cell>
        </row>
        <row r="335">
          <cell r="AO335" t="str">
            <v/>
          </cell>
        </row>
        <row r="336">
          <cell r="AO336" t="str">
            <v/>
          </cell>
        </row>
        <row r="337">
          <cell r="AO337" t="str">
            <v/>
          </cell>
        </row>
        <row r="338">
          <cell r="AO338" t="str">
            <v/>
          </cell>
        </row>
        <row r="339">
          <cell r="AO339" t="str">
            <v/>
          </cell>
        </row>
        <row r="340">
          <cell r="AO340" t="str">
            <v/>
          </cell>
        </row>
        <row r="341">
          <cell r="AO341" t="str">
            <v/>
          </cell>
        </row>
        <row r="342">
          <cell r="AO342" t="str">
            <v/>
          </cell>
        </row>
        <row r="343">
          <cell r="AO343" t="str">
            <v/>
          </cell>
        </row>
        <row r="344">
          <cell r="AO344" t="str">
            <v/>
          </cell>
        </row>
        <row r="345">
          <cell r="AO345" t="str">
            <v/>
          </cell>
        </row>
        <row r="346">
          <cell r="AO346" t="str">
            <v/>
          </cell>
        </row>
        <row r="347">
          <cell r="AO347" t="str">
            <v/>
          </cell>
        </row>
        <row r="348">
          <cell r="AO348" t="str">
            <v/>
          </cell>
        </row>
        <row r="349">
          <cell r="AO349" t="str">
            <v/>
          </cell>
        </row>
        <row r="350">
          <cell r="AO350" t="str">
            <v/>
          </cell>
        </row>
        <row r="351">
          <cell r="AO351" t="str">
            <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 (31)"/>
      <sheetName val="Gen-Abs (2)"/>
      <sheetName val="WS-dtailed"/>
      <sheetName val="ws-det-est"/>
      <sheetName val="ELECL"/>
      <sheetName val="Det-est"/>
      <sheetName val="ws-abs"/>
      <sheetName val="ws-data"/>
      <sheetName val="Gen-Abs"/>
      <sheetName val="Abs-est"/>
      <sheetName val="Data-civil"/>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ork_Detiles"/>
      <sheetName val="ABS"/>
      <sheetName val="date_wise_qty"/>
      <sheetName val="date_of_payment"/>
      <sheetName val="bill_wise_qty_amt_Seig"/>
      <sheetName val="Bill_wise_amt_cc_"/>
      <sheetName val="Items_elgible"/>
      <sheetName val="Price_adjustment_Prg"/>
      <sheetName val="Seig_cal"/>
      <sheetName val="MB_wise_qty"/>
    </sheetNames>
    <sheetDataSet>
      <sheetData sheetId="0" refreshError="1"/>
      <sheetData sheetId="1" refreshError="1"/>
      <sheetData sheetId="2">
        <row r="21">
          <cell r="B21" t="str">
            <v>P.R.Bommraspet</v>
          </cell>
        </row>
      </sheetData>
      <sheetData sheetId="3" refreshError="1"/>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31)"/>
      <sheetName val="Gen-Abs (2)"/>
      <sheetName val="WS-dtailed"/>
      <sheetName val="ws-det-est"/>
      <sheetName val="ELECL"/>
      <sheetName val="Det-est"/>
      <sheetName val="ws-abs"/>
      <sheetName val="ws-data"/>
      <sheetName val="Gen-Abs"/>
      <sheetName val="Abs-est"/>
      <sheetName val="Data-civil"/>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Cover"/>
      <sheetName val="Report"/>
      <sheetName val="Gen abst "/>
      <sheetName val="Abst Bund"/>
      <sheetName val="Abst Weir"/>
      <sheetName val="Abst Sluice"/>
      <sheetName val="Proposal"/>
      <sheetName val="Bund"/>
      <sheetName val="Bund (2)"/>
      <sheetName val="Weir"/>
      <sheetName val="Sluice"/>
      <sheetName val="Sheet4"/>
      <sheetName val="Lead"/>
      <sheetName val="Data 11-12"/>
      <sheetName val="L.s.of bund"/>
      <sheetName val="Drawings"/>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_Slip"/>
      <sheetName val="Misc"/>
      <sheetName val="Data_Base"/>
      <sheetName val="quarry"/>
      <sheetName val="Templates"/>
      <sheetName val="Cover_Sheet"/>
      <sheetName val="Sp_Report"/>
      <sheetName val="Estimate"/>
      <sheetName val="Lead"/>
      <sheetName val="Conveyance_Rates"/>
      <sheetName val="Conveyance_Table"/>
      <sheetName val="Est_amt_text"/>
      <sheetName val="Data"/>
      <sheetName val="Schedule-A"/>
      <sheetName val="Labour_Charges"/>
      <sheetName val="Labour_Charges(detl)"/>
      <sheetName val="Specification"/>
      <sheetName val="Core_S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general abstract"/>
      <sheetName val="leads"/>
      <sheetName val="lead statement"/>
      <sheetName val="door window calculations"/>
      <sheetName val="door window datas"/>
      <sheetName val="electrification data"/>
      <sheetName val="data"/>
      <sheetName val="data existing_do not delete"/>
      <sheetName val="pipe line sub estimate"/>
      <sheetName val="pipe line data"/>
      <sheetName val="estimate"/>
      <sheetName val="hydraulic designs projects"/>
      <sheetName val="hydraulic designs pws schemes"/>
      <sheetName val="hydraulic statement"/>
      <sheetName val="economical pm calculations"/>
      <sheetName val="fp estimate"/>
      <sheetName val="rotary bore well estimate"/>
      <sheetName val="ohsr 40k sub estimate"/>
      <sheetName val="ohsr 40k verticals"/>
      <sheetName val="ohsr 60k sub estimate"/>
      <sheetName val="ohsr 60k verticals"/>
      <sheetName val="ohsr 90k sub estimate"/>
      <sheetName val="ohsr 90k verticals"/>
      <sheetName val="ohsr 120k sub estimate"/>
      <sheetName val="ohsr 120k verticals"/>
      <sheetName val="ohsr 150 sub estimate"/>
      <sheetName val="ohsr 150k verticals"/>
      <sheetName val="ohsr 200k sub estimate"/>
      <sheetName val="ohsr 200k verticals"/>
      <sheetName val="ohsr 250k sub estimate"/>
      <sheetName val="ohsr 250k verticals"/>
      <sheetName val="Sheet1"/>
      <sheetName val="Sheet2"/>
      <sheetName val="Sheet4"/>
      <sheetName val="Sheet5"/>
      <sheetName val="Sheet7"/>
      <sheetName val="Sheet8"/>
      <sheetName val="Sheet9"/>
      <sheetName val="Sheet13"/>
      <sheetName val="Sheet14"/>
      <sheetName val="Sheet15"/>
      <sheetName val="Sheet16"/>
      <sheetName val="Sheet17"/>
      <sheetName val="Sheet18"/>
      <sheetName val="Sheet19"/>
      <sheetName val="Sheet20"/>
      <sheetName val="Sheet21"/>
      <sheetName val="Sheet10"/>
      <sheetName val="Sheet11"/>
      <sheetName val="Sheet12"/>
      <sheetName val="Sheet6"/>
      <sheetName val="Sheet3"/>
      <sheetName val="RMR"/>
      <sheetName val="r"/>
    </sheetNames>
    <sheetDataSet>
      <sheetData sheetId="0"/>
      <sheetData sheetId="1"/>
      <sheetData sheetId="2"/>
      <sheetData sheetId="3"/>
      <sheetData sheetId="4"/>
      <sheetData sheetId="5"/>
      <sheetData sheetId="6"/>
      <sheetData sheetId="7"/>
      <sheetData sheetId="8">
        <row r="2">
          <cell r="I2" t="str">
            <v>Clayey &amp; Loamy soils</v>
          </cell>
        </row>
        <row r="3">
          <cell r="I3" t="str">
            <v>Hard Gravelly soils</v>
          </cell>
        </row>
        <row r="4">
          <cell r="I4" t="str">
            <v>Mixture of Gravel &amp; Soft disintegrated rocky soils</v>
          </cell>
        </row>
        <row r="5">
          <cell r="I5" t="str">
            <v>Soft disintegrated soils removed by pick axes and crow bars</v>
          </cell>
        </row>
        <row r="6">
          <cell r="I6" t="str">
            <v>Stone matrix soils</v>
          </cell>
        </row>
        <row r="7">
          <cell r="I7" t="str">
            <v>Hard disintegrated soils removed by pick axes and crow bars</v>
          </cell>
        </row>
        <row r="8">
          <cell r="I8" t="str">
            <v>Hard disintegrated rock requiring partial blasting</v>
          </cell>
        </row>
        <row r="9">
          <cell r="I9" t="str">
            <v>Soils requiring chiselling,wedging and benching</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Sheet1 (3)"/>
      <sheetName val="Sheet2"/>
      <sheetName val="Sheet3"/>
    </sheetNames>
    <sheetDataSet>
      <sheetData sheetId="0"/>
      <sheetData sheetId="1"/>
      <sheetData sheetId="2"/>
      <sheetData sheetId="3"/>
      <sheetData sheetId="4"/>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1 R 800"/>
      <sheetName val="2 R 800"/>
      <sheetName val="3R 1000"/>
      <sheetName val="Det Est"/>
      <sheetName val="Line"/>
      <sheetName val="BTR"/>
      <sheetName val="RMR"/>
      <sheetName val="Road data"/>
      <sheetName val="Line_ABS"/>
      <sheetName val="GenAbst"/>
      <sheetName val="She_A"/>
      <sheetName val="BOQ"/>
      <sheetName val="AS"/>
      <sheetName val="TS_CRF"/>
      <sheetName val="Quarry"/>
      <sheetName val="QDTS"/>
      <sheetName val="Sheet1"/>
      <sheetName val="Rates"/>
      <sheetName val=" data sheet "/>
      <sheetName val="DATA"/>
      <sheetName val="Lead"/>
      <sheetName val="det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000000"/>
      <sheetName val="1000000000000"/>
      <sheetName val="BTR"/>
      <sheetName val="RMR"/>
      <sheetName val="Road data"/>
      <sheetName val="Line"/>
      <sheetName val="GenAbst"/>
      <sheetName val="AS_SR"/>
      <sheetName val="TS_MDR"/>
      <sheetName val="Name"/>
      <sheetName val="Detailed"/>
      <sheetName val="Sheet1"/>
      <sheetName val="Rate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BTR"/>
      <sheetName val="RMR"/>
      <sheetName val="Road data"/>
      <sheetName val="Line"/>
      <sheetName val="GenAbst"/>
      <sheetName val="AS_SR"/>
      <sheetName val="TS_MDR"/>
      <sheetName val="Name"/>
      <sheetName val="Detailed"/>
      <sheetName val="Sheet1"/>
      <sheetName val="Rate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DATA ENTRY SHEET"/>
      <sheetName val="T.S"/>
      <sheetName val="GEN ABS"/>
      <sheetName val="ROAD WORK"/>
      <sheetName val="Sheet2"/>
      <sheetName val="HP CULVERTS"/>
      <sheetName val="SLAB CULVERT"/>
      <sheetName val="DRAINS"/>
      <sheetName val="RATES"/>
      <sheetName val="LINE ESTIMATE"/>
      <sheetName val="BTR"/>
      <sheetName val="SEINORAGE CHARGES"/>
      <sheetName val="Stone masonry 1st sort-Data"/>
      <sheetName val="Dressing stone"/>
      <sheetName val="ROAD DATA"/>
      <sheetName val="HP PIPE  DATA"/>
      <sheetName val="SLAB  DATA"/>
      <sheetName val="DRAINS DATA"/>
      <sheetName val="TOTAL DATA"/>
      <sheetName val="Sheet1"/>
      <sheetName val="ROAD "/>
      <sheetName val="SAN- CD"/>
      <sheetName val="RMR"/>
      <sheetName val="SAN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Slab-2m"/>
      <sheetName val="HP-800"/>
      <sheetName val="HP-600 "/>
      <sheetName val="Del est"/>
      <sheetName val="BTR"/>
      <sheetName val="RMR"/>
      <sheetName val="Road data"/>
      <sheetName val="Line"/>
      <sheetName val="Line_ABS"/>
      <sheetName val="GenAbst"/>
      <sheetName val="She_A"/>
      <sheetName val="BOQ"/>
      <sheetName val="AS"/>
      <sheetName val="TS_CRF"/>
      <sheetName val="Quarry"/>
      <sheetName val="QDTS"/>
      <sheetName val="Rates"/>
      <sheetName val="Lead"/>
      <sheetName val="MRATES"/>
      <sheetName val="Data_Base"/>
      <sheetName val="data existing_do not delete"/>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2)"/>
      <sheetName val="Check_Slip"/>
      <sheetName val="Misc"/>
      <sheetName val="Data_Base"/>
      <sheetName val="quarry"/>
      <sheetName val="Cover_Sheet"/>
      <sheetName val="Sp_Report"/>
      <sheetName val="Estimate"/>
      <sheetName val="Lead"/>
      <sheetName val="Conveyance_Rates"/>
      <sheetName val="Conveyance_Table"/>
      <sheetName val="Est_amt_text"/>
      <sheetName val="Data"/>
      <sheetName val="Schedule-A"/>
      <sheetName val="Labour_Charges"/>
      <sheetName val="Labour_Charges(detl)"/>
      <sheetName val="Specification"/>
      <sheetName val="Core_S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Abstract"/>
      <sheetName val="BC Ratio"/>
      <sheetName val="Net Annual Benefits"/>
      <sheetName val="Abstract_Bund"/>
      <sheetName val="Bund Grouting"/>
      <sheetName val="Weir Grouting "/>
      <sheetName val="Abst LF Sluice"/>
      <sheetName val="Est LF Sluice"/>
      <sheetName val="Dn LF Sluice"/>
      <sheetName val=" Abt OT 36 (L)"/>
      <sheetName val="Est OT (L)"/>
      <sheetName val="Design OT (L)"/>
      <sheetName val=" Abt OT 75 (R2) "/>
      <sheetName val="Est OT (R2) "/>
      <sheetName val="Design OT(R2) "/>
      <sheetName val=" Abt OT 117 (R3)  "/>
      <sheetName val="Est OT (R3) "/>
      <sheetName val="Design OT(R3)  "/>
      <sheetName val=" Abt OT 19 (L1)"/>
      <sheetName val="Est  OT (L1)"/>
      <sheetName val="Design OT(L1) "/>
      <sheetName val="L1 Abt 2V PUT 8"/>
      <sheetName val="L1 Est 2V PUT"/>
      <sheetName val=" L1 Dn 2V PUT"/>
      <sheetName val="Abs SLRB(R2)52.0"/>
      <sheetName val="Est SLRB (R2)"/>
      <sheetName val="Dn SLRB (R2)"/>
      <sheetName val="Abt SLRB (R1) 33"/>
      <sheetName val="Est SLRB (R1)"/>
      <sheetName val="Dn SLRB (R1) "/>
      <sheetName val="Abt SLRB (R3) 119"/>
      <sheetName val="Est SLRB (R3)"/>
      <sheetName val="Dn SLRB (R3)  "/>
      <sheetName val="Abt SLRB (L1) 27"/>
      <sheetName val="Est SLRB (L1) "/>
      <sheetName val="Dn SLRB (L1)"/>
      <sheetName val="Abst 3V PUT@45"/>
      <sheetName val="Est 3V PUT@45"/>
      <sheetName val="Design 3V PUT@45"/>
      <sheetName val="Abs Dr 19.0 (R1)"/>
      <sheetName val="Est Dr (R1)"/>
      <sheetName val="Design Dr (R1)"/>
      <sheetName val="Abs Dr 55 (R2)"/>
      <sheetName val="Est Dr (R2)"/>
      <sheetName val="Design Dr (R2) "/>
      <sheetName val="Abs Dr 107 (R3) "/>
      <sheetName val="Est Dr (R3) "/>
      <sheetName val="Design Dr (R3)"/>
      <sheetName val="Abst LF Canals"/>
      <sheetName val="Abst L1 Canal"/>
      <sheetName val="Abstrct Quantities"/>
      <sheetName val="Land Acqi"/>
      <sheetName val="Land Acqin"/>
      <sheetName val="Leadchart"/>
      <sheetName val="Labour_Charges"/>
      <sheetName val="Material_Cost"/>
      <sheetName val="DAT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tatement"/>
      <sheetName val="SSR 2010-11 Rates"/>
      <sheetName val="Hire charges"/>
      <sheetName val="centering"/>
      <sheetName val="Data (2)"/>
      <sheetName val="Data (4)"/>
      <sheetName val="Data"/>
      <sheetName val="Sheet1"/>
      <sheetName val="40KL-250KL Estimate &amp; data"/>
      <sheetName val="CI specials for OHSR"/>
      <sheetName val="G.House"/>
      <sheetName val="C.Data"/>
      <sheetName val="T.Data"/>
      <sheetName val="RMR"/>
      <sheetName val="BTR"/>
      <sheetName val="Road data"/>
      <sheetName val="Line"/>
    </sheetNames>
    <sheetDataSet>
      <sheetData sheetId="0">
        <row r="19">
          <cell r="Q19">
            <v>34500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gen_abst"/>
      <sheetName val="abstract"/>
      <sheetName val="detailed"/>
      <sheetName val="water"/>
      <sheetName val="data_new"/>
      <sheetName val="lead-st"/>
      <sheetName val="v"/>
      <sheetName val="r"/>
      <sheetName val="l"/>
      <sheetName val="electrical"/>
      <sheetName val="marking"/>
      <sheetName val="beams"/>
      <sheetName val="features"/>
      <sheetName val="c_wall"/>
      <sheetName val="XXXXX"/>
      <sheetName val="XXXXXXXXXXXXX"/>
      <sheetName val="drain (2)"/>
      <sheetName val="F-6 (estt) (2)"/>
      <sheetName val="spe-re"/>
      <sheetName val="TRAFFIC SIGN BOARDS"/>
      <sheetName val="1v-1000"/>
      <sheetName val="2v-1000 "/>
      <sheetName val="drain"/>
      <sheetName val="SUB DATA"/>
      <sheetName val="F7-A.CDW.BT.R5"/>
      <sheetName val="General-abstract"/>
      <sheetName val="Data"/>
      <sheetName val="Materials"/>
      <sheetName val="Lead statement"/>
      <sheetName val="Conveyance"/>
      <sheetName val="ws-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CD-DATA"/>
      <sheetName val="F7-1v1000-0 (3)"/>
      <sheetName val="DATA"/>
      <sheetName val="F6-Estt"/>
      <sheetName val="ABST(PART B) "/>
      <sheetName val="F6-Gnrl Abstrt"/>
      <sheetName val="Cover-MEstt."/>
      <sheetName val="Specification"/>
      <sheetName val="Superstruc"/>
      <sheetName val="F7-1v1000-0_(3)"/>
      <sheetName val="ABST(PART_B)_"/>
      <sheetName val="F6-Gnrl_Abstrt"/>
      <sheetName val="Cover-MEstt_"/>
      <sheetName val="Road Detail Est."/>
      <sheetName val="Road data"/>
      <sheetName val="r"/>
      <sheetName val="detls"/>
      <sheetName val="Sheet3"/>
      <sheetName val="Labour"/>
      <sheetName val="Material"/>
      <sheetName val="Plant &amp;  Machinery"/>
      <sheetName val="leads"/>
      <sheetName val="v"/>
      <sheetName val="stone"/>
      <sheetName val="index"/>
      <sheetName val="FF WRK"/>
      <sheetName val="maya"/>
      <sheetName val="ABS"/>
      <sheetName val="Levels"/>
      <sheetName val=" data sheet "/>
      <sheetName val="GF SB Ok "/>
      <sheetName val="Lookup"/>
      <sheetName val="ESTIMATE"/>
      <sheetName val="Data_Bit_I"/>
      <sheetName val="sectorwise"/>
      <sheetName val="nodes"/>
      <sheetName val="MRATES"/>
      <sheetName val="MTC-estimate"/>
      <sheetName val="m"/>
      <sheetName val="Main sheet"/>
      <sheetName val="DISCOUNT"/>
      <sheetName val="HYDcal"/>
      <sheetName val="Main"/>
      <sheetName val="t_prsr"/>
      <sheetName val="MRoad data"/>
      <sheetName val="F7-1v1000-0_(3)1"/>
      <sheetName val="ABST(PART_B)_1"/>
      <sheetName val="F6-Gnrl_Abstrt1"/>
      <sheetName val="Cover-MEstt_1"/>
      <sheetName val="Road_Detail_Est_"/>
      <sheetName val="Road_data"/>
      <sheetName val="F7-1v1000-0_(3)2"/>
      <sheetName val="ABST(PART_B)_2"/>
      <sheetName val="F6-Gnrl_Abstrt2"/>
      <sheetName val="Cover-MEstt_2"/>
      <sheetName val="Road_Detail_Est_1"/>
      <sheetName val="Road_data1"/>
      <sheetName val="Specification report"/>
      <sheetName val="sand"/>
      <sheetName val="Gen Abs"/>
      <sheetName val="DI"/>
      <sheetName val="Sheet9"/>
      <sheetName val="Sheet1 (2)"/>
      <sheetName val="m1"/>
      <sheetName val="Input"/>
      <sheetName val="Nspt-smp-final-ORIGINAL"/>
      <sheetName val="DATA_PRG"/>
      <sheetName val="Data.F8.BTR"/>
      <sheetName val="Sheet2"/>
      <sheetName val="labour coeff"/>
      <sheetName val="pvc_basic"/>
      <sheetName val="Bitumen trunk"/>
      <sheetName val="Feeder"/>
      <sheetName val="R99 etc"/>
      <sheetName val="Trunk unpaved"/>
      <sheetName val="lead-st"/>
      <sheetName val="cover (2)"/>
      <sheetName val="Annex- 6 - Delinator"/>
      <sheetName val="ws-ab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sheetData sheetId="3"/>
      <sheetData sheetId="4">
        <row r="130">
          <cell r="D130">
            <v>26000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2_Est_1.0M_Drop"/>
      <sheetName val="112_Design_1.0M_Drop"/>
      <sheetName val="123_Est_1.0M_Drop "/>
      <sheetName val="123_Design_1.0M_Drop "/>
      <sheetName val="127_Est_1.0M_Drop "/>
      <sheetName val="127_Design_1.0M_Drop "/>
      <sheetName val="123_Design_0.50M_Drop "/>
      <sheetName val="112_Design_0.50M_Drop"/>
    </sheetNames>
    <sheetDataSet>
      <sheetData sheetId="0" refreshError="1"/>
      <sheetData sheetId="1" refreshError="1">
        <row r="29">
          <cell r="H29">
            <v>0.45</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Abstract"/>
      <sheetName val="BC Ratio"/>
      <sheetName val="Net Annual Benefits"/>
      <sheetName val="Abstract_Bund"/>
      <sheetName val="Abst LF Sluice"/>
      <sheetName val="Est LF Sluice"/>
      <sheetName val="Dn LF Sluice"/>
      <sheetName val="Bund Grouting"/>
      <sheetName val="Weir Grouting "/>
      <sheetName val=" Abt OT 36 (L)"/>
      <sheetName val="Est OT (L)"/>
      <sheetName val="Design OT (L)"/>
      <sheetName val=" Abt OT 75 (R2) "/>
      <sheetName val="Est OT (R2) "/>
      <sheetName val="Design OT(R2) "/>
      <sheetName val=" Abt OT 117 (R3)  "/>
      <sheetName val="Est OT (R3) "/>
      <sheetName val="Design OT(R3)  "/>
      <sheetName val=" Abt OT 19 (L1)"/>
      <sheetName val="Est  OT (L1)"/>
      <sheetName val="Design OT(L1) "/>
      <sheetName val="L1 Abt 2V PUT 8"/>
      <sheetName val="L1 Est 2V PUT"/>
      <sheetName val=" L1 Dn 2V PUT"/>
      <sheetName val="Abs SLRB(R2)50.0"/>
      <sheetName val="Est SLRB (R2)"/>
      <sheetName val="Dn SLRB (R2)"/>
      <sheetName val="Abt SLRB (R1) 33"/>
      <sheetName val="Est SLRB (R1)"/>
      <sheetName val="Dn SLRB (R1) "/>
      <sheetName val="Abt SLRB (R3) 119"/>
      <sheetName val="Est SLRB (R3)"/>
      <sheetName val="Dn SLRB (R3)  "/>
      <sheetName val="Abt SLRB (L1) 27"/>
      <sheetName val="Est SLRB (L1) "/>
      <sheetName val="Dn SLRB (L1)"/>
      <sheetName val="Abst 3V PUT@45"/>
      <sheetName val="Est 3V PUT@45"/>
      <sheetName val="Design 3V PUT@45"/>
      <sheetName val="Abs Dr 19.0 (R1)"/>
      <sheetName val="Est Dr (R1)"/>
      <sheetName val="Design Dr (R1)"/>
      <sheetName val="Abs Dr 55 (R2)"/>
      <sheetName val="Est Dr (R2)"/>
      <sheetName val="Design Dr (R2) "/>
      <sheetName val="Abs Dr 107 (R3) "/>
      <sheetName val="Est Dr (R3) "/>
      <sheetName val="Design Dr (R3)"/>
      <sheetName val="Abst LF Canals"/>
      <sheetName val="Abst L1 Canal"/>
      <sheetName val="Abstrct Quantities"/>
      <sheetName val="Land Acqi"/>
      <sheetName val="Land Acqin"/>
      <sheetName val="Leadchart"/>
      <sheetName val="Material_Cost"/>
      <sheetName val="Labour_Charge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vent Pipe"/>
      <sheetName val="Four vents"/>
      <sheetName val="two vents"/>
      <sheetName val="data"/>
      <sheetName val="Lead"/>
      <sheetName val="Designs"/>
      <sheetName val="3Vents"/>
      <sheetName val="Abut"/>
      <sheetName val="Pier"/>
      <sheetName val="Speci"/>
      <sheetName val="One vent "/>
      <sheetName val="Material"/>
      <sheetName val="Sheet1"/>
      <sheetName val="Contents"/>
      <sheetName val="Plant &amp;  Machinery"/>
      <sheetName val="Labour"/>
      <sheetName val="Lead statement (2)"/>
      <sheetName val="Lead statement"/>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Lead (2)"/>
      <sheetName val="Data (2)"/>
      <sheetName val="Estimate"/>
      <sheetName val="XXXXXXXXXXXXX"/>
      <sheetName val="0000000000000"/>
      <sheetName val="6.5% (2)"/>
      <sheetName val="est (2)"/>
      <sheetName val="XXXXXXXXXXXX0"/>
      <sheetName val="Abstract (2)"/>
      <sheetName val="Detailed"/>
      <sheetName val="key (2)"/>
      <sheetName val="pro-B (2)"/>
      <sheetName val="est  (mord)"/>
      <sheetName val="est(old) "/>
      <sheetName val="6.5%"/>
      <sheetName val="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8">
          <cell r="D18">
            <v>137</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2000000000000"/>
      <sheetName val="3000000000000"/>
      <sheetName val="4000000000000"/>
      <sheetName val="5000000000000"/>
      <sheetName val="COVER"/>
      <sheetName val="index"/>
      <sheetName val="Report"/>
      <sheetName val="BCR"/>
      <sheetName val="abstract"/>
      <sheetName val="proposal"/>
      <sheetName val="rainfall"/>
      <sheetName val="bundqty"/>
      <sheetName val="weir"/>
      <sheetName val="desig cd works"/>
      <sheetName val="est canal"/>
      <sheetName val="cd works"/>
      <sheetName val="Lead "/>
      <sheetName val="Data"/>
      <sheetName val="l.s bund"/>
      <sheetName val="LFcanal"/>
      <sheetName val="RFcanal"/>
      <sheetName val="qrmap"/>
      <sheetName val="RouteMap"/>
      <sheetName val="drawings1"/>
      <sheetName val="Surplus Course"/>
      <sheetName val="Contour Map"/>
      <sheetName val="Certifica s "/>
      <sheetName val="inspn"/>
      <sheetName val="Chart1"/>
      <sheetName val="Sheet1"/>
      <sheetName val="certifc"/>
      <sheetName val="Regime"/>
      <sheetName val="weir heads (2)"/>
      <sheetName val="basicdata"/>
      <sheetName val="weir heads"/>
      <sheetName val="Data-abs"/>
      <sheetName val="Sheet2"/>
      <sheetName val="Data-abs (2)"/>
      <sheetName val="abstract "/>
      <sheetName val="General Abstract "/>
      <sheetName val="Lead  (2)"/>
      <sheetName val="Dat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8">
          <cell r="G8">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Data"/>
      <sheetName val="0000000000000"/>
      <sheetName val="1000000000000"/>
      <sheetName val="2000000000000"/>
      <sheetName val="3000000000000"/>
      <sheetName val="4000000000000"/>
      <sheetName val="5000000000000"/>
      <sheetName val="COVER"/>
      <sheetName val="Report"/>
      <sheetName val="Sections"/>
      <sheetName val="allowance"/>
      <sheetName val="Inspection Report"/>
      <sheetName val="Lead charges"/>
      <sheetName val="Lead chart"/>
      <sheetName val="leads ssr"/>
      <sheetName val="Detailed Estimate"/>
      <sheetName val="draw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2"/>
      <sheetName val="DATA"/>
      <sheetName val="Lr."/>
      <sheetName val="QC letter"/>
      <sheetName val="QC chckslip"/>
      <sheetName val="QC check slip"/>
      <sheetName val="QC check slip (2)"/>
      <sheetName val="PP11"/>
      <sheetName val="PP12"/>
      <sheetName val="CC.Run."/>
      <sheetName val="Part"/>
      <sheetName val="CC.Fin"/>
      <sheetName val="Final"/>
      <sheetName val="Cert."/>
      <sheetName val="Cert. (2)"/>
      <sheetName val="SC"/>
      <sheetName val="VAT,IT,NAC,LC"/>
      <sheetName val="Com.Rpt"/>
      <sheetName val="Workslip"/>
      <sheetName val="WD com.stt."/>
      <sheetName val="PD for Red,BC soils"/>
      <sheetName val="PD for Gravel"/>
      <sheetName val="Proforma-I."/>
      <sheetName val="Proforma-II."/>
      <sheetName val="Proforma-III."/>
      <sheetName val="Proforma-IV."/>
      <sheetName val="Programme of work"/>
      <sheetName val="VAT"/>
      <sheetName val="NA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XXXXXXXXXXXXX"/>
      <sheetName val="XXXXXXXXXXXX0"/>
      <sheetName val="connect status"/>
      <sheetName val="Census"/>
      <sheetName val="3 day"/>
      <sheetName val="Hydraulic(3.00) 1vent (2)"/>
      <sheetName val="COVER"/>
      <sheetName val="ave lead (calculation))"/>
      <sheetName val="3m-S1"/>
      <sheetName val="2m-S1"/>
      <sheetName val="Spec Report "/>
      <sheetName val="CBR Cert"/>
      <sheetName val="Inspect Report EE"/>
      <sheetName val="traffic"/>
      <sheetName val="design1"/>
      <sheetName val="design1 (2)"/>
      <sheetName val="Ls 250"/>
      <sheetName val="Ls 200"/>
      <sheetName val="Lead"/>
      <sheetName val="LS"/>
      <sheetName val="CS"/>
      <sheetName val="CS -color"/>
      <sheetName val="Pro-C"/>
      <sheetName val="CS-color les"/>
      <sheetName val="Quarry"/>
      <sheetName val="CD-PC-Data"/>
      <sheetName val="PC1000"/>
      <sheetName val="CC pave"/>
      <sheetName val="Ave lead"/>
      <sheetName val="Data"/>
      <sheetName val="Gen-abs"/>
      <sheetName val="Prof -C "/>
      <sheetName val="prof-B"/>
      <sheetName val="Hydraulic"/>
      <sheetName val="data(MORD)"/>
      <sheetName val="Esti"/>
      <sheetName val="Esti -part -b"/>
      <sheetName val="Data CD"/>
      <sheetName val="Hydraulic(2.00) 1v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VARBUD YTD MAY"/>
      <sheetName val="GPVARBUD2000 "/>
      <sheetName val="FINSUM"/>
      <sheetName val="EXP"/>
      <sheetName val="OH"/>
      <sheetName val="OI MT"/>
      <sheetName val="OIRSLACS"/>
      <sheetName val="SHIP MT"/>
      <sheetName val="SHIP RS LACS"/>
      <sheetName val="BL MT"/>
      <sheetName val="BL RS LACS"/>
      <sheetName val="MPOWER"/>
      <sheetName val="BSHEET"/>
      <sheetName val="CSFLOW"/>
      <sheetName val="INV"/>
      <sheetName val="VSE"/>
      <sheetName val="19-PERF"/>
      <sheetName val="SHRS LACS"/>
      <sheetName val="SH RS LACS -MT"/>
      <sheetName val="GPGM"/>
      <sheetName val="OHR"/>
      <sheetName val="OPM%"/>
      <sheetName val="FC"/>
      <sheetName val="NPRS LACS"/>
      <sheetName val="WC"/>
      <sheetName val="INV (2)"/>
      <sheetName val="MC%S"/>
      <sheetName val="ROCE"/>
      <sheetName val="OPM"/>
      <sheetName val="SAL%"/>
      <sheetName val="ADVRS LACS"/>
      <sheetName val="OIEMP"/>
      <sheetName val="SPEMP"/>
      <sheetName val="OPEMP"/>
      <sheetName val="OTP%LC"/>
      <sheetName val="19_PERF"/>
      <sheetName val="Annexures (2)"/>
      <sheetName val="Workings"/>
      <sheetName val="YAAS"/>
      <sheetName val="Nov 02 &amp; Dec 02 s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B1" t="str">
            <v>KIRBY INDIA</v>
          </cell>
        </row>
        <row r="2">
          <cell r="B2" t="str">
            <v>BUSINESS PLAN 2000</v>
          </cell>
        </row>
        <row r="3">
          <cell r="B3" t="str">
            <v>MEASUREMENT</v>
          </cell>
          <cell r="G3" t="str">
            <v>BUD 2000</v>
          </cell>
          <cell r="P3" t="str">
            <v>BUD 2000</v>
          </cell>
        </row>
        <row r="4">
          <cell r="B4" t="str">
            <v>CRITERIA</v>
          </cell>
          <cell r="C4" t="str">
            <v>JAN-MAY 00</v>
          </cell>
          <cell r="E4" t="str">
            <v>2000 F</v>
          </cell>
          <cell r="F4" t="str">
            <v>2000B</v>
          </cell>
          <cell r="G4" t="str">
            <v>Q1 2000</v>
          </cell>
          <cell r="I4" t="str">
            <v>Q2 2000</v>
          </cell>
          <cell r="K4" t="str">
            <v>Q3 2000</v>
          </cell>
          <cell r="M4" t="str">
            <v>Q4 2000</v>
          </cell>
          <cell r="P4" t="str">
            <v>JAN</v>
          </cell>
          <cell r="R4" t="str">
            <v>FEB</v>
          </cell>
          <cell r="T4" t="str">
            <v>MAR</v>
          </cell>
          <cell r="V4" t="str">
            <v>APR</v>
          </cell>
          <cell r="X4" t="str">
            <v>MAY</v>
          </cell>
          <cell r="Z4" t="str">
            <v>JUN</v>
          </cell>
          <cell r="AB4" t="str">
            <v>JUL</v>
          </cell>
          <cell r="AD4" t="str">
            <v>AUG</v>
          </cell>
          <cell r="AF4" t="str">
            <v>SEP</v>
          </cell>
          <cell r="AH4" t="str">
            <v>OCT</v>
          </cell>
          <cell r="AJ4" t="str">
            <v>NOV</v>
          </cell>
          <cell r="AL4" t="str">
            <v>DEC</v>
          </cell>
        </row>
        <row r="6">
          <cell r="B6" t="str">
            <v>FINANCIAL</v>
          </cell>
        </row>
        <row r="7">
          <cell r="B7" t="str">
            <v>MATERIAL COST % OF SALES</v>
          </cell>
        </row>
        <row r="8">
          <cell r="B8" t="str">
            <v>MATERIAL COST % OF SALES</v>
          </cell>
        </row>
        <row r="9">
          <cell r="B9" t="str">
            <v xml:space="preserve">    INCL. PROD. SUPPL.</v>
          </cell>
        </row>
        <row r="10">
          <cell r="B10" t="str">
            <v>RETURN ON SALES</v>
          </cell>
        </row>
        <row r="11">
          <cell r="B11" t="str">
            <v>RETURN ON CAPITAL  EMPLOYED</v>
          </cell>
        </row>
        <row r="12">
          <cell r="B12" t="str">
            <v>ASSET UTILISATION</v>
          </cell>
        </row>
        <row r="13">
          <cell r="B13" t="str">
            <v>GROSS MARGIN % ON SHIPMENTS</v>
          </cell>
        </row>
        <row r="14">
          <cell r="B14" t="str">
            <v>OPERATING MARGIN %</v>
          </cell>
        </row>
        <row r="15">
          <cell r="B15" t="str">
            <v>OVER HEAD AS % OF SALES</v>
          </cell>
        </row>
        <row r="16">
          <cell r="B16" t="str">
            <v>SALARY AND RELATED COST AS</v>
          </cell>
        </row>
        <row r="17">
          <cell r="B17" t="str">
            <v xml:space="preserve">   % OF SALES</v>
          </cell>
        </row>
        <row r="18">
          <cell r="B18" t="str">
            <v>ADVT. EXPENSES AS % OF SALES</v>
          </cell>
        </row>
        <row r="19">
          <cell r="B19" t="str">
            <v>ADVT. EXPENSES RS LACS</v>
          </cell>
        </row>
        <row r="20">
          <cell r="B20" t="str">
            <v>SALES/EMP /MTH RS LACS</v>
          </cell>
        </row>
        <row r="21">
          <cell r="B21" t="str">
            <v>SALES/EMP/MTH DIRECT RS LACS</v>
          </cell>
        </row>
        <row r="22">
          <cell r="B22" t="str">
            <v>SALES/EMP/MTH INDIRECT RS LAC</v>
          </cell>
        </row>
        <row r="23">
          <cell r="B23" t="str">
            <v>ORDER INTAKE/EMP/MTH RS LACS</v>
          </cell>
        </row>
        <row r="24">
          <cell r="B24" t="str">
            <v>OPERATING PROFIT / EMP RS LACS</v>
          </cell>
        </row>
        <row r="25">
          <cell r="B25" t="str">
            <v>ACCOUNT RECV. - DAYS</v>
          </cell>
        </row>
        <row r="26">
          <cell r="B26" t="str">
            <v>OT PREMIUM AS % OF NET SALES</v>
          </cell>
        </row>
        <row r="27">
          <cell r="B27" t="str">
            <v>OT PREMIUM AS % OF LABOR</v>
          </cell>
        </row>
        <row r="29">
          <cell r="B29" t="str">
            <v>NON FINANCIAL</v>
          </cell>
        </row>
        <row r="31">
          <cell r="B31" t="str">
            <v>QUOT.TRN.ARND CYCLES-DAYS</v>
          </cell>
        </row>
        <row r="32">
          <cell r="B32" t="str">
            <v>CYCLE TIME FOR APP DRAWINGS,</v>
          </cell>
        </row>
        <row r="33">
          <cell r="B33" t="str">
            <v>DELIVERY,ANCHOR BOLTS ETC</v>
          </cell>
        </row>
        <row r="34">
          <cell r="B34" t="str">
            <v>MACHINE UPTIME %</v>
          </cell>
        </row>
        <row r="35">
          <cell r="B35" t="str">
            <v>MANUFACTURE MH/MT ( GROSS )</v>
          </cell>
        </row>
        <row r="36">
          <cell r="B36" t="str">
            <v>MANUFACTURING MH/MT ( NET )</v>
          </cell>
        </row>
        <row r="37">
          <cell r="B37" t="str">
            <v>ENGN. +DRAFT.  MH/MT</v>
          </cell>
        </row>
        <row r="38">
          <cell r="B38" t="str">
            <v xml:space="preserve">     GROSS</v>
          </cell>
        </row>
        <row r="39">
          <cell r="B39" t="str">
            <v xml:space="preserve">     NET</v>
          </cell>
        </row>
        <row r="40">
          <cell r="B40" t="str">
            <v>TRADE PAYABLE DAYS</v>
          </cell>
        </row>
        <row r="41">
          <cell r="B41" t="str">
            <v>INVENTORY COVER</v>
          </cell>
        </row>
        <row r="42">
          <cell r="B42" t="str">
            <v xml:space="preserve">DIRECT TO INDIRECT </v>
          </cell>
        </row>
        <row r="43">
          <cell r="B43" t="str">
            <v xml:space="preserve">    MANPOWER RATIO</v>
          </cell>
        </row>
        <row r="44">
          <cell r="B44" t="str">
            <v>CLAIMS AS % OF SALES</v>
          </cell>
        </row>
        <row r="45">
          <cell r="B45" t="str">
            <v>CLAIMS  RS LACS</v>
          </cell>
        </row>
        <row r="46">
          <cell r="B46" t="str">
            <v>QUALITY INDEX</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
  <sheetViews>
    <sheetView view="pageBreakPreview" topLeftCell="A20" workbookViewId="0">
      <selection activeCell="D3" sqref="D3"/>
    </sheetView>
  </sheetViews>
  <sheetFormatPr defaultColWidth="9" defaultRowHeight="15.75"/>
  <cols>
    <col min="1" max="1" width="4.140625" style="68" customWidth="1"/>
    <col min="2" max="2" width="46" style="72" customWidth="1"/>
    <col min="3" max="3" width="1.5703125" style="68" customWidth="1"/>
    <col min="4" max="4" width="40.85546875" style="79" customWidth="1"/>
    <col min="5" max="256" width="9" style="68"/>
    <col min="257" max="257" width="4.140625" style="68" customWidth="1"/>
    <col min="258" max="258" width="46" style="68" customWidth="1"/>
    <col min="259" max="259" width="1.5703125" style="68" customWidth="1"/>
    <col min="260" max="260" width="40.85546875" style="68" customWidth="1"/>
    <col min="261" max="512" width="9" style="68"/>
    <col min="513" max="513" width="4.140625" style="68" customWidth="1"/>
    <col min="514" max="514" width="46" style="68" customWidth="1"/>
    <col min="515" max="515" width="1.5703125" style="68" customWidth="1"/>
    <col min="516" max="516" width="40.85546875" style="68" customWidth="1"/>
    <col min="517" max="768" width="9" style="68"/>
    <col min="769" max="769" width="4.140625" style="68" customWidth="1"/>
    <col min="770" max="770" width="46" style="68" customWidth="1"/>
    <col min="771" max="771" width="1.5703125" style="68" customWidth="1"/>
    <col min="772" max="772" width="40.85546875" style="68" customWidth="1"/>
    <col min="773" max="1024" width="9" style="68"/>
    <col min="1025" max="1025" width="4.140625" style="68" customWidth="1"/>
    <col min="1026" max="1026" width="46" style="68" customWidth="1"/>
    <col min="1027" max="1027" width="1.5703125" style="68" customWidth="1"/>
    <col min="1028" max="1028" width="40.85546875" style="68" customWidth="1"/>
    <col min="1029" max="1280" width="9" style="68"/>
    <col min="1281" max="1281" width="4.140625" style="68" customWidth="1"/>
    <col min="1282" max="1282" width="46" style="68" customWidth="1"/>
    <col min="1283" max="1283" width="1.5703125" style="68" customWidth="1"/>
    <col min="1284" max="1284" width="40.85546875" style="68" customWidth="1"/>
    <col min="1285" max="1536" width="9" style="68"/>
    <col min="1537" max="1537" width="4.140625" style="68" customWidth="1"/>
    <col min="1538" max="1538" width="46" style="68" customWidth="1"/>
    <col min="1539" max="1539" width="1.5703125" style="68" customWidth="1"/>
    <col min="1540" max="1540" width="40.85546875" style="68" customWidth="1"/>
    <col min="1541" max="1792" width="9" style="68"/>
    <col min="1793" max="1793" width="4.140625" style="68" customWidth="1"/>
    <col min="1794" max="1794" width="46" style="68" customWidth="1"/>
    <col min="1795" max="1795" width="1.5703125" style="68" customWidth="1"/>
    <col min="1796" max="1796" width="40.85546875" style="68" customWidth="1"/>
    <col min="1797" max="2048" width="9" style="68"/>
    <col min="2049" max="2049" width="4.140625" style="68" customWidth="1"/>
    <col min="2050" max="2050" width="46" style="68" customWidth="1"/>
    <col min="2051" max="2051" width="1.5703125" style="68" customWidth="1"/>
    <col min="2052" max="2052" width="40.85546875" style="68" customWidth="1"/>
    <col min="2053" max="2304" width="9" style="68"/>
    <col min="2305" max="2305" width="4.140625" style="68" customWidth="1"/>
    <col min="2306" max="2306" width="46" style="68" customWidth="1"/>
    <col min="2307" max="2307" width="1.5703125" style="68" customWidth="1"/>
    <col min="2308" max="2308" width="40.85546875" style="68" customWidth="1"/>
    <col min="2309" max="2560" width="9" style="68"/>
    <col min="2561" max="2561" width="4.140625" style="68" customWidth="1"/>
    <col min="2562" max="2562" width="46" style="68" customWidth="1"/>
    <col min="2563" max="2563" width="1.5703125" style="68" customWidth="1"/>
    <col min="2564" max="2564" width="40.85546875" style="68" customWidth="1"/>
    <col min="2565" max="2816" width="9" style="68"/>
    <col min="2817" max="2817" width="4.140625" style="68" customWidth="1"/>
    <col min="2818" max="2818" width="46" style="68" customWidth="1"/>
    <col min="2819" max="2819" width="1.5703125" style="68" customWidth="1"/>
    <col min="2820" max="2820" width="40.85546875" style="68" customWidth="1"/>
    <col min="2821" max="3072" width="9" style="68"/>
    <col min="3073" max="3073" width="4.140625" style="68" customWidth="1"/>
    <col min="3074" max="3074" width="46" style="68" customWidth="1"/>
    <col min="3075" max="3075" width="1.5703125" style="68" customWidth="1"/>
    <col min="3076" max="3076" width="40.85546875" style="68" customWidth="1"/>
    <col min="3077" max="3328" width="9" style="68"/>
    <col min="3329" max="3329" width="4.140625" style="68" customWidth="1"/>
    <col min="3330" max="3330" width="46" style="68" customWidth="1"/>
    <col min="3331" max="3331" width="1.5703125" style="68" customWidth="1"/>
    <col min="3332" max="3332" width="40.85546875" style="68" customWidth="1"/>
    <col min="3333" max="3584" width="9" style="68"/>
    <col min="3585" max="3585" width="4.140625" style="68" customWidth="1"/>
    <col min="3586" max="3586" width="46" style="68" customWidth="1"/>
    <col min="3587" max="3587" width="1.5703125" style="68" customWidth="1"/>
    <col min="3588" max="3588" width="40.85546875" style="68" customWidth="1"/>
    <col min="3589" max="3840" width="9" style="68"/>
    <col min="3841" max="3841" width="4.140625" style="68" customWidth="1"/>
    <col min="3842" max="3842" width="46" style="68" customWidth="1"/>
    <col min="3843" max="3843" width="1.5703125" style="68" customWidth="1"/>
    <col min="3844" max="3844" width="40.85546875" style="68" customWidth="1"/>
    <col min="3845" max="4096" width="9" style="68"/>
    <col min="4097" max="4097" width="4.140625" style="68" customWidth="1"/>
    <col min="4098" max="4098" width="46" style="68" customWidth="1"/>
    <col min="4099" max="4099" width="1.5703125" style="68" customWidth="1"/>
    <col min="4100" max="4100" width="40.85546875" style="68" customWidth="1"/>
    <col min="4101" max="4352" width="9" style="68"/>
    <col min="4353" max="4353" width="4.140625" style="68" customWidth="1"/>
    <col min="4354" max="4354" width="46" style="68" customWidth="1"/>
    <col min="4355" max="4355" width="1.5703125" style="68" customWidth="1"/>
    <col min="4356" max="4356" width="40.85546875" style="68" customWidth="1"/>
    <col min="4357" max="4608" width="9" style="68"/>
    <col min="4609" max="4609" width="4.140625" style="68" customWidth="1"/>
    <col min="4610" max="4610" width="46" style="68" customWidth="1"/>
    <col min="4611" max="4611" width="1.5703125" style="68" customWidth="1"/>
    <col min="4612" max="4612" width="40.85546875" style="68" customWidth="1"/>
    <col min="4613" max="4864" width="9" style="68"/>
    <col min="4865" max="4865" width="4.140625" style="68" customWidth="1"/>
    <col min="4866" max="4866" width="46" style="68" customWidth="1"/>
    <col min="4867" max="4867" width="1.5703125" style="68" customWidth="1"/>
    <col min="4868" max="4868" width="40.85546875" style="68" customWidth="1"/>
    <col min="4869" max="5120" width="9" style="68"/>
    <col min="5121" max="5121" width="4.140625" style="68" customWidth="1"/>
    <col min="5122" max="5122" width="46" style="68" customWidth="1"/>
    <col min="5123" max="5123" width="1.5703125" style="68" customWidth="1"/>
    <col min="5124" max="5124" width="40.85546875" style="68" customWidth="1"/>
    <col min="5125" max="5376" width="9" style="68"/>
    <col min="5377" max="5377" width="4.140625" style="68" customWidth="1"/>
    <col min="5378" max="5378" width="46" style="68" customWidth="1"/>
    <col min="5379" max="5379" width="1.5703125" style="68" customWidth="1"/>
    <col min="5380" max="5380" width="40.85546875" style="68" customWidth="1"/>
    <col min="5381" max="5632" width="9" style="68"/>
    <col min="5633" max="5633" width="4.140625" style="68" customWidth="1"/>
    <col min="5634" max="5634" width="46" style="68" customWidth="1"/>
    <col min="5635" max="5635" width="1.5703125" style="68" customWidth="1"/>
    <col min="5636" max="5636" width="40.85546875" style="68" customWidth="1"/>
    <col min="5637" max="5888" width="9" style="68"/>
    <col min="5889" max="5889" width="4.140625" style="68" customWidth="1"/>
    <col min="5890" max="5890" width="46" style="68" customWidth="1"/>
    <col min="5891" max="5891" width="1.5703125" style="68" customWidth="1"/>
    <col min="5892" max="5892" width="40.85546875" style="68" customWidth="1"/>
    <col min="5893" max="6144" width="9" style="68"/>
    <col min="6145" max="6145" width="4.140625" style="68" customWidth="1"/>
    <col min="6146" max="6146" width="46" style="68" customWidth="1"/>
    <col min="6147" max="6147" width="1.5703125" style="68" customWidth="1"/>
    <col min="6148" max="6148" width="40.85546875" style="68" customWidth="1"/>
    <col min="6149" max="6400" width="9" style="68"/>
    <col min="6401" max="6401" width="4.140625" style="68" customWidth="1"/>
    <col min="6402" max="6402" width="46" style="68" customWidth="1"/>
    <col min="6403" max="6403" width="1.5703125" style="68" customWidth="1"/>
    <col min="6404" max="6404" width="40.85546875" style="68" customWidth="1"/>
    <col min="6405" max="6656" width="9" style="68"/>
    <col min="6657" max="6657" width="4.140625" style="68" customWidth="1"/>
    <col min="6658" max="6658" width="46" style="68" customWidth="1"/>
    <col min="6659" max="6659" width="1.5703125" style="68" customWidth="1"/>
    <col min="6660" max="6660" width="40.85546875" style="68" customWidth="1"/>
    <col min="6661" max="6912" width="9" style="68"/>
    <col min="6913" max="6913" width="4.140625" style="68" customWidth="1"/>
    <col min="6914" max="6914" width="46" style="68" customWidth="1"/>
    <col min="6915" max="6915" width="1.5703125" style="68" customWidth="1"/>
    <col min="6916" max="6916" width="40.85546875" style="68" customWidth="1"/>
    <col min="6917" max="7168" width="9" style="68"/>
    <col min="7169" max="7169" width="4.140625" style="68" customWidth="1"/>
    <col min="7170" max="7170" width="46" style="68" customWidth="1"/>
    <col min="7171" max="7171" width="1.5703125" style="68" customWidth="1"/>
    <col min="7172" max="7172" width="40.85546875" style="68" customWidth="1"/>
    <col min="7173" max="7424" width="9" style="68"/>
    <col min="7425" max="7425" width="4.140625" style="68" customWidth="1"/>
    <col min="7426" max="7426" width="46" style="68" customWidth="1"/>
    <col min="7427" max="7427" width="1.5703125" style="68" customWidth="1"/>
    <col min="7428" max="7428" width="40.85546875" style="68" customWidth="1"/>
    <col min="7429" max="7680" width="9" style="68"/>
    <col min="7681" max="7681" width="4.140625" style="68" customWidth="1"/>
    <col min="7682" max="7682" width="46" style="68" customWidth="1"/>
    <col min="7683" max="7683" width="1.5703125" style="68" customWidth="1"/>
    <col min="7684" max="7684" width="40.85546875" style="68" customWidth="1"/>
    <col min="7685" max="7936" width="9" style="68"/>
    <col min="7937" max="7937" width="4.140625" style="68" customWidth="1"/>
    <col min="7938" max="7938" width="46" style="68" customWidth="1"/>
    <col min="7939" max="7939" width="1.5703125" style="68" customWidth="1"/>
    <col min="7940" max="7940" width="40.85546875" style="68" customWidth="1"/>
    <col min="7941" max="8192" width="9" style="68"/>
    <col min="8193" max="8193" width="4.140625" style="68" customWidth="1"/>
    <col min="8194" max="8194" width="46" style="68" customWidth="1"/>
    <col min="8195" max="8195" width="1.5703125" style="68" customWidth="1"/>
    <col min="8196" max="8196" width="40.85546875" style="68" customWidth="1"/>
    <col min="8197" max="8448" width="9" style="68"/>
    <col min="8449" max="8449" width="4.140625" style="68" customWidth="1"/>
    <col min="8450" max="8450" width="46" style="68" customWidth="1"/>
    <col min="8451" max="8451" width="1.5703125" style="68" customWidth="1"/>
    <col min="8452" max="8452" width="40.85546875" style="68" customWidth="1"/>
    <col min="8453" max="8704" width="9" style="68"/>
    <col min="8705" max="8705" width="4.140625" style="68" customWidth="1"/>
    <col min="8706" max="8706" width="46" style="68" customWidth="1"/>
    <col min="8707" max="8707" width="1.5703125" style="68" customWidth="1"/>
    <col min="8708" max="8708" width="40.85546875" style="68" customWidth="1"/>
    <col min="8709" max="8960" width="9" style="68"/>
    <col min="8961" max="8961" width="4.140625" style="68" customWidth="1"/>
    <col min="8962" max="8962" width="46" style="68" customWidth="1"/>
    <col min="8963" max="8963" width="1.5703125" style="68" customWidth="1"/>
    <col min="8964" max="8964" width="40.85546875" style="68" customWidth="1"/>
    <col min="8965" max="9216" width="9" style="68"/>
    <col min="9217" max="9217" width="4.140625" style="68" customWidth="1"/>
    <col min="9218" max="9218" width="46" style="68" customWidth="1"/>
    <col min="9219" max="9219" width="1.5703125" style="68" customWidth="1"/>
    <col min="9220" max="9220" width="40.85546875" style="68" customWidth="1"/>
    <col min="9221" max="9472" width="9" style="68"/>
    <col min="9473" max="9473" width="4.140625" style="68" customWidth="1"/>
    <col min="9474" max="9474" width="46" style="68" customWidth="1"/>
    <col min="9475" max="9475" width="1.5703125" style="68" customWidth="1"/>
    <col min="9476" max="9476" width="40.85546875" style="68" customWidth="1"/>
    <col min="9477" max="9728" width="9" style="68"/>
    <col min="9729" max="9729" width="4.140625" style="68" customWidth="1"/>
    <col min="9730" max="9730" width="46" style="68" customWidth="1"/>
    <col min="9731" max="9731" width="1.5703125" style="68" customWidth="1"/>
    <col min="9732" max="9732" width="40.85546875" style="68" customWidth="1"/>
    <col min="9733" max="9984" width="9" style="68"/>
    <col min="9985" max="9985" width="4.140625" style="68" customWidth="1"/>
    <col min="9986" max="9986" width="46" style="68" customWidth="1"/>
    <col min="9987" max="9987" width="1.5703125" style="68" customWidth="1"/>
    <col min="9988" max="9988" width="40.85546875" style="68" customWidth="1"/>
    <col min="9989" max="10240" width="9" style="68"/>
    <col min="10241" max="10241" width="4.140625" style="68" customWidth="1"/>
    <col min="10242" max="10242" width="46" style="68" customWidth="1"/>
    <col min="10243" max="10243" width="1.5703125" style="68" customWidth="1"/>
    <col min="10244" max="10244" width="40.85546875" style="68" customWidth="1"/>
    <col min="10245" max="10496" width="9" style="68"/>
    <col min="10497" max="10497" width="4.140625" style="68" customWidth="1"/>
    <col min="10498" max="10498" width="46" style="68" customWidth="1"/>
    <col min="10499" max="10499" width="1.5703125" style="68" customWidth="1"/>
    <col min="10500" max="10500" width="40.85546875" style="68" customWidth="1"/>
    <col min="10501" max="10752" width="9" style="68"/>
    <col min="10753" max="10753" width="4.140625" style="68" customWidth="1"/>
    <col min="10754" max="10754" width="46" style="68" customWidth="1"/>
    <col min="10755" max="10755" width="1.5703125" style="68" customWidth="1"/>
    <col min="10756" max="10756" width="40.85546875" style="68" customWidth="1"/>
    <col min="10757" max="11008" width="9" style="68"/>
    <col min="11009" max="11009" width="4.140625" style="68" customWidth="1"/>
    <col min="11010" max="11010" width="46" style="68" customWidth="1"/>
    <col min="11011" max="11011" width="1.5703125" style="68" customWidth="1"/>
    <col min="11012" max="11012" width="40.85546875" style="68" customWidth="1"/>
    <col min="11013" max="11264" width="9" style="68"/>
    <col min="11265" max="11265" width="4.140625" style="68" customWidth="1"/>
    <col min="11266" max="11266" width="46" style="68" customWidth="1"/>
    <col min="11267" max="11267" width="1.5703125" style="68" customWidth="1"/>
    <col min="11268" max="11268" width="40.85546875" style="68" customWidth="1"/>
    <col min="11269" max="11520" width="9" style="68"/>
    <col min="11521" max="11521" width="4.140625" style="68" customWidth="1"/>
    <col min="11522" max="11522" width="46" style="68" customWidth="1"/>
    <col min="11523" max="11523" width="1.5703125" style="68" customWidth="1"/>
    <col min="11524" max="11524" width="40.85546875" style="68" customWidth="1"/>
    <col min="11525" max="11776" width="9" style="68"/>
    <col min="11777" max="11777" width="4.140625" style="68" customWidth="1"/>
    <col min="11778" max="11778" width="46" style="68" customWidth="1"/>
    <col min="11779" max="11779" width="1.5703125" style="68" customWidth="1"/>
    <col min="11780" max="11780" width="40.85546875" style="68" customWidth="1"/>
    <col min="11781" max="12032" width="9" style="68"/>
    <col min="12033" max="12033" width="4.140625" style="68" customWidth="1"/>
    <col min="12034" max="12034" width="46" style="68" customWidth="1"/>
    <col min="12035" max="12035" width="1.5703125" style="68" customWidth="1"/>
    <col min="12036" max="12036" width="40.85546875" style="68" customWidth="1"/>
    <col min="12037" max="12288" width="9" style="68"/>
    <col min="12289" max="12289" width="4.140625" style="68" customWidth="1"/>
    <col min="12290" max="12290" width="46" style="68" customWidth="1"/>
    <col min="12291" max="12291" width="1.5703125" style="68" customWidth="1"/>
    <col min="12292" max="12292" width="40.85546875" style="68" customWidth="1"/>
    <col min="12293" max="12544" width="9" style="68"/>
    <col min="12545" max="12545" width="4.140625" style="68" customWidth="1"/>
    <col min="12546" max="12546" width="46" style="68" customWidth="1"/>
    <col min="12547" max="12547" width="1.5703125" style="68" customWidth="1"/>
    <col min="12548" max="12548" width="40.85546875" style="68" customWidth="1"/>
    <col min="12549" max="12800" width="9" style="68"/>
    <col min="12801" max="12801" width="4.140625" style="68" customWidth="1"/>
    <col min="12802" max="12802" width="46" style="68" customWidth="1"/>
    <col min="12803" max="12803" width="1.5703125" style="68" customWidth="1"/>
    <col min="12804" max="12804" width="40.85546875" style="68" customWidth="1"/>
    <col min="12805" max="13056" width="9" style="68"/>
    <col min="13057" max="13057" width="4.140625" style="68" customWidth="1"/>
    <col min="13058" max="13058" width="46" style="68" customWidth="1"/>
    <col min="13059" max="13059" width="1.5703125" style="68" customWidth="1"/>
    <col min="13060" max="13060" width="40.85546875" style="68" customWidth="1"/>
    <col min="13061" max="13312" width="9" style="68"/>
    <col min="13313" max="13313" width="4.140625" style="68" customWidth="1"/>
    <col min="13314" max="13314" width="46" style="68" customWidth="1"/>
    <col min="13315" max="13315" width="1.5703125" style="68" customWidth="1"/>
    <col min="13316" max="13316" width="40.85546875" style="68" customWidth="1"/>
    <col min="13317" max="13568" width="9" style="68"/>
    <col min="13569" max="13569" width="4.140625" style="68" customWidth="1"/>
    <col min="13570" max="13570" width="46" style="68" customWidth="1"/>
    <col min="13571" max="13571" width="1.5703125" style="68" customWidth="1"/>
    <col min="13572" max="13572" width="40.85546875" style="68" customWidth="1"/>
    <col min="13573" max="13824" width="9" style="68"/>
    <col min="13825" max="13825" width="4.140625" style="68" customWidth="1"/>
    <col min="13826" max="13826" width="46" style="68" customWidth="1"/>
    <col min="13827" max="13827" width="1.5703125" style="68" customWidth="1"/>
    <col min="13828" max="13828" width="40.85546875" style="68" customWidth="1"/>
    <col min="13829" max="14080" width="9" style="68"/>
    <col min="14081" max="14081" width="4.140625" style="68" customWidth="1"/>
    <col min="14082" max="14082" width="46" style="68" customWidth="1"/>
    <col min="14083" max="14083" width="1.5703125" style="68" customWidth="1"/>
    <col min="14084" max="14084" width="40.85546875" style="68" customWidth="1"/>
    <col min="14085" max="14336" width="9" style="68"/>
    <col min="14337" max="14337" width="4.140625" style="68" customWidth="1"/>
    <col min="14338" max="14338" width="46" style="68" customWidth="1"/>
    <col min="14339" max="14339" width="1.5703125" style="68" customWidth="1"/>
    <col min="14340" max="14340" width="40.85546875" style="68" customWidth="1"/>
    <col min="14341" max="14592" width="9" style="68"/>
    <col min="14593" max="14593" width="4.140625" style="68" customWidth="1"/>
    <col min="14594" max="14594" width="46" style="68" customWidth="1"/>
    <col min="14595" max="14595" width="1.5703125" style="68" customWidth="1"/>
    <col min="14596" max="14596" width="40.85546875" style="68" customWidth="1"/>
    <col min="14597" max="14848" width="9" style="68"/>
    <col min="14849" max="14849" width="4.140625" style="68" customWidth="1"/>
    <col min="14850" max="14850" width="46" style="68" customWidth="1"/>
    <col min="14851" max="14851" width="1.5703125" style="68" customWidth="1"/>
    <col min="14852" max="14852" width="40.85546875" style="68" customWidth="1"/>
    <col min="14853" max="15104" width="9" style="68"/>
    <col min="15105" max="15105" width="4.140625" style="68" customWidth="1"/>
    <col min="15106" max="15106" width="46" style="68" customWidth="1"/>
    <col min="15107" max="15107" width="1.5703125" style="68" customWidth="1"/>
    <col min="15108" max="15108" width="40.85546875" style="68" customWidth="1"/>
    <col min="15109" max="15360" width="9" style="68"/>
    <col min="15361" max="15361" width="4.140625" style="68" customWidth="1"/>
    <col min="15362" max="15362" width="46" style="68" customWidth="1"/>
    <col min="15363" max="15363" width="1.5703125" style="68" customWidth="1"/>
    <col min="15364" max="15364" width="40.85546875" style="68" customWidth="1"/>
    <col min="15365" max="15616" width="9" style="68"/>
    <col min="15617" max="15617" width="4.140625" style="68" customWidth="1"/>
    <col min="15618" max="15618" width="46" style="68" customWidth="1"/>
    <col min="15619" max="15619" width="1.5703125" style="68" customWidth="1"/>
    <col min="15620" max="15620" width="40.85546875" style="68" customWidth="1"/>
    <col min="15621" max="15872" width="9" style="68"/>
    <col min="15873" max="15873" width="4.140625" style="68" customWidth="1"/>
    <col min="15874" max="15874" width="46" style="68" customWidth="1"/>
    <col min="15875" max="15875" width="1.5703125" style="68" customWidth="1"/>
    <col min="15876" max="15876" width="40.85546875" style="68" customWidth="1"/>
    <col min="15877" max="16128" width="9" style="68"/>
    <col min="16129" max="16129" width="4.140625" style="68" customWidth="1"/>
    <col min="16130" max="16130" width="46" style="68" customWidth="1"/>
    <col min="16131" max="16131" width="1.5703125" style="68" customWidth="1"/>
    <col min="16132" max="16132" width="40.85546875" style="68" customWidth="1"/>
    <col min="16133" max="16384" width="9" style="68"/>
  </cols>
  <sheetData>
    <row r="1" spans="1:4" ht="41.25" customHeight="1">
      <c r="A1" s="372" t="s">
        <v>177</v>
      </c>
      <c r="B1" s="372"/>
      <c r="C1" s="372"/>
      <c r="D1" s="372"/>
    </row>
    <row r="2" spans="1:4" ht="135" customHeight="1">
      <c r="A2" s="69">
        <v>1</v>
      </c>
      <c r="B2" s="70" t="s">
        <v>178</v>
      </c>
      <c r="C2" s="69" t="s">
        <v>176</v>
      </c>
      <c r="D2" s="70" t="s">
        <v>338</v>
      </c>
    </row>
    <row r="3" spans="1:4" ht="30.75" customHeight="1">
      <c r="A3" s="69">
        <v>2</v>
      </c>
      <c r="B3" s="70" t="s">
        <v>179</v>
      </c>
      <c r="C3" s="69" t="s">
        <v>176</v>
      </c>
      <c r="D3" s="368">
        <f>'Abstract '!G21</f>
        <v>978221.03000000014</v>
      </c>
    </row>
    <row r="4" spans="1:4" ht="30.75" customHeight="1">
      <c r="A4" s="69">
        <v>3</v>
      </c>
      <c r="B4" s="70" t="s">
        <v>180</v>
      </c>
      <c r="C4" s="69" t="s">
        <v>176</v>
      </c>
      <c r="D4" s="69" t="s">
        <v>316</v>
      </c>
    </row>
    <row r="5" spans="1:4" ht="42.75" customHeight="1">
      <c r="A5" s="69">
        <v>4</v>
      </c>
      <c r="B5" s="70" t="s">
        <v>181</v>
      </c>
      <c r="C5" s="69" t="s">
        <v>176</v>
      </c>
      <c r="D5" s="69" t="s">
        <v>317</v>
      </c>
    </row>
    <row r="6" spans="1:4" ht="124.5" customHeight="1">
      <c r="A6" s="69">
        <v>5</v>
      </c>
      <c r="B6" s="70" t="s">
        <v>182</v>
      </c>
      <c r="C6" s="69" t="s">
        <v>176</v>
      </c>
      <c r="D6" s="70" t="s">
        <v>318</v>
      </c>
    </row>
    <row r="7" spans="1:4" ht="30.75" customHeight="1">
      <c r="A7" s="69">
        <v>6</v>
      </c>
      <c r="B7" s="70" t="s">
        <v>183</v>
      </c>
      <c r="C7" s="69" t="s">
        <v>176</v>
      </c>
      <c r="D7" s="69" t="s">
        <v>184</v>
      </c>
    </row>
    <row r="8" spans="1:4" ht="27" customHeight="1">
      <c r="A8" s="69">
        <v>7</v>
      </c>
      <c r="B8" s="70" t="s">
        <v>185</v>
      </c>
      <c r="C8" s="69" t="s">
        <v>176</v>
      </c>
      <c r="D8" s="69" t="s">
        <v>186</v>
      </c>
    </row>
    <row r="9" spans="1:4" ht="30.75" customHeight="1">
      <c r="A9" s="69">
        <v>8</v>
      </c>
      <c r="B9" s="70" t="s">
        <v>187</v>
      </c>
      <c r="C9" s="69" t="s">
        <v>176</v>
      </c>
      <c r="D9" s="69" t="s">
        <v>319</v>
      </c>
    </row>
    <row r="10" spans="1:4" ht="25.5" customHeight="1">
      <c r="A10" s="69">
        <v>9</v>
      </c>
      <c r="B10" s="70" t="s">
        <v>188</v>
      </c>
      <c r="C10" s="69" t="s">
        <v>176</v>
      </c>
      <c r="D10" s="69" t="s">
        <v>91</v>
      </c>
    </row>
    <row r="11" spans="1:4" ht="24" customHeight="1">
      <c r="A11" s="69">
        <v>10</v>
      </c>
      <c r="B11" s="70" t="s">
        <v>189</v>
      </c>
      <c r="C11" s="69" t="s">
        <v>176</v>
      </c>
      <c r="D11" s="69" t="s">
        <v>91</v>
      </c>
    </row>
    <row r="12" spans="1:4" ht="31.5">
      <c r="A12" s="69">
        <v>11</v>
      </c>
      <c r="B12" s="70" t="s">
        <v>190</v>
      </c>
      <c r="C12" s="69" t="s">
        <v>176</v>
      </c>
      <c r="D12" s="69" t="s">
        <v>91</v>
      </c>
    </row>
    <row r="13" spans="1:4" ht="30.75" customHeight="1">
      <c r="A13" s="69">
        <v>12</v>
      </c>
      <c r="B13" s="70" t="s">
        <v>191</v>
      </c>
      <c r="C13" s="69" t="s">
        <v>176</v>
      </c>
      <c r="D13" s="69" t="s">
        <v>91</v>
      </c>
    </row>
    <row r="14" spans="1:4" ht="30.75" customHeight="1">
      <c r="A14" s="69">
        <v>13</v>
      </c>
      <c r="B14" s="70" t="s">
        <v>192</v>
      </c>
      <c r="C14" s="69" t="s">
        <v>176</v>
      </c>
      <c r="D14" s="69" t="s">
        <v>91</v>
      </c>
    </row>
    <row r="15" spans="1:4" ht="47.25">
      <c r="A15" s="69">
        <v>14</v>
      </c>
      <c r="B15" s="70" t="s">
        <v>193</v>
      </c>
      <c r="C15" s="69" t="s">
        <v>176</v>
      </c>
      <c r="D15" s="69" t="s">
        <v>194</v>
      </c>
    </row>
    <row r="16" spans="1:4" ht="30.75" customHeight="1">
      <c r="A16" s="69">
        <v>15</v>
      </c>
      <c r="B16" s="70" t="s">
        <v>195</v>
      </c>
      <c r="C16" s="69" t="s">
        <v>176</v>
      </c>
      <c r="D16" s="69" t="s">
        <v>196</v>
      </c>
    </row>
    <row r="17" spans="1:4" ht="30.75" customHeight="1">
      <c r="A17" s="69">
        <v>16</v>
      </c>
      <c r="B17" s="70" t="s">
        <v>197</v>
      </c>
      <c r="C17" s="69" t="s">
        <v>176</v>
      </c>
      <c r="D17" s="69" t="s">
        <v>91</v>
      </c>
    </row>
    <row r="18" spans="1:4" ht="30.75" customHeight="1">
      <c r="A18" s="69">
        <v>17</v>
      </c>
      <c r="B18" s="70" t="s">
        <v>198</v>
      </c>
      <c r="C18" s="69" t="s">
        <v>176</v>
      </c>
      <c r="D18" s="69" t="s">
        <v>196</v>
      </c>
    </row>
    <row r="19" spans="1:4" ht="47.25">
      <c r="A19" s="69">
        <v>18</v>
      </c>
      <c r="B19" s="70" t="s">
        <v>199</v>
      </c>
      <c r="C19" s="69" t="s">
        <v>176</v>
      </c>
      <c r="D19" s="71" t="s">
        <v>200</v>
      </c>
    </row>
    <row r="20" spans="1:4" ht="30.75" customHeight="1">
      <c r="A20" s="69">
        <v>19</v>
      </c>
      <c r="B20" s="70" t="s">
        <v>201</v>
      </c>
      <c r="C20" s="69" t="s">
        <v>176</v>
      </c>
      <c r="D20" s="69" t="s">
        <v>320</v>
      </c>
    </row>
    <row r="21" spans="1:4" ht="30.75" customHeight="1">
      <c r="A21" s="69">
        <v>20</v>
      </c>
      <c r="B21" s="70" t="s">
        <v>202</v>
      </c>
      <c r="C21" s="69" t="s">
        <v>176</v>
      </c>
      <c r="D21" s="69" t="s">
        <v>194</v>
      </c>
    </row>
    <row r="22" spans="1:4" ht="31.5">
      <c r="A22" s="69">
        <v>21</v>
      </c>
      <c r="B22" s="70" t="s">
        <v>203</v>
      </c>
      <c r="C22" s="69" t="s">
        <v>176</v>
      </c>
      <c r="D22" s="69" t="s">
        <v>321</v>
      </c>
    </row>
    <row r="23" spans="1:4" ht="31.5">
      <c r="A23" s="69">
        <v>22</v>
      </c>
      <c r="B23" s="70" t="s">
        <v>204</v>
      </c>
      <c r="C23" s="69" t="s">
        <v>176</v>
      </c>
      <c r="D23" s="69" t="s">
        <v>194</v>
      </c>
    </row>
    <row r="24" spans="1:4" ht="14.25" customHeight="1">
      <c r="D24" s="73"/>
    </row>
    <row r="25" spans="1:4" ht="14.25" customHeight="1">
      <c r="D25" s="73" t="s">
        <v>205</v>
      </c>
    </row>
    <row r="26" spans="1:4" ht="14.25" customHeight="1">
      <c r="D26" s="73"/>
    </row>
    <row r="27" spans="1:4" ht="14.25" customHeight="1">
      <c r="A27" s="373" t="s">
        <v>206</v>
      </c>
      <c r="B27" s="373"/>
      <c r="C27" s="373"/>
      <c r="D27" s="373"/>
    </row>
    <row r="28" spans="1:4" ht="14.25" customHeight="1">
      <c r="A28" s="74"/>
      <c r="B28" s="75"/>
      <c r="C28" s="74"/>
      <c r="D28" s="74"/>
    </row>
    <row r="29" spans="1:4" ht="21.75" customHeight="1">
      <c r="A29" s="69">
        <v>23</v>
      </c>
      <c r="B29" s="70" t="s">
        <v>207</v>
      </c>
      <c r="C29" s="69" t="s">
        <v>176</v>
      </c>
      <c r="D29" s="69" t="s">
        <v>321</v>
      </c>
    </row>
    <row r="30" spans="1:4" ht="33.75" customHeight="1">
      <c r="A30" s="69">
        <v>24</v>
      </c>
      <c r="B30" s="70" t="s">
        <v>208</v>
      </c>
      <c r="C30" s="69" t="s">
        <v>176</v>
      </c>
      <c r="D30" s="69" t="s">
        <v>209</v>
      </c>
    </row>
    <row r="31" spans="1:4" ht="31.5">
      <c r="A31" s="76">
        <v>25</v>
      </c>
      <c r="B31" s="77" t="s">
        <v>210</v>
      </c>
      <c r="C31" s="76" t="s">
        <v>176</v>
      </c>
      <c r="D31" s="69" t="s">
        <v>209</v>
      </c>
    </row>
    <row r="32" spans="1:4" ht="21.75" customHeight="1">
      <c r="A32" s="69">
        <v>26</v>
      </c>
      <c r="B32" s="70" t="s">
        <v>211</v>
      </c>
      <c r="C32" s="69" t="s">
        <v>176</v>
      </c>
      <c r="D32" s="69" t="s">
        <v>209</v>
      </c>
    </row>
    <row r="33" spans="1:4" ht="31.5" customHeight="1">
      <c r="A33" s="69">
        <v>27</v>
      </c>
      <c r="B33" s="70" t="s">
        <v>212</v>
      </c>
      <c r="C33" s="69" t="s">
        <v>176</v>
      </c>
      <c r="D33" s="69" t="s">
        <v>209</v>
      </c>
    </row>
    <row r="34" spans="1:4" ht="30" customHeight="1">
      <c r="A34" s="69">
        <v>28</v>
      </c>
      <c r="B34" s="70" t="s">
        <v>213</v>
      </c>
      <c r="C34" s="69" t="s">
        <v>176</v>
      </c>
      <c r="D34" s="69" t="s">
        <v>91</v>
      </c>
    </row>
    <row r="35" spans="1:4" ht="34.5" customHeight="1">
      <c r="A35" s="69">
        <v>29</v>
      </c>
      <c r="B35" s="70" t="s">
        <v>214</v>
      </c>
      <c r="C35" s="69" t="s">
        <v>176</v>
      </c>
      <c r="D35" s="69" t="s">
        <v>194</v>
      </c>
    </row>
    <row r="36" spans="1:4" ht="47.25">
      <c r="A36" s="69">
        <v>30</v>
      </c>
      <c r="B36" s="70" t="s">
        <v>215</v>
      </c>
      <c r="C36" s="69" t="s">
        <v>176</v>
      </c>
      <c r="D36" s="69" t="s">
        <v>91</v>
      </c>
    </row>
    <row r="37" spans="1:4" ht="39.75" customHeight="1">
      <c r="A37" s="69">
        <v>31</v>
      </c>
      <c r="B37" s="70" t="s">
        <v>216</v>
      </c>
      <c r="C37" s="69" t="s">
        <v>176</v>
      </c>
      <c r="D37" s="69" t="s">
        <v>91</v>
      </c>
    </row>
    <row r="38" spans="1:4" ht="47.25" customHeight="1">
      <c r="A38" s="69">
        <v>32</v>
      </c>
      <c r="B38" s="70" t="s">
        <v>217</v>
      </c>
      <c r="C38" s="69" t="s">
        <v>176</v>
      </c>
      <c r="D38" s="71" t="s">
        <v>200</v>
      </c>
    </row>
    <row r="39" spans="1:4" ht="84" customHeight="1">
      <c r="A39" s="69">
        <v>33</v>
      </c>
      <c r="B39" s="70" t="s">
        <v>218</v>
      </c>
      <c r="C39" s="69" t="s">
        <v>176</v>
      </c>
      <c r="D39" s="69" t="s">
        <v>194</v>
      </c>
    </row>
    <row r="40" spans="1:4" ht="27" customHeight="1">
      <c r="A40" s="69" t="s">
        <v>219</v>
      </c>
      <c r="B40" s="70" t="s">
        <v>220</v>
      </c>
      <c r="C40" s="69" t="s">
        <v>176</v>
      </c>
      <c r="D40" s="69" t="s">
        <v>194</v>
      </c>
    </row>
    <row r="41" spans="1:4" ht="27" customHeight="1">
      <c r="A41" s="69" t="s">
        <v>221</v>
      </c>
      <c r="B41" s="70" t="s">
        <v>222</v>
      </c>
      <c r="C41" s="69" t="s">
        <v>176</v>
      </c>
      <c r="D41" s="71" t="s">
        <v>200</v>
      </c>
    </row>
    <row r="42" spans="1:4" ht="27" customHeight="1">
      <c r="A42" s="69" t="s">
        <v>223</v>
      </c>
      <c r="B42" s="70" t="s">
        <v>224</v>
      </c>
      <c r="C42" s="69" t="s">
        <v>176</v>
      </c>
      <c r="D42" s="71" t="s">
        <v>200</v>
      </c>
    </row>
    <row r="43" spans="1:4" ht="32.25" customHeight="1">
      <c r="A43" s="69">
        <v>34</v>
      </c>
      <c r="B43" s="70" t="s">
        <v>322</v>
      </c>
      <c r="C43" s="69" t="s">
        <v>176</v>
      </c>
      <c r="D43" s="69" t="s">
        <v>194</v>
      </c>
    </row>
    <row r="44" spans="1:4" ht="32.25" customHeight="1">
      <c r="A44" s="69">
        <v>35</v>
      </c>
      <c r="B44" s="70" t="s">
        <v>225</v>
      </c>
      <c r="C44" s="69" t="s">
        <v>176</v>
      </c>
      <c r="D44" s="69" t="s">
        <v>194</v>
      </c>
    </row>
    <row r="45" spans="1:4" ht="36" customHeight="1">
      <c r="A45" s="69">
        <v>36</v>
      </c>
      <c r="B45" s="70" t="s">
        <v>323</v>
      </c>
      <c r="C45" s="69" t="s">
        <v>176</v>
      </c>
      <c r="D45" s="69" t="s">
        <v>194</v>
      </c>
    </row>
    <row r="46" spans="1:4" ht="24" customHeight="1">
      <c r="A46" s="69">
        <v>37</v>
      </c>
      <c r="B46" s="70" t="s">
        <v>226</v>
      </c>
      <c r="C46" s="69" t="s">
        <v>176</v>
      </c>
      <c r="D46" s="69" t="s">
        <v>194</v>
      </c>
    </row>
    <row r="47" spans="1:4" ht="27.75" customHeight="1">
      <c r="A47" s="69">
        <v>38</v>
      </c>
      <c r="B47" s="70" t="s">
        <v>227</v>
      </c>
      <c r="C47" s="69" t="s">
        <v>176</v>
      </c>
      <c r="D47" s="69" t="s">
        <v>324</v>
      </c>
    </row>
    <row r="48" spans="1:4" ht="25.5" customHeight="1">
      <c r="A48" s="69">
        <v>39</v>
      </c>
      <c r="B48" s="70" t="s">
        <v>228</v>
      </c>
      <c r="C48" s="69" t="s">
        <v>176</v>
      </c>
      <c r="D48" s="69" t="s">
        <v>194</v>
      </c>
    </row>
    <row r="49" spans="1:4" ht="17.25" customHeight="1">
      <c r="A49" s="68" t="s">
        <v>229</v>
      </c>
      <c r="B49" s="374"/>
      <c r="C49" s="374"/>
      <c r="D49" s="374"/>
    </row>
    <row r="50" spans="1:4">
      <c r="C50" s="78"/>
      <c r="D50" s="78"/>
    </row>
  </sheetData>
  <mergeCells count="3">
    <mergeCell ref="A1:D1"/>
    <mergeCell ref="A27:D27"/>
    <mergeCell ref="B49:D49"/>
  </mergeCells>
  <printOptions horizontalCentered="1"/>
  <pageMargins left="0.98425196850393704" right="0" top="0.74803149606299202" bottom="0.74803149606299202" header="0.31496062992126" footer="0.31496062992126"/>
  <pageSetup paperSize="9" scale="78" orientation="portrait" verticalDpi="300" r:id="rId1"/>
  <rowBreaks count="2" manualBreakCount="2">
    <brk id="24" max="16383" man="1"/>
    <brk id="49"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30"/>
  <sheetViews>
    <sheetView view="pageBreakPreview" topLeftCell="A4" zoomScale="70" zoomScaleNormal="70" zoomScaleSheetLayoutView="70" workbookViewId="0">
      <selection activeCell="J10" sqref="J10"/>
    </sheetView>
  </sheetViews>
  <sheetFormatPr defaultRowHeight="12.75"/>
  <cols>
    <col min="1" max="1" width="5.7109375" style="30" customWidth="1"/>
    <col min="2" max="2" width="8.42578125" style="30" customWidth="1"/>
    <col min="3" max="15" width="11.140625" style="30" customWidth="1"/>
    <col min="16" max="17" width="8.42578125" style="30" customWidth="1"/>
    <col min="18" max="256" width="9.140625" style="30"/>
    <col min="257" max="257" width="5.7109375" style="30" customWidth="1"/>
    <col min="258" max="258" width="3.85546875" style="30" customWidth="1"/>
    <col min="259" max="259" width="6" style="30" customWidth="1"/>
    <col min="260" max="260" width="5.28515625" style="30" customWidth="1"/>
    <col min="261" max="261" width="5.7109375" style="30" customWidth="1"/>
    <col min="262" max="262" width="5.42578125" style="30" customWidth="1"/>
    <col min="263" max="263" width="6.28515625" style="30" customWidth="1"/>
    <col min="264" max="265" width="6.140625" style="30" customWidth="1"/>
    <col min="266" max="266" width="6.85546875" style="30" customWidth="1"/>
    <col min="267" max="267" width="6.5703125" style="30" customWidth="1"/>
    <col min="268" max="269" width="6.42578125" style="30" customWidth="1"/>
    <col min="270" max="270" width="4.140625" style="30" customWidth="1"/>
    <col min="271" max="271" width="4.28515625" style="30" customWidth="1"/>
    <col min="272" max="272" width="4.42578125" style="30" customWidth="1"/>
    <col min="273" max="273" width="5.28515625" style="30" customWidth="1"/>
    <col min="274" max="512" width="9.140625" style="30"/>
    <col min="513" max="513" width="5.7109375" style="30" customWidth="1"/>
    <col min="514" max="514" width="3.85546875" style="30" customWidth="1"/>
    <col min="515" max="515" width="6" style="30" customWidth="1"/>
    <col min="516" max="516" width="5.28515625" style="30" customWidth="1"/>
    <col min="517" max="517" width="5.7109375" style="30" customWidth="1"/>
    <col min="518" max="518" width="5.42578125" style="30" customWidth="1"/>
    <col min="519" max="519" width="6.28515625" style="30" customWidth="1"/>
    <col min="520" max="521" width="6.140625" style="30" customWidth="1"/>
    <col min="522" max="522" width="6.85546875" style="30" customWidth="1"/>
    <col min="523" max="523" width="6.5703125" style="30" customWidth="1"/>
    <col min="524" max="525" width="6.42578125" style="30" customWidth="1"/>
    <col min="526" max="526" width="4.140625" style="30" customWidth="1"/>
    <col min="527" max="527" width="4.28515625" style="30" customWidth="1"/>
    <col min="528" max="528" width="4.42578125" style="30" customWidth="1"/>
    <col min="529" max="529" width="5.28515625" style="30" customWidth="1"/>
    <col min="530" max="768" width="9.140625" style="30"/>
    <col min="769" max="769" width="5.7109375" style="30" customWidth="1"/>
    <col min="770" max="770" width="3.85546875" style="30" customWidth="1"/>
    <col min="771" max="771" width="6" style="30" customWidth="1"/>
    <col min="772" max="772" width="5.28515625" style="30" customWidth="1"/>
    <col min="773" max="773" width="5.7109375" style="30" customWidth="1"/>
    <col min="774" max="774" width="5.42578125" style="30" customWidth="1"/>
    <col min="775" max="775" width="6.28515625" style="30" customWidth="1"/>
    <col min="776" max="777" width="6.140625" style="30" customWidth="1"/>
    <col min="778" max="778" width="6.85546875" style="30" customWidth="1"/>
    <col min="779" max="779" width="6.5703125" style="30" customWidth="1"/>
    <col min="780" max="781" width="6.42578125" style="30" customWidth="1"/>
    <col min="782" max="782" width="4.140625" style="30" customWidth="1"/>
    <col min="783" max="783" width="4.28515625" style="30" customWidth="1"/>
    <col min="784" max="784" width="4.42578125" style="30" customWidth="1"/>
    <col min="785" max="785" width="5.28515625" style="30" customWidth="1"/>
    <col min="786" max="1024" width="9.140625" style="30"/>
    <col min="1025" max="1025" width="5.7109375" style="30" customWidth="1"/>
    <col min="1026" max="1026" width="3.85546875" style="30" customWidth="1"/>
    <col min="1027" max="1027" width="6" style="30" customWidth="1"/>
    <col min="1028" max="1028" width="5.28515625" style="30" customWidth="1"/>
    <col min="1029" max="1029" width="5.7109375" style="30" customWidth="1"/>
    <col min="1030" max="1030" width="5.42578125" style="30" customWidth="1"/>
    <col min="1031" max="1031" width="6.28515625" style="30" customWidth="1"/>
    <col min="1032" max="1033" width="6.140625" style="30" customWidth="1"/>
    <col min="1034" max="1034" width="6.85546875" style="30" customWidth="1"/>
    <col min="1035" max="1035" width="6.5703125" style="30" customWidth="1"/>
    <col min="1036" max="1037" width="6.42578125" style="30" customWidth="1"/>
    <col min="1038" max="1038" width="4.140625" style="30" customWidth="1"/>
    <col min="1039" max="1039" width="4.28515625" style="30" customWidth="1"/>
    <col min="1040" max="1040" width="4.42578125" style="30" customWidth="1"/>
    <col min="1041" max="1041" width="5.28515625" style="30" customWidth="1"/>
    <col min="1042" max="1280" width="9.140625" style="30"/>
    <col min="1281" max="1281" width="5.7109375" style="30" customWidth="1"/>
    <col min="1282" max="1282" width="3.85546875" style="30" customWidth="1"/>
    <col min="1283" max="1283" width="6" style="30" customWidth="1"/>
    <col min="1284" max="1284" width="5.28515625" style="30" customWidth="1"/>
    <col min="1285" max="1285" width="5.7109375" style="30" customWidth="1"/>
    <col min="1286" max="1286" width="5.42578125" style="30" customWidth="1"/>
    <col min="1287" max="1287" width="6.28515625" style="30" customWidth="1"/>
    <col min="1288" max="1289" width="6.140625" style="30" customWidth="1"/>
    <col min="1290" max="1290" width="6.85546875" style="30" customWidth="1"/>
    <col min="1291" max="1291" width="6.5703125" style="30" customWidth="1"/>
    <col min="1292" max="1293" width="6.42578125" style="30" customWidth="1"/>
    <col min="1294" max="1294" width="4.140625" style="30" customWidth="1"/>
    <col min="1295" max="1295" width="4.28515625" style="30" customWidth="1"/>
    <col min="1296" max="1296" width="4.42578125" style="30" customWidth="1"/>
    <col min="1297" max="1297" width="5.28515625" style="30" customWidth="1"/>
    <col min="1298" max="1536" width="9.140625" style="30"/>
    <col min="1537" max="1537" width="5.7109375" style="30" customWidth="1"/>
    <col min="1538" max="1538" width="3.85546875" style="30" customWidth="1"/>
    <col min="1539" max="1539" width="6" style="30" customWidth="1"/>
    <col min="1540" max="1540" width="5.28515625" style="30" customWidth="1"/>
    <col min="1541" max="1541" width="5.7109375" style="30" customWidth="1"/>
    <col min="1542" max="1542" width="5.42578125" style="30" customWidth="1"/>
    <col min="1543" max="1543" width="6.28515625" style="30" customWidth="1"/>
    <col min="1544" max="1545" width="6.140625" style="30" customWidth="1"/>
    <col min="1546" max="1546" width="6.85546875" style="30" customWidth="1"/>
    <col min="1547" max="1547" width="6.5703125" style="30" customWidth="1"/>
    <col min="1548" max="1549" width="6.42578125" style="30" customWidth="1"/>
    <col min="1550" max="1550" width="4.140625" style="30" customWidth="1"/>
    <col min="1551" max="1551" width="4.28515625" style="30" customWidth="1"/>
    <col min="1552" max="1552" width="4.42578125" style="30" customWidth="1"/>
    <col min="1553" max="1553" width="5.28515625" style="30" customWidth="1"/>
    <col min="1554" max="1792" width="9.140625" style="30"/>
    <col min="1793" max="1793" width="5.7109375" style="30" customWidth="1"/>
    <col min="1794" max="1794" width="3.85546875" style="30" customWidth="1"/>
    <col min="1795" max="1795" width="6" style="30" customWidth="1"/>
    <col min="1796" max="1796" width="5.28515625" style="30" customWidth="1"/>
    <col min="1797" max="1797" width="5.7109375" style="30" customWidth="1"/>
    <col min="1798" max="1798" width="5.42578125" style="30" customWidth="1"/>
    <col min="1799" max="1799" width="6.28515625" style="30" customWidth="1"/>
    <col min="1800" max="1801" width="6.140625" style="30" customWidth="1"/>
    <col min="1802" max="1802" width="6.85546875" style="30" customWidth="1"/>
    <col min="1803" max="1803" width="6.5703125" style="30" customWidth="1"/>
    <col min="1804" max="1805" width="6.42578125" style="30" customWidth="1"/>
    <col min="1806" max="1806" width="4.140625" style="30" customWidth="1"/>
    <col min="1807" max="1807" width="4.28515625" style="30" customWidth="1"/>
    <col min="1808" max="1808" width="4.42578125" style="30" customWidth="1"/>
    <col min="1809" max="1809" width="5.28515625" style="30" customWidth="1"/>
    <col min="1810" max="2048" width="9.140625" style="30"/>
    <col min="2049" max="2049" width="5.7109375" style="30" customWidth="1"/>
    <col min="2050" max="2050" width="3.85546875" style="30" customWidth="1"/>
    <col min="2051" max="2051" width="6" style="30" customWidth="1"/>
    <col min="2052" max="2052" width="5.28515625" style="30" customWidth="1"/>
    <col min="2053" max="2053" width="5.7109375" style="30" customWidth="1"/>
    <col min="2054" max="2054" width="5.42578125" style="30" customWidth="1"/>
    <col min="2055" max="2055" width="6.28515625" style="30" customWidth="1"/>
    <col min="2056" max="2057" width="6.140625" style="30" customWidth="1"/>
    <col min="2058" max="2058" width="6.85546875" style="30" customWidth="1"/>
    <col min="2059" max="2059" width="6.5703125" style="30" customWidth="1"/>
    <col min="2060" max="2061" width="6.42578125" style="30" customWidth="1"/>
    <col min="2062" max="2062" width="4.140625" style="30" customWidth="1"/>
    <col min="2063" max="2063" width="4.28515625" style="30" customWidth="1"/>
    <col min="2064" max="2064" width="4.42578125" style="30" customWidth="1"/>
    <col min="2065" max="2065" width="5.28515625" style="30" customWidth="1"/>
    <col min="2066" max="2304" width="9.140625" style="30"/>
    <col min="2305" max="2305" width="5.7109375" style="30" customWidth="1"/>
    <col min="2306" max="2306" width="3.85546875" style="30" customWidth="1"/>
    <col min="2307" max="2307" width="6" style="30" customWidth="1"/>
    <col min="2308" max="2308" width="5.28515625" style="30" customWidth="1"/>
    <col min="2309" max="2309" width="5.7109375" style="30" customWidth="1"/>
    <col min="2310" max="2310" width="5.42578125" style="30" customWidth="1"/>
    <col min="2311" max="2311" width="6.28515625" style="30" customWidth="1"/>
    <col min="2312" max="2313" width="6.140625" style="30" customWidth="1"/>
    <col min="2314" max="2314" width="6.85546875" style="30" customWidth="1"/>
    <col min="2315" max="2315" width="6.5703125" style="30" customWidth="1"/>
    <col min="2316" max="2317" width="6.42578125" style="30" customWidth="1"/>
    <col min="2318" max="2318" width="4.140625" style="30" customWidth="1"/>
    <col min="2319" max="2319" width="4.28515625" style="30" customWidth="1"/>
    <col min="2320" max="2320" width="4.42578125" style="30" customWidth="1"/>
    <col min="2321" max="2321" width="5.28515625" style="30" customWidth="1"/>
    <col min="2322" max="2560" width="9.140625" style="30"/>
    <col min="2561" max="2561" width="5.7109375" style="30" customWidth="1"/>
    <col min="2562" max="2562" width="3.85546875" style="30" customWidth="1"/>
    <col min="2563" max="2563" width="6" style="30" customWidth="1"/>
    <col min="2564" max="2564" width="5.28515625" style="30" customWidth="1"/>
    <col min="2565" max="2565" width="5.7109375" style="30" customWidth="1"/>
    <col min="2566" max="2566" width="5.42578125" style="30" customWidth="1"/>
    <col min="2567" max="2567" width="6.28515625" style="30" customWidth="1"/>
    <col min="2568" max="2569" width="6.140625" style="30" customWidth="1"/>
    <col min="2570" max="2570" width="6.85546875" style="30" customWidth="1"/>
    <col min="2571" max="2571" width="6.5703125" style="30" customWidth="1"/>
    <col min="2572" max="2573" width="6.42578125" style="30" customWidth="1"/>
    <col min="2574" max="2574" width="4.140625" style="30" customWidth="1"/>
    <col min="2575" max="2575" width="4.28515625" style="30" customWidth="1"/>
    <col min="2576" max="2576" width="4.42578125" style="30" customWidth="1"/>
    <col min="2577" max="2577" width="5.28515625" style="30" customWidth="1"/>
    <col min="2578" max="2816" width="9.140625" style="30"/>
    <col min="2817" max="2817" width="5.7109375" style="30" customWidth="1"/>
    <col min="2818" max="2818" width="3.85546875" style="30" customWidth="1"/>
    <col min="2819" max="2819" width="6" style="30" customWidth="1"/>
    <col min="2820" max="2820" width="5.28515625" style="30" customWidth="1"/>
    <col min="2821" max="2821" width="5.7109375" style="30" customWidth="1"/>
    <col min="2822" max="2822" width="5.42578125" style="30" customWidth="1"/>
    <col min="2823" max="2823" width="6.28515625" style="30" customWidth="1"/>
    <col min="2824" max="2825" width="6.140625" style="30" customWidth="1"/>
    <col min="2826" max="2826" width="6.85546875" style="30" customWidth="1"/>
    <col min="2827" max="2827" width="6.5703125" style="30" customWidth="1"/>
    <col min="2828" max="2829" width="6.42578125" style="30" customWidth="1"/>
    <col min="2830" max="2830" width="4.140625" style="30" customWidth="1"/>
    <col min="2831" max="2831" width="4.28515625" style="30" customWidth="1"/>
    <col min="2832" max="2832" width="4.42578125" style="30" customWidth="1"/>
    <col min="2833" max="2833" width="5.28515625" style="30" customWidth="1"/>
    <col min="2834" max="3072" width="9.140625" style="30"/>
    <col min="3073" max="3073" width="5.7109375" style="30" customWidth="1"/>
    <col min="3074" max="3074" width="3.85546875" style="30" customWidth="1"/>
    <col min="3075" max="3075" width="6" style="30" customWidth="1"/>
    <col min="3076" max="3076" width="5.28515625" style="30" customWidth="1"/>
    <col min="3077" max="3077" width="5.7109375" style="30" customWidth="1"/>
    <col min="3078" max="3078" width="5.42578125" style="30" customWidth="1"/>
    <col min="3079" max="3079" width="6.28515625" style="30" customWidth="1"/>
    <col min="3080" max="3081" width="6.140625" style="30" customWidth="1"/>
    <col min="3082" max="3082" width="6.85546875" style="30" customWidth="1"/>
    <col min="3083" max="3083" width="6.5703125" style="30" customWidth="1"/>
    <col min="3084" max="3085" width="6.42578125" style="30" customWidth="1"/>
    <col min="3086" max="3086" width="4.140625" style="30" customWidth="1"/>
    <col min="3087" max="3087" width="4.28515625" style="30" customWidth="1"/>
    <col min="3088" max="3088" width="4.42578125" style="30" customWidth="1"/>
    <col min="3089" max="3089" width="5.28515625" style="30" customWidth="1"/>
    <col min="3090" max="3328" width="9.140625" style="30"/>
    <col min="3329" max="3329" width="5.7109375" style="30" customWidth="1"/>
    <col min="3330" max="3330" width="3.85546875" style="30" customWidth="1"/>
    <col min="3331" max="3331" width="6" style="30" customWidth="1"/>
    <col min="3332" max="3332" width="5.28515625" style="30" customWidth="1"/>
    <col min="3333" max="3333" width="5.7109375" style="30" customWidth="1"/>
    <col min="3334" max="3334" width="5.42578125" style="30" customWidth="1"/>
    <col min="3335" max="3335" width="6.28515625" style="30" customWidth="1"/>
    <col min="3336" max="3337" width="6.140625" style="30" customWidth="1"/>
    <col min="3338" max="3338" width="6.85546875" style="30" customWidth="1"/>
    <col min="3339" max="3339" width="6.5703125" style="30" customWidth="1"/>
    <col min="3340" max="3341" width="6.42578125" style="30" customWidth="1"/>
    <col min="3342" max="3342" width="4.140625" style="30" customWidth="1"/>
    <col min="3343" max="3343" width="4.28515625" style="30" customWidth="1"/>
    <col min="3344" max="3344" width="4.42578125" style="30" customWidth="1"/>
    <col min="3345" max="3345" width="5.28515625" style="30" customWidth="1"/>
    <col min="3346" max="3584" width="9.140625" style="30"/>
    <col min="3585" max="3585" width="5.7109375" style="30" customWidth="1"/>
    <col min="3586" max="3586" width="3.85546875" style="30" customWidth="1"/>
    <col min="3587" max="3587" width="6" style="30" customWidth="1"/>
    <col min="3588" max="3588" width="5.28515625" style="30" customWidth="1"/>
    <col min="3589" max="3589" width="5.7109375" style="30" customWidth="1"/>
    <col min="3590" max="3590" width="5.42578125" style="30" customWidth="1"/>
    <col min="3591" max="3591" width="6.28515625" style="30" customWidth="1"/>
    <col min="3592" max="3593" width="6.140625" style="30" customWidth="1"/>
    <col min="3594" max="3594" width="6.85546875" style="30" customWidth="1"/>
    <col min="3595" max="3595" width="6.5703125" style="30" customWidth="1"/>
    <col min="3596" max="3597" width="6.42578125" style="30" customWidth="1"/>
    <col min="3598" max="3598" width="4.140625" style="30" customWidth="1"/>
    <col min="3599" max="3599" width="4.28515625" style="30" customWidth="1"/>
    <col min="3600" max="3600" width="4.42578125" style="30" customWidth="1"/>
    <col min="3601" max="3601" width="5.28515625" style="30" customWidth="1"/>
    <col min="3602" max="3840" width="9.140625" style="30"/>
    <col min="3841" max="3841" width="5.7109375" style="30" customWidth="1"/>
    <col min="3842" max="3842" width="3.85546875" style="30" customWidth="1"/>
    <col min="3843" max="3843" width="6" style="30" customWidth="1"/>
    <col min="3844" max="3844" width="5.28515625" style="30" customWidth="1"/>
    <col min="3845" max="3845" width="5.7109375" style="30" customWidth="1"/>
    <col min="3846" max="3846" width="5.42578125" style="30" customWidth="1"/>
    <col min="3847" max="3847" width="6.28515625" style="30" customWidth="1"/>
    <col min="3848" max="3849" width="6.140625" style="30" customWidth="1"/>
    <col min="3850" max="3850" width="6.85546875" style="30" customWidth="1"/>
    <col min="3851" max="3851" width="6.5703125" style="30" customWidth="1"/>
    <col min="3852" max="3853" width="6.42578125" style="30" customWidth="1"/>
    <col min="3854" max="3854" width="4.140625" style="30" customWidth="1"/>
    <col min="3855" max="3855" width="4.28515625" style="30" customWidth="1"/>
    <col min="3856" max="3856" width="4.42578125" style="30" customWidth="1"/>
    <col min="3857" max="3857" width="5.28515625" style="30" customWidth="1"/>
    <col min="3858" max="4096" width="9.140625" style="30"/>
    <col min="4097" max="4097" width="5.7109375" style="30" customWidth="1"/>
    <col min="4098" max="4098" width="3.85546875" style="30" customWidth="1"/>
    <col min="4099" max="4099" width="6" style="30" customWidth="1"/>
    <col min="4100" max="4100" width="5.28515625" style="30" customWidth="1"/>
    <col min="4101" max="4101" width="5.7109375" style="30" customWidth="1"/>
    <col min="4102" max="4102" width="5.42578125" style="30" customWidth="1"/>
    <col min="4103" max="4103" width="6.28515625" style="30" customWidth="1"/>
    <col min="4104" max="4105" width="6.140625" style="30" customWidth="1"/>
    <col min="4106" max="4106" width="6.85546875" style="30" customWidth="1"/>
    <col min="4107" max="4107" width="6.5703125" style="30" customWidth="1"/>
    <col min="4108" max="4109" width="6.42578125" style="30" customWidth="1"/>
    <col min="4110" max="4110" width="4.140625" style="30" customWidth="1"/>
    <col min="4111" max="4111" width="4.28515625" style="30" customWidth="1"/>
    <col min="4112" max="4112" width="4.42578125" style="30" customWidth="1"/>
    <col min="4113" max="4113" width="5.28515625" style="30" customWidth="1"/>
    <col min="4114" max="4352" width="9.140625" style="30"/>
    <col min="4353" max="4353" width="5.7109375" style="30" customWidth="1"/>
    <col min="4354" max="4354" width="3.85546875" style="30" customWidth="1"/>
    <col min="4355" max="4355" width="6" style="30" customWidth="1"/>
    <col min="4356" max="4356" width="5.28515625" style="30" customWidth="1"/>
    <col min="4357" max="4357" width="5.7109375" style="30" customWidth="1"/>
    <col min="4358" max="4358" width="5.42578125" style="30" customWidth="1"/>
    <col min="4359" max="4359" width="6.28515625" style="30" customWidth="1"/>
    <col min="4360" max="4361" width="6.140625" style="30" customWidth="1"/>
    <col min="4362" max="4362" width="6.85546875" style="30" customWidth="1"/>
    <col min="4363" max="4363" width="6.5703125" style="30" customWidth="1"/>
    <col min="4364" max="4365" width="6.42578125" style="30" customWidth="1"/>
    <col min="4366" max="4366" width="4.140625" style="30" customWidth="1"/>
    <col min="4367" max="4367" width="4.28515625" style="30" customWidth="1"/>
    <col min="4368" max="4368" width="4.42578125" style="30" customWidth="1"/>
    <col min="4369" max="4369" width="5.28515625" style="30" customWidth="1"/>
    <col min="4370" max="4608" width="9.140625" style="30"/>
    <col min="4609" max="4609" width="5.7109375" style="30" customWidth="1"/>
    <col min="4610" max="4610" width="3.85546875" style="30" customWidth="1"/>
    <col min="4611" max="4611" width="6" style="30" customWidth="1"/>
    <col min="4612" max="4612" width="5.28515625" style="30" customWidth="1"/>
    <col min="4613" max="4613" width="5.7109375" style="30" customWidth="1"/>
    <col min="4614" max="4614" width="5.42578125" style="30" customWidth="1"/>
    <col min="4615" max="4615" width="6.28515625" style="30" customWidth="1"/>
    <col min="4616" max="4617" width="6.140625" style="30" customWidth="1"/>
    <col min="4618" max="4618" width="6.85546875" style="30" customWidth="1"/>
    <col min="4619" max="4619" width="6.5703125" style="30" customWidth="1"/>
    <col min="4620" max="4621" width="6.42578125" style="30" customWidth="1"/>
    <col min="4622" max="4622" width="4.140625" style="30" customWidth="1"/>
    <col min="4623" max="4623" width="4.28515625" style="30" customWidth="1"/>
    <col min="4624" max="4624" width="4.42578125" style="30" customWidth="1"/>
    <col min="4625" max="4625" width="5.28515625" style="30" customWidth="1"/>
    <col min="4626" max="4864" width="9.140625" style="30"/>
    <col min="4865" max="4865" width="5.7109375" style="30" customWidth="1"/>
    <col min="4866" max="4866" width="3.85546875" style="30" customWidth="1"/>
    <col min="4867" max="4867" width="6" style="30" customWidth="1"/>
    <col min="4868" max="4868" width="5.28515625" style="30" customWidth="1"/>
    <col min="4869" max="4869" width="5.7109375" style="30" customWidth="1"/>
    <col min="4870" max="4870" width="5.42578125" style="30" customWidth="1"/>
    <col min="4871" max="4871" width="6.28515625" style="30" customWidth="1"/>
    <col min="4872" max="4873" width="6.140625" style="30" customWidth="1"/>
    <col min="4874" max="4874" width="6.85546875" style="30" customWidth="1"/>
    <col min="4875" max="4875" width="6.5703125" style="30" customWidth="1"/>
    <col min="4876" max="4877" width="6.42578125" style="30" customWidth="1"/>
    <col min="4878" max="4878" width="4.140625" style="30" customWidth="1"/>
    <col min="4879" max="4879" width="4.28515625" style="30" customWidth="1"/>
    <col min="4880" max="4880" width="4.42578125" style="30" customWidth="1"/>
    <col min="4881" max="4881" width="5.28515625" style="30" customWidth="1"/>
    <col min="4882" max="5120" width="9.140625" style="30"/>
    <col min="5121" max="5121" width="5.7109375" style="30" customWidth="1"/>
    <col min="5122" max="5122" width="3.85546875" style="30" customWidth="1"/>
    <col min="5123" max="5123" width="6" style="30" customWidth="1"/>
    <col min="5124" max="5124" width="5.28515625" style="30" customWidth="1"/>
    <col min="5125" max="5125" width="5.7109375" style="30" customWidth="1"/>
    <col min="5126" max="5126" width="5.42578125" style="30" customWidth="1"/>
    <col min="5127" max="5127" width="6.28515625" style="30" customWidth="1"/>
    <col min="5128" max="5129" width="6.140625" style="30" customWidth="1"/>
    <col min="5130" max="5130" width="6.85546875" style="30" customWidth="1"/>
    <col min="5131" max="5131" width="6.5703125" style="30" customWidth="1"/>
    <col min="5132" max="5133" width="6.42578125" style="30" customWidth="1"/>
    <col min="5134" max="5134" width="4.140625" style="30" customWidth="1"/>
    <col min="5135" max="5135" width="4.28515625" style="30" customWidth="1"/>
    <col min="5136" max="5136" width="4.42578125" style="30" customWidth="1"/>
    <col min="5137" max="5137" width="5.28515625" style="30" customWidth="1"/>
    <col min="5138" max="5376" width="9.140625" style="30"/>
    <col min="5377" max="5377" width="5.7109375" style="30" customWidth="1"/>
    <col min="5378" max="5378" width="3.85546875" style="30" customWidth="1"/>
    <col min="5379" max="5379" width="6" style="30" customWidth="1"/>
    <col min="5380" max="5380" width="5.28515625" style="30" customWidth="1"/>
    <col min="5381" max="5381" width="5.7109375" style="30" customWidth="1"/>
    <col min="5382" max="5382" width="5.42578125" style="30" customWidth="1"/>
    <col min="5383" max="5383" width="6.28515625" style="30" customWidth="1"/>
    <col min="5384" max="5385" width="6.140625" style="30" customWidth="1"/>
    <col min="5386" max="5386" width="6.85546875" style="30" customWidth="1"/>
    <col min="5387" max="5387" width="6.5703125" style="30" customWidth="1"/>
    <col min="5388" max="5389" width="6.42578125" style="30" customWidth="1"/>
    <col min="5390" max="5390" width="4.140625" style="30" customWidth="1"/>
    <col min="5391" max="5391" width="4.28515625" style="30" customWidth="1"/>
    <col min="5392" max="5392" width="4.42578125" style="30" customWidth="1"/>
    <col min="5393" max="5393" width="5.28515625" style="30" customWidth="1"/>
    <col min="5394" max="5632" width="9.140625" style="30"/>
    <col min="5633" max="5633" width="5.7109375" style="30" customWidth="1"/>
    <col min="5634" max="5634" width="3.85546875" style="30" customWidth="1"/>
    <col min="5635" max="5635" width="6" style="30" customWidth="1"/>
    <col min="5636" max="5636" width="5.28515625" style="30" customWidth="1"/>
    <col min="5637" max="5637" width="5.7109375" style="30" customWidth="1"/>
    <col min="5638" max="5638" width="5.42578125" style="30" customWidth="1"/>
    <col min="5639" max="5639" width="6.28515625" style="30" customWidth="1"/>
    <col min="5640" max="5641" width="6.140625" style="30" customWidth="1"/>
    <col min="5642" max="5642" width="6.85546875" style="30" customWidth="1"/>
    <col min="5643" max="5643" width="6.5703125" style="30" customWidth="1"/>
    <col min="5644" max="5645" width="6.42578125" style="30" customWidth="1"/>
    <col min="5646" max="5646" width="4.140625" style="30" customWidth="1"/>
    <col min="5647" max="5647" width="4.28515625" style="30" customWidth="1"/>
    <col min="5648" max="5648" width="4.42578125" style="30" customWidth="1"/>
    <col min="5649" max="5649" width="5.28515625" style="30" customWidth="1"/>
    <col min="5650" max="5888" width="9.140625" style="30"/>
    <col min="5889" max="5889" width="5.7109375" style="30" customWidth="1"/>
    <col min="5890" max="5890" width="3.85546875" style="30" customWidth="1"/>
    <col min="5891" max="5891" width="6" style="30" customWidth="1"/>
    <col min="5892" max="5892" width="5.28515625" style="30" customWidth="1"/>
    <col min="5893" max="5893" width="5.7109375" style="30" customWidth="1"/>
    <col min="5894" max="5894" width="5.42578125" style="30" customWidth="1"/>
    <col min="5895" max="5895" width="6.28515625" style="30" customWidth="1"/>
    <col min="5896" max="5897" width="6.140625" style="30" customWidth="1"/>
    <col min="5898" max="5898" width="6.85546875" style="30" customWidth="1"/>
    <col min="5899" max="5899" width="6.5703125" style="30" customWidth="1"/>
    <col min="5900" max="5901" width="6.42578125" style="30" customWidth="1"/>
    <col min="5902" max="5902" width="4.140625" style="30" customWidth="1"/>
    <col min="5903" max="5903" width="4.28515625" style="30" customWidth="1"/>
    <col min="5904" max="5904" width="4.42578125" style="30" customWidth="1"/>
    <col min="5905" max="5905" width="5.28515625" style="30" customWidth="1"/>
    <col min="5906" max="6144" width="9.140625" style="30"/>
    <col min="6145" max="6145" width="5.7109375" style="30" customWidth="1"/>
    <col min="6146" max="6146" width="3.85546875" style="30" customWidth="1"/>
    <col min="6147" max="6147" width="6" style="30" customWidth="1"/>
    <col min="6148" max="6148" width="5.28515625" style="30" customWidth="1"/>
    <col min="6149" max="6149" width="5.7109375" style="30" customWidth="1"/>
    <col min="6150" max="6150" width="5.42578125" style="30" customWidth="1"/>
    <col min="6151" max="6151" width="6.28515625" style="30" customWidth="1"/>
    <col min="6152" max="6153" width="6.140625" style="30" customWidth="1"/>
    <col min="6154" max="6154" width="6.85546875" style="30" customWidth="1"/>
    <col min="6155" max="6155" width="6.5703125" style="30" customWidth="1"/>
    <col min="6156" max="6157" width="6.42578125" style="30" customWidth="1"/>
    <col min="6158" max="6158" width="4.140625" style="30" customWidth="1"/>
    <col min="6159" max="6159" width="4.28515625" style="30" customWidth="1"/>
    <col min="6160" max="6160" width="4.42578125" style="30" customWidth="1"/>
    <col min="6161" max="6161" width="5.28515625" style="30" customWidth="1"/>
    <col min="6162" max="6400" width="9.140625" style="30"/>
    <col min="6401" max="6401" width="5.7109375" style="30" customWidth="1"/>
    <col min="6402" max="6402" width="3.85546875" style="30" customWidth="1"/>
    <col min="6403" max="6403" width="6" style="30" customWidth="1"/>
    <col min="6404" max="6404" width="5.28515625" style="30" customWidth="1"/>
    <col min="6405" max="6405" width="5.7109375" style="30" customWidth="1"/>
    <col min="6406" max="6406" width="5.42578125" style="30" customWidth="1"/>
    <col min="6407" max="6407" width="6.28515625" style="30" customWidth="1"/>
    <col min="6408" max="6409" width="6.140625" style="30" customWidth="1"/>
    <col min="6410" max="6410" width="6.85546875" style="30" customWidth="1"/>
    <col min="6411" max="6411" width="6.5703125" style="30" customWidth="1"/>
    <col min="6412" max="6413" width="6.42578125" style="30" customWidth="1"/>
    <col min="6414" max="6414" width="4.140625" style="30" customWidth="1"/>
    <col min="6415" max="6415" width="4.28515625" style="30" customWidth="1"/>
    <col min="6416" max="6416" width="4.42578125" style="30" customWidth="1"/>
    <col min="6417" max="6417" width="5.28515625" style="30" customWidth="1"/>
    <col min="6418" max="6656" width="9.140625" style="30"/>
    <col min="6657" max="6657" width="5.7109375" style="30" customWidth="1"/>
    <col min="6658" max="6658" width="3.85546875" style="30" customWidth="1"/>
    <col min="6659" max="6659" width="6" style="30" customWidth="1"/>
    <col min="6660" max="6660" width="5.28515625" style="30" customWidth="1"/>
    <col min="6661" max="6661" width="5.7109375" style="30" customWidth="1"/>
    <col min="6662" max="6662" width="5.42578125" style="30" customWidth="1"/>
    <col min="6663" max="6663" width="6.28515625" style="30" customWidth="1"/>
    <col min="6664" max="6665" width="6.140625" style="30" customWidth="1"/>
    <col min="6666" max="6666" width="6.85546875" style="30" customWidth="1"/>
    <col min="6667" max="6667" width="6.5703125" style="30" customWidth="1"/>
    <col min="6668" max="6669" width="6.42578125" style="30" customWidth="1"/>
    <col min="6670" max="6670" width="4.140625" style="30" customWidth="1"/>
    <col min="6671" max="6671" width="4.28515625" style="30" customWidth="1"/>
    <col min="6672" max="6672" width="4.42578125" style="30" customWidth="1"/>
    <col min="6673" max="6673" width="5.28515625" style="30" customWidth="1"/>
    <col min="6674" max="6912" width="9.140625" style="30"/>
    <col min="6913" max="6913" width="5.7109375" style="30" customWidth="1"/>
    <col min="6914" max="6914" width="3.85546875" style="30" customWidth="1"/>
    <col min="6915" max="6915" width="6" style="30" customWidth="1"/>
    <col min="6916" max="6916" width="5.28515625" style="30" customWidth="1"/>
    <col min="6917" max="6917" width="5.7109375" style="30" customWidth="1"/>
    <col min="6918" max="6918" width="5.42578125" style="30" customWidth="1"/>
    <col min="6919" max="6919" width="6.28515625" style="30" customWidth="1"/>
    <col min="6920" max="6921" width="6.140625" style="30" customWidth="1"/>
    <col min="6922" max="6922" width="6.85546875" style="30" customWidth="1"/>
    <col min="6923" max="6923" width="6.5703125" style="30" customWidth="1"/>
    <col min="6924" max="6925" width="6.42578125" style="30" customWidth="1"/>
    <col min="6926" max="6926" width="4.140625" style="30" customWidth="1"/>
    <col min="6927" max="6927" width="4.28515625" style="30" customWidth="1"/>
    <col min="6928" max="6928" width="4.42578125" style="30" customWidth="1"/>
    <col min="6929" max="6929" width="5.28515625" style="30" customWidth="1"/>
    <col min="6930" max="7168" width="9.140625" style="30"/>
    <col min="7169" max="7169" width="5.7109375" style="30" customWidth="1"/>
    <col min="7170" max="7170" width="3.85546875" style="30" customWidth="1"/>
    <col min="7171" max="7171" width="6" style="30" customWidth="1"/>
    <col min="7172" max="7172" width="5.28515625" style="30" customWidth="1"/>
    <col min="7173" max="7173" width="5.7109375" style="30" customWidth="1"/>
    <col min="7174" max="7174" width="5.42578125" style="30" customWidth="1"/>
    <col min="7175" max="7175" width="6.28515625" style="30" customWidth="1"/>
    <col min="7176" max="7177" width="6.140625" style="30" customWidth="1"/>
    <col min="7178" max="7178" width="6.85546875" style="30" customWidth="1"/>
    <col min="7179" max="7179" width="6.5703125" style="30" customWidth="1"/>
    <col min="7180" max="7181" width="6.42578125" style="30" customWidth="1"/>
    <col min="7182" max="7182" width="4.140625" style="30" customWidth="1"/>
    <col min="7183" max="7183" width="4.28515625" style="30" customWidth="1"/>
    <col min="7184" max="7184" width="4.42578125" style="30" customWidth="1"/>
    <col min="7185" max="7185" width="5.28515625" style="30" customWidth="1"/>
    <col min="7186" max="7424" width="9.140625" style="30"/>
    <col min="7425" max="7425" width="5.7109375" style="30" customWidth="1"/>
    <col min="7426" max="7426" width="3.85546875" style="30" customWidth="1"/>
    <col min="7427" max="7427" width="6" style="30" customWidth="1"/>
    <col min="7428" max="7428" width="5.28515625" style="30" customWidth="1"/>
    <col min="7429" max="7429" width="5.7109375" style="30" customWidth="1"/>
    <col min="7430" max="7430" width="5.42578125" style="30" customWidth="1"/>
    <col min="7431" max="7431" width="6.28515625" style="30" customWidth="1"/>
    <col min="7432" max="7433" width="6.140625" style="30" customWidth="1"/>
    <col min="7434" max="7434" width="6.85546875" style="30" customWidth="1"/>
    <col min="7435" max="7435" width="6.5703125" style="30" customWidth="1"/>
    <col min="7436" max="7437" width="6.42578125" style="30" customWidth="1"/>
    <col min="7438" max="7438" width="4.140625" style="30" customWidth="1"/>
    <col min="7439" max="7439" width="4.28515625" style="30" customWidth="1"/>
    <col min="7440" max="7440" width="4.42578125" style="30" customWidth="1"/>
    <col min="7441" max="7441" width="5.28515625" style="30" customWidth="1"/>
    <col min="7442" max="7680" width="9.140625" style="30"/>
    <col min="7681" max="7681" width="5.7109375" style="30" customWidth="1"/>
    <col min="7682" max="7682" width="3.85546875" style="30" customWidth="1"/>
    <col min="7683" max="7683" width="6" style="30" customWidth="1"/>
    <col min="7684" max="7684" width="5.28515625" style="30" customWidth="1"/>
    <col min="7685" max="7685" width="5.7109375" style="30" customWidth="1"/>
    <col min="7686" max="7686" width="5.42578125" style="30" customWidth="1"/>
    <col min="7687" max="7687" width="6.28515625" style="30" customWidth="1"/>
    <col min="7688" max="7689" width="6.140625" style="30" customWidth="1"/>
    <col min="7690" max="7690" width="6.85546875" style="30" customWidth="1"/>
    <col min="7691" max="7691" width="6.5703125" style="30" customWidth="1"/>
    <col min="7692" max="7693" width="6.42578125" style="30" customWidth="1"/>
    <col min="7694" max="7694" width="4.140625" style="30" customWidth="1"/>
    <col min="7695" max="7695" width="4.28515625" style="30" customWidth="1"/>
    <col min="7696" max="7696" width="4.42578125" style="30" customWidth="1"/>
    <col min="7697" max="7697" width="5.28515625" style="30" customWidth="1"/>
    <col min="7698" max="7936" width="9.140625" style="30"/>
    <col min="7937" max="7937" width="5.7109375" style="30" customWidth="1"/>
    <col min="7938" max="7938" width="3.85546875" style="30" customWidth="1"/>
    <col min="7939" max="7939" width="6" style="30" customWidth="1"/>
    <col min="7940" max="7940" width="5.28515625" style="30" customWidth="1"/>
    <col min="7941" max="7941" width="5.7109375" style="30" customWidth="1"/>
    <col min="7942" max="7942" width="5.42578125" style="30" customWidth="1"/>
    <col min="7943" max="7943" width="6.28515625" style="30" customWidth="1"/>
    <col min="7944" max="7945" width="6.140625" style="30" customWidth="1"/>
    <col min="7946" max="7946" width="6.85546875" style="30" customWidth="1"/>
    <col min="7947" max="7947" width="6.5703125" style="30" customWidth="1"/>
    <col min="7948" max="7949" width="6.42578125" style="30" customWidth="1"/>
    <col min="7950" max="7950" width="4.140625" style="30" customWidth="1"/>
    <col min="7951" max="7951" width="4.28515625" style="30" customWidth="1"/>
    <col min="7952" max="7952" width="4.42578125" style="30" customWidth="1"/>
    <col min="7953" max="7953" width="5.28515625" style="30" customWidth="1"/>
    <col min="7954" max="8192" width="9.140625" style="30"/>
    <col min="8193" max="8193" width="5.7109375" style="30" customWidth="1"/>
    <col min="8194" max="8194" width="3.85546875" style="30" customWidth="1"/>
    <col min="8195" max="8195" width="6" style="30" customWidth="1"/>
    <col min="8196" max="8196" width="5.28515625" style="30" customWidth="1"/>
    <col min="8197" max="8197" width="5.7109375" style="30" customWidth="1"/>
    <col min="8198" max="8198" width="5.42578125" style="30" customWidth="1"/>
    <col min="8199" max="8199" width="6.28515625" style="30" customWidth="1"/>
    <col min="8200" max="8201" width="6.140625" style="30" customWidth="1"/>
    <col min="8202" max="8202" width="6.85546875" style="30" customWidth="1"/>
    <col min="8203" max="8203" width="6.5703125" style="30" customWidth="1"/>
    <col min="8204" max="8205" width="6.42578125" style="30" customWidth="1"/>
    <col min="8206" max="8206" width="4.140625" style="30" customWidth="1"/>
    <col min="8207" max="8207" width="4.28515625" style="30" customWidth="1"/>
    <col min="8208" max="8208" width="4.42578125" style="30" customWidth="1"/>
    <col min="8209" max="8209" width="5.28515625" style="30" customWidth="1"/>
    <col min="8210" max="8448" width="9.140625" style="30"/>
    <col min="8449" max="8449" width="5.7109375" style="30" customWidth="1"/>
    <col min="8450" max="8450" width="3.85546875" style="30" customWidth="1"/>
    <col min="8451" max="8451" width="6" style="30" customWidth="1"/>
    <col min="8452" max="8452" width="5.28515625" style="30" customWidth="1"/>
    <col min="8453" max="8453" width="5.7109375" style="30" customWidth="1"/>
    <col min="8454" max="8454" width="5.42578125" style="30" customWidth="1"/>
    <col min="8455" max="8455" width="6.28515625" style="30" customWidth="1"/>
    <col min="8456" max="8457" width="6.140625" style="30" customWidth="1"/>
    <col min="8458" max="8458" width="6.85546875" style="30" customWidth="1"/>
    <col min="8459" max="8459" width="6.5703125" style="30" customWidth="1"/>
    <col min="8460" max="8461" width="6.42578125" style="30" customWidth="1"/>
    <col min="8462" max="8462" width="4.140625" style="30" customWidth="1"/>
    <col min="8463" max="8463" width="4.28515625" style="30" customWidth="1"/>
    <col min="8464" max="8464" width="4.42578125" style="30" customWidth="1"/>
    <col min="8465" max="8465" width="5.28515625" style="30" customWidth="1"/>
    <col min="8466" max="8704" width="9.140625" style="30"/>
    <col min="8705" max="8705" width="5.7109375" style="30" customWidth="1"/>
    <col min="8706" max="8706" width="3.85546875" style="30" customWidth="1"/>
    <col min="8707" max="8707" width="6" style="30" customWidth="1"/>
    <col min="8708" max="8708" width="5.28515625" style="30" customWidth="1"/>
    <col min="8709" max="8709" width="5.7109375" style="30" customWidth="1"/>
    <col min="8710" max="8710" width="5.42578125" style="30" customWidth="1"/>
    <col min="8711" max="8711" width="6.28515625" style="30" customWidth="1"/>
    <col min="8712" max="8713" width="6.140625" style="30" customWidth="1"/>
    <col min="8714" max="8714" width="6.85546875" style="30" customWidth="1"/>
    <col min="8715" max="8715" width="6.5703125" style="30" customWidth="1"/>
    <col min="8716" max="8717" width="6.42578125" style="30" customWidth="1"/>
    <col min="8718" max="8718" width="4.140625" style="30" customWidth="1"/>
    <col min="8719" max="8719" width="4.28515625" style="30" customWidth="1"/>
    <col min="8720" max="8720" width="4.42578125" style="30" customWidth="1"/>
    <col min="8721" max="8721" width="5.28515625" style="30" customWidth="1"/>
    <col min="8722" max="8960" width="9.140625" style="30"/>
    <col min="8961" max="8961" width="5.7109375" style="30" customWidth="1"/>
    <col min="8962" max="8962" width="3.85546875" style="30" customWidth="1"/>
    <col min="8963" max="8963" width="6" style="30" customWidth="1"/>
    <col min="8964" max="8964" width="5.28515625" style="30" customWidth="1"/>
    <col min="8965" max="8965" width="5.7109375" style="30" customWidth="1"/>
    <col min="8966" max="8966" width="5.42578125" style="30" customWidth="1"/>
    <col min="8967" max="8967" width="6.28515625" style="30" customWidth="1"/>
    <col min="8968" max="8969" width="6.140625" style="30" customWidth="1"/>
    <col min="8970" max="8970" width="6.85546875" style="30" customWidth="1"/>
    <col min="8971" max="8971" width="6.5703125" style="30" customWidth="1"/>
    <col min="8972" max="8973" width="6.42578125" style="30" customWidth="1"/>
    <col min="8974" max="8974" width="4.140625" style="30" customWidth="1"/>
    <col min="8975" max="8975" width="4.28515625" style="30" customWidth="1"/>
    <col min="8976" max="8976" width="4.42578125" style="30" customWidth="1"/>
    <col min="8977" max="8977" width="5.28515625" style="30" customWidth="1"/>
    <col min="8978" max="9216" width="9.140625" style="30"/>
    <col min="9217" max="9217" width="5.7109375" style="30" customWidth="1"/>
    <col min="9218" max="9218" width="3.85546875" style="30" customWidth="1"/>
    <col min="9219" max="9219" width="6" style="30" customWidth="1"/>
    <col min="9220" max="9220" width="5.28515625" style="30" customWidth="1"/>
    <col min="9221" max="9221" width="5.7109375" style="30" customWidth="1"/>
    <col min="9222" max="9222" width="5.42578125" style="30" customWidth="1"/>
    <col min="9223" max="9223" width="6.28515625" style="30" customWidth="1"/>
    <col min="9224" max="9225" width="6.140625" style="30" customWidth="1"/>
    <col min="9226" max="9226" width="6.85546875" style="30" customWidth="1"/>
    <col min="9227" max="9227" width="6.5703125" style="30" customWidth="1"/>
    <col min="9228" max="9229" width="6.42578125" style="30" customWidth="1"/>
    <col min="9230" max="9230" width="4.140625" style="30" customWidth="1"/>
    <col min="9231" max="9231" width="4.28515625" style="30" customWidth="1"/>
    <col min="9232" max="9232" width="4.42578125" style="30" customWidth="1"/>
    <col min="9233" max="9233" width="5.28515625" style="30" customWidth="1"/>
    <col min="9234" max="9472" width="9.140625" style="30"/>
    <col min="9473" max="9473" width="5.7109375" style="30" customWidth="1"/>
    <col min="9474" max="9474" width="3.85546875" style="30" customWidth="1"/>
    <col min="9475" max="9475" width="6" style="30" customWidth="1"/>
    <col min="9476" max="9476" width="5.28515625" style="30" customWidth="1"/>
    <col min="9477" max="9477" width="5.7109375" style="30" customWidth="1"/>
    <col min="9478" max="9478" width="5.42578125" style="30" customWidth="1"/>
    <col min="9479" max="9479" width="6.28515625" style="30" customWidth="1"/>
    <col min="9480" max="9481" width="6.140625" style="30" customWidth="1"/>
    <col min="9482" max="9482" width="6.85546875" style="30" customWidth="1"/>
    <col min="9483" max="9483" width="6.5703125" style="30" customWidth="1"/>
    <col min="9484" max="9485" width="6.42578125" style="30" customWidth="1"/>
    <col min="9486" max="9486" width="4.140625" style="30" customWidth="1"/>
    <col min="9487" max="9487" width="4.28515625" style="30" customWidth="1"/>
    <col min="9488" max="9488" width="4.42578125" style="30" customWidth="1"/>
    <col min="9489" max="9489" width="5.28515625" style="30" customWidth="1"/>
    <col min="9490" max="9728" width="9.140625" style="30"/>
    <col min="9729" max="9729" width="5.7109375" style="30" customWidth="1"/>
    <col min="9730" max="9730" width="3.85546875" style="30" customWidth="1"/>
    <col min="9731" max="9731" width="6" style="30" customWidth="1"/>
    <col min="9732" max="9732" width="5.28515625" style="30" customWidth="1"/>
    <col min="9733" max="9733" width="5.7109375" style="30" customWidth="1"/>
    <col min="9734" max="9734" width="5.42578125" style="30" customWidth="1"/>
    <col min="9735" max="9735" width="6.28515625" style="30" customWidth="1"/>
    <col min="9736" max="9737" width="6.140625" style="30" customWidth="1"/>
    <col min="9738" max="9738" width="6.85546875" style="30" customWidth="1"/>
    <col min="9739" max="9739" width="6.5703125" style="30" customWidth="1"/>
    <col min="9740" max="9741" width="6.42578125" style="30" customWidth="1"/>
    <col min="9742" max="9742" width="4.140625" style="30" customWidth="1"/>
    <col min="9743" max="9743" width="4.28515625" style="30" customWidth="1"/>
    <col min="9744" max="9744" width="4.42578125" style="30" customWidth="1"/>
    <col min="9745" max="9745" width="5.28515625" style="30" customWidth="1"/>
    <col min="9746" max="9984" width="9.140625" style="30"/>
    <col min="9985" max="9985" width="5.7109375" style="30" customWidth="1"/>
    <col min="9986" max="9986" width="3.85546875" style="30" customWidth="1"/>
    <col min="9987" max="9987" width="6" style="30" customWidth="1"/>
    <col min="9988" max="9988" width="5.28515625" style="30" customWidth="1"/>
    <col min="9989" max="9989" width="5.7109375" style="30" customWidth="1"/>
    <col min="9990" max="9990" width="5.42578125" style="30" customWidth="1"/>
    <col min="9991" max="9991" width="6.28515625" style="30" customWidth="1"/>
    <col min="9992" max="9993" width="6.140625" style="30" customWidth="1"/>
    <col min="9994" max="9994" width="6.85546875" style="30" customWidth="1"/>
    <col min="9995" max="9995" width="6.5703125" style="30" customWidth="1"/>
    <col min="9996" max="9997" width="6.42578125" style="30" customWidth="1"/>
    <col min="9998" max="9998" width="4.140625" style="30" customWidth="1"/>
    <col min="9999" max="9999" width="4.28515625" style="30" customWidth="1"/>
    <col min="10000" max="10000" width="4.42578125" style="30" customWidth="1"/>
    <col min="10001" max="10001" width="5.28515625" style="30" customWidth="1"/>
    <col min="10002" max="10240" width="9.140625" style="30"/>
    <col min="10241" max="10241" width="5.7109375" style="30" customWidth="1"/>
    <col min="10242" max="10242" width="3.85546875" style="30" customWidth="1"/>
    <col min="10243" max="10243" width="6" style="30" customWidth="1"/>
    <col min="10244" max="10244" width="5.28515625" style="30" customWidth="1"/>
    <col min="10245" max="10245" width="5.7109375" style="30" customWidth="1"/>
    <col min="10246" max="10246" width="5.42578125" style="30" customWidth="1"/>
    <col min="10247" max="10247" width="6.28515625" style="30" customWidth="1"/>
    <col min="10248" max="10249" width="6.140625" style="30" customWidth="1"/>
    <col min="10250" max="10250" width="6.85546875" style="30" customWidth="1"/>
    <col min="10251" max="10251" width="6.5703125" style="30" customWidth="1"/>
    <col min="10252" max="10253" width="6.42578125" style="30" customWidth="1"/>
    <col min="10254" max="10254" width="4.140625" style="30" customWidth="1"/>
    <col min="10255" max="10255" width="4.28515625" style="30" customWidth="1"/>
    <col min="10256" max="10256" width="4.42578125" style="30" customWidth="1"/>
    <col min="10257" max="10257" width="5.28515625" style="30" customWidth="1"/>
    <col min="10258" max="10496" width="9.140625" style="30"/>
    <col min="10497" max="10497" width="5.7109375" style="30" customWidth="1"/>
    <col min="10498" max="10498" width="3.85546875" style="30" customWidth="1"/>
    <col min="10499" max="10499" width="6" style="30" customWidth="1"/>
    <col min="10500" max="10500" width="5.28515625" style="30" customWidth="1"/>
    <col min="10501" max="10501" width="5.7109375" style="30" customWidth="1"/>
    <col min="10502" max="10502" width="5.42578125" style="30" customWidth="1"/>
    <col min="10503" max="10503" width="6.28515625" style="30" customWidth="1"/>
    <col min="10504" max="10505" width="6.140625" style="30" customWidth="1"/>
    <col min="10506" max="10506" width="6.85546875" style="30" customWidth="1"/>
    <col min="10507" max="10507" width="6.5703125" style="30" customWidth="1"/>
    <col min="10508" max="10509" width="6.42578125" style="30" customWidth="1"/>
    <col min="10510" max="10510" width="4.140625" style="30" customWidth="1"/>
    <col min="10511" max="10511" width="4.28515625" style="30" customWidth="1"/>
    <col min="10512" max="10512" width="4.42578125" style="30" customWidth="1"/>
    <col min="10513" max="10513" width="5.28515625" style="30" customWidth="1"/>
    <col min="10514" max="10752" width="9.140625" style="30"/>
    <col min="10753" max="10753" width="5.7109375" style="30" customWidth="1"/>
    <col min="10754" max="10754" width="3.85546875" style="30" customWidth="1"/>
    <col min="10755" max="10755" width="6" style="30" customWidth="1"/>
    <col min="10756" max="10756" width="5.28515625" style="30" customWidth="1"/>
    <col min="10757" max="10757" width="5.7109375" style="30" customWidth="1"/>
    <col min="10758" max="10758" width="5.42578125" style="30" customWidth="1"/>
    <col min="10759" max="10759" width="6.28515625" style="30" customWidth="1"/>
    <col min="10760" max="10761" width="6.140625" style="30" customWidth="1"/>
    <col min="10762" max="10762" width="6.85546875" style="30" customWidth="1"/>
    <col min="10763" max="10763" width="6.5703125" style="30" customWidth="1"/>
    <col min="10764" max="10765" width="6.42578125" style="30" customWidth="1"/>
    <col min="10766" max="10766" width="4.140625" style="30" customWidth="1"/>
    <col min="10767" max="10767" width="4.28515625" style="30" customWidth="1"/>
    <col min="10768" max="10768" width="4.42578125" style="30" customWidth="1"/>
    <col min="10769" max="10769" width="5.28515625" style="30" customWidth="1"/>
    <col min="10770" max="11008" width="9.140625" style="30"/>
    <col min="11009" max="11009" width="5.7109375" style="30" customWidth="1"/>
    <col min="11010" max="11010" width="3.85546875" style="30" customWidth="1"/>
    <col min="11011" max="11011" width="6" style="30" customWidth="1"/>
    <col min="11012" max="11012" width="5.28515625" style="30" customWidth="1"/>
    <col min="11013" max="11013" width="5.7109375" style="30" customWidth="1"/>
    <col min="11014" max="11014" width="5.42578125" style="30" customWidth="1"/>
    <col min="11015" max="11015" width="6.28515625" style="30" customWidth="1"/>
    <col min="11016" max="11017" width="6.140625" style="30" customWidth="1"/>
    <col min="11018" max="11018" width="6.85546875" style="30" customWidth="1"/>
    <col min="11019" max="11019" width="6.5703125" style="30" customWidth="1"/>
    <col min="11020" max="11021" width="6.42578125" style="30" customWidth="1"/>
    <col min="11022" max="11022" width="4.140625" style="30" customWidth="1"/>
    <col min="11023" max="11023" width="4.28515625" style="30" customWidth="1"/>
    <col min="11024" max="11024" width="4.42578125" style="30" customWidth="1"/>
    <col min="11025" max="11025" width="5.28515625" style="30" customWidth="1"/>
    <col min="11026" max="11264" width="9.140625" style="30"/>
    <col min="11265" max="11265" width="5.7109375" style="30" customWidth="1"/>
    <col min="11266" max="11266" width="3.85546875" style="30" customWidth="1"/>
    <col min="11267" max="11267" width="6" style="30" customWidth="1"/>
    <col min="11268" max="11268" width="5.28515625" style="30" customWidth="1"/>
    <col min="11269" max="11269" width="5.7109375" style="30" customWidth="1"/>
    <col min="11270" max="11270" width="5.42578125" style="30" customWidth="1"/>
    <col min="11271" max="11271" width="6.28515625" style="30" customWidth="1"/>
    <col min="11272" max="11273" width="6.140625" style="30" customWidth="1"/>
    <col min="11274" max="11274" width="6.85546875" style="30" customWidth="1"/>
    <col min="11275" max="11275" width="6.5703125" style="30" customWidth="1"/>
    <col min="11276" max="11277" width="6.42578125" style="30" customWidth="1"/>
    <col min="11278" max="11278" width="4.140625" style="30" customWidth="1"/>
    <col min="11279" max="11279" width="4.28515625" style="30" customWidth="1"/>
    <col min="11280" max="11280" width="4.42578125" style="30" customWidth="1"/>
    <col min="11281" max="11281" width="5.28515625" style="30" customWidth="1"/>
    <col min="11282" max="11520" width="9.140625" style="30"/>
    <col min="11521" max="11521" width="5.7109375" style="30" customWidth="1"/>
    <col min="11522" max="11522" width="3.85546875" style="30" customWidth="1"/>
    <col min="11523" max="11523" width="6" style="30" customWidth="1"/>
    <col min="11524" max="11524" width="5.28515625" style="30" customWidth="1"/>
    <col min="11525" max="11525" width="5.7109375" style="30" customWidth="1"/>
    <col min="11526" max="11526" width="5.42578125" style="30" customWidth="1"/>
    <col min="11527" max="11527" width="6.28515625" style="30" customWidth="1"/>
    <col min="11528" max="11529" width="6.140625" style="30" customWidth="1"/>
    <col min="11530" max="11530" width="6.85546875" style="30" customWidth="1"/>
    <col min="11531" max="11531" width="6.5703125" style="30" customWidth="1"/>
    <col min="11532" max="11533" width="6.42578125" style="30" customWidth="1"/>
    <col min="11534" max="11534" width="4.140625" style="30" customWidth="1"/>
    <col min="11535" max="11535" width="4.28515625" style="30" customWidth="1"/>
    <col min="11536" max="11536" width="4.42578125" style="30" customWidth="1"/>
    <col min="11537" max="11537" width="5.28515625" style="30" customWidth="1"/>
    <col min="11538" max="11776" width="9.140625" style="30"/>
    <col min="11777" max="11777" width="5.7109375" style="30" customWidth="1"/>
    <col min="11778" max="11778" width="3.85546875" style="30" customWidth="1"/>
    <col min="11779" max="11779" width="6" style="30" customWidth="1"/>
    <col min="11780" max="11780" width="5.28515625" style="30" customWidth="1"/>
    <col min="11781" max="11781" width="5.7109375" style="30" customWidth="1"/>
    <col min="11782" max="11782" width="5.42578125" style="30" customWidth="1"/>
    <col min="11783" max="11783" width="6.28515625" style="30" customWidth="1"/>
    <col min="11784" max="11785" width="6.140625" style="30" customWidth="1"/>
    <col min="11786" max="11786" width="6.85546875" style="30" customWidth="1"/>
    <col min="11787" max="11787" width="6.5703125" style="30" customWidth="1"/>
    <col min="11788" max="11789" width="6.42578125" style="30" customWidth="1"/>
    <col min="11790" max="11790" width="4.140625" style="30" customWidth="1"/>
    <col min="11791" max="11791" width="4.28515625" style="30" customWidth="1"/>
    <col min="11792" max="11792" width="4.42578125" style="30" customWidth="1"/>
    <col min="11793" max="11793" width="5.28515625" style="30" customWidth="1"/>
    <col min="11794" max="12032" width="9.140625" style="30"/>
    <col min="12033" max="12033" width="5.7109375" style="30" customWidth="1"/>
    <col min="12034" max="12034" width="3.85546875" style="30" customWidth="1"/>
    <col min="12035" max="12035" width="6" style="30" customWidth="1"/>
    <col min="12036" max="12036" width="5.28515625" style="30" customWidth="1"/>
    <col min="12037" max="12037" width="5.7109375" style="30" customWidth="1"/>
    <col min="12038" max="12038" width="5.42578125" style="30" customWidth="1"/>
    <col min="12039" max="12039" width="6.28515625" style="30" customWidth="1"/>
    <col min="12040" max="12041" width="6.140625" style="30" customWidth="1"/>
    <col min="12042" max="12042" width="6.85546875" style="30" customWidth="1"/>
    <col min="12043" max="12043" width="6.5703125" style="30" customWidth="1"/>
    <col min="12044" max="12045" width="6.42578125" style="30" customWidth="1"/>
    <col min="12046" max="12046" width="4.140625" style="30" customWidth="1"/>
    <col min="12047" max="12047" width="4.28515625" style="30" customWidth="1"/>
    <col min="12048" max="12048" width="4.42578125" style="30" customWidth="1"/>
    <col min="12049" max="12049" width="5.28515625" style="30" customWidth="1"/>
    <col min="12050" max="12288" width="9.140625" style="30"/>
    <col min="12289" max="12289" width="5.7109375" style="30" customWidth="1"/>
    <col min="12290" max="12290" width="3.85546875" style="30" customWidth="1"/>
    <col min="12291" max="12291" width="6" style="30" customWidth="1"/>
    <col min="12292" max="12292" width="5.28515625" style="30" customWidth="1"/>
    <col min="12293" max="12293" width="5.7109375" style="30" customWidth="1"/>
    <col min="12294" max="12294" width="5.42578125" style="30" customWidth="1"/>
    <col min="12295" max="12295" width="6.28515625" style="30" customWidth="1"/>
    <col min="12296" max="12297" width="6.140625" style="30" customWidth="1"/>
    <col min="12298" max="12298" width="6.85546875" style="30" customWidth="1"/>
    <col min="12299" max="12299" width="6.5703125" style="30" customWidth="1"/>
    <col min="12300" max="12301" width="6.42578125" style="30" customWidth="1"/>
    <col min="12302" max="12302" width="4.140625" style="30" customWidth="1"/>
    <col min="12303" max="12303" width="4.28515625" style="30" customWidth="1"/>
    <col min="12304" max="12304" width="4.42578125" style="30" customWidth="1"/>
    <col min="12305" max="12305" width="5.28515625" style="30" customWidth="1"/>
    <col min="12306" max="12544" width="9.140625" style="30"/>
    <col min="12545" max="12545" width="5.7109375" style="30" customWidth="1"/>
    <col min="12546" max="12546" width="3.85546875" style="30" customWidth="1"/>
    <col min="12547" max="12547" width="6" style="30" customWidth="1"/>
    <col min="12548" max="12548" width="5.28515625" style="30" customWidth="1"/>
    <col min="12549" max="12549" width="5.7109375" style="30" customWidth="1"/>
    <col min="12550" max="12550" width="5.42578125" style="30" customWidth="1"/>
    <col min="12551" max="12551" width="6.28515625" style="30" customWidth="1"/>
    <col min="12552" max="12553" width="6.140625" style="30" customWidth="1"/>
    <col min="12554" max="12554" width="6.85546875" style="30" customWidth="1"/>
    <col min="12555" max="12555" width="6.5703125" style="30" customWidth="1"/>
    <col min="12556" max="12557" width="6.42578125" style="30" customWidth="1"/>
    <col min="12558" max="12558" width="4.140625" style="30" customWidth="1"/>
    <col min="12559" max="12559" width="4.28515625" style="30" customWidth="1"/>
    <col min="12560" max="12560" width="4.42578125" style="30" customWidth="1"/>
    <col min="12561" max="12561" width="5.28515625" style="30" customWidth="1"/>
    <col min="12562" max="12800" width="9.140625" style="30"/>
    <col min="12801" max="12801" width="5.7109375" style="30" customWidth="1"/>
    <col min="12802" max="12802" width="3.85546875" style="30" customWidth="1"/>
    <col min="12803" max="12803" width="6" style="30" customWidth="1"/>
    <col min="12804" max="12804" width="5.28515625" style="30" customWidth="1"/>
    <col min="12805" max="12805" width="5.7109375" style="30" customWidth="1"/>
    <col min="12806" max="12806" width="5.42578125" style="30" customWidth="1"/>
    <col min="12807" max="12807" width="6.28515625" style="30" customWidth="1"/>
    <col min="12808" max="12809" width="6.140625" style="30" customWidth="1"/>
    <col min="12810" max="12810" width="6.85546875" style="30" customWidth="1"/>
    <col min="12811" max="12811" width="6.5703125" style="30" customWidth="1"/>
    <col min="12812" max="12813" width="6.42578125" style="30" customWidth="1"/>
    <col min="12814" max="12814" width="4.140625" style="30" customWidth="1"/>
    <col min="12815" max="12815" width="4.28515625" style="30" customWidth="1"/>
    <col min="12816" max="12816" width="4.42578125" style="30" customWidth="1"/>
    <col min="12817" max="12817" width="5.28515625" style="30" customWidth="1"/>
    <col min="12818" max="13056" width="9.140625" style="30"/>
    <col min="13057" max="13057" width="5.7109375" style="30" customWidth="1"/>
    <col min="13058" max="13058" width="3.85546875" style="30" customWidth="1"/>
    <col min="13059" max="13059" width="6" style="30" customWidth="1"/>
    <col min="13060" max="13060" width="5.28515625" style="30" customWidth="1"/>
    <col min="13061" max="13061" width="5.7109375" style="30" customWidth="1"/>
    <col min="13062" max="13062" width="5.42578125" style="30" customWidth="1"/>
    <col min="13063" max="13063" width="6.28515625" style="30" customWidth="1"/>
    <col min="13064" max="13065" width="6.140625" style="30" customWidth="1"/>
    <col min="13066" max="13066" width="6.85546875" style="30" customWidth="1"/>
    <col min="13067" max="13067" width="6.5703125" style="30" customWidth="1"/>
    <col min="13068" max="13069" width="6.42578125" style="30" customWidth="1"/>
    <col min="13070" max="13070" width="4.140625" style="30" customWidth="1"/>
    <col min="13071" max="13071" width="4.28515625" style="30" customWidth="1"/>
    <col min="13072" max="13072" width="4.42578125" style="30" customWidth="1"/>
    <col min="13073" max="13073" width="5.28515625" style="30" customWidth="1"/>
    <col min="13074" max="13312" width="9.140625" style="30"/>
    <col min="13313" max="13313" width="5.7109375" style="30" customWidth="1"/>
    <col min="13314" max="13314" width="3.85546875" style="30" customWidth="1"/>
    <col min="13315" max="13315" width="6" style="30" customWidth="1"/>
    <col min="13316" max="13316" width="5.28515625" style="30" customWidth="1"/>
    <col min="13317" max="13317" width="5.7109375" style="30" customWidth="1"/>
    <col min="13318" max="13318" width="5.42578125" style="30" customWidth="1"/>
    <col min="13319" max="13319" width="6.28515625" style="30" customWidth="1"/>
    <col min="13320" max="13321" width="6.140625" style="30" customWidth="1"/>
    <col min="13322" max="13322" width="6.85546875" style="30" customWidth="1"/>
    <col min="13323" max="13323" width="6.5703125" style="30" customWidth="1"/>
    <col min="13324" max="13325" width="6.42578125" style="30" customWidth="1"/>
    <col min="13326" max="13326" width="4.140625" style="30" customWidth="1"/>
    <col min="13327" max="13327" width="4.28515625" style="30" customWidth="1"/>
    <col min="13328" max="13328" width="4.42578125" style="30" customWidth="1"/>
    <col min="13329" max="13329" width="5.28515625" style="30" customWidth="1"/>
    <col min="13330" max="13568" width="9.140625" style="30"/>
    <col min="13569" max="13569" width="5.7109375" style="30" customWidth="1"/>
    <col min="13570" max="13570" width="3.85546875" style="30" customWidth="1"/>
    <col min="13571" max="13571" width="6" style="30" customWidth="1"/>
    <col min="13572" max="13572" width="5.28515625" style="30" customWidth="1"/>
    <col min="13573" max="13573" width="5.7109375" style="30" customWidth="1"/>
    <col min="13574" max="13574" width="5.42578125" style="30" customWidth="1"/>
    <col min="13575" max="13575" width="6.28515625" style="30" customWidth="1"/>
    <col min="13576" max="13577" width="6.140625" style="30" customWidth="1"/>
    <col min="13578" max="13578" width="6.85546875" style="30" customWidth="1"/>
    <col min="13579" max="13579" width="6.5703125" style="30" customWidth="1"/>
    <col min="13580" max="13581" width="6.42578125" style="30" customWidth="1"/>
    <col min="13582" max="13582" width="4.140625" style="30" customWidth="1"/>
    <col min="13583" max="13583" width="4.28515625" style="30" customWidth="1"/>
    <col min="13584" max="13584" width="4.42578125" style="30" customWidth="1"/>
    <col min="13585" max="13585" width="5.28515625" style="30" customWidth="1"/>
    <col min="13586" max="13824" width="9.140625" style="30"/>
    <col min="13825" max="13825" width="5.7109375" style="30" customWidth="1"/>
    <col min="13826" max="13826" width="3.85546875" style="30" customWidth="1"/>
    <col min="13827" max="13827" width="6" style="30" customWidth="1"/>
    <col min="13828" max="13828" width="5.28515625" style="30" customWidth="1"/>
    <col min="13829" max="13829" width="5.7109375" style="30" customWidth="1"/>
    <col min="13830" max="13830" width="5.42578125" style="30" customWidth="1"/>
    <col min="13831" max="13831" width="6.28515625" style="30" customWidth="1"/>
    <col min="13832" max="13833" width="6.140625" style="30" customWidth="1"/>
    <col min="13834" max="13834" width="6.85546875" style="30" customWidth="1"/>
    <col min="13835" max="13835" width="6.5703125" style="30" customWidth="1"/>
    <col min="13836" max="13837" width="6.42578125" style="30" customWidth="1"/>
    <col min="13838" max="13838" width="4.140625" style="30" customWidth="1"/>
    <col min="13839" max="13839" width="4.28515625" style="30" customWidth="1"/>
    <col min="13840" max="13840" width="4.42578125" style="30" customWidth="1"/>
    <col min="13841" max="13841" width="5.28515625" style="30" customWidth="1"/>
    <col min="13842" max="14080" width="9.140625" style="30"/>
    <col min="14081" max="14081" width="5.7109375" style="30" customWidth="1"/>
    <col min="14082" max="14082" width="3.85546875" style="30" customWidth="1"/>
    <col min="14083" max="14083" width="6" style="30" customWidth="1"/>
    <col min="14084" max="14084" width="5.28515625" style="30" customWidth="1"/>
    <col min="14085" max="14085" width="5.7109375" style="30" customWidth="1"/>
    <col min="14086" max="14086" width="5.42578125" style="30" customWidth="1"/>
    <col min="14087" max="14087" width="6.28515625" style="30" customWidth="1"/>
    <col min="14088" max="14089" width="6.140625" style="30" customWidth="1"/>
    <col min="14090" max="14090" width="6.85546875" style="30" customWidth="1"/>
    <col min="14091" max="14091" width="6.5703125" style="30" customWidth="1"/>
    <col min="14092" max="14093" width="6.42578125" style="30" customWidth="1"/>
    <col min="14094" max="14094" width="4.140625" style="30" customWidth="1"/>
    <col min="14095" max="14095" width="4.28515625" style="30" customWidth="1"/>
    <col min="14096" max="14096" width="4.42578125" style="30" customWidth="1"/>
    <col min="14097" max="14097" width="5.28515625" style="30" customWidth="1"/>
    <col min="14098" max="14336" width="9.140625" style="30"/>
    <col min="14337" max="14337" width="5.7109375" style="30" customWidth="1"/>
    <col min="14338" max="14338" width="3.85546875" style="30" customWidth="1"/>
    <col min="14339" max="14339" width="6" style="30" customWidth="1"/>
    <col min="14340" max="14340" width="5.28515625" style="30" customWidth="1"/>
    <col min="14341" max="14341" width="5.7109375" style="30" customWidth="1"/>
    <col min="14342" max="14342" width="5.42578125" style="30" customWidth="1"/>
    <col min="14343" max="14343" width="6.28515625" style="30" customWidth="1"/>
    <col min="14344" max="14345" width="6.140625" style="30" customWidth="1"/>
    <col min="14346" max="14346" width="6.85546875" style="30" customWidth="1"/>
    <col min="14347" max="14347" width="6.5703125" style="30" customWidth="1"/>
    <col min="14348" max="14349" width="6.42578125" style="30" customWidth="1"/>
    <col min="14350" max="14350" width="4.140625" style="30" customWidth="1"/>
    <col min="14351" max="14351" width="4.28515625" style="30" customWidth="1"/>
    <col min="14352" max="14352" width="4.42578125" style="30" customWidth="1"/>
    <col min="14353" max="14353" width="5.28515625" style="30" customWidth="1"/>
    <col min="14354" max="14592" width="9.140625" style="30"/>
    <col min="14593" max="14593" width="5.7109375" style="30" customWidth="1"/>
    <col min="14594" max="14594" width="3.85546875" style="30" customWidth="1"/>
    <col min="14595" max="14595" width="6" style="30" customWidth="1"/>
    <col min="14596" max="14596" width="5.28515625" style="30" customWidth="1"/>
    <col min="14597" max="14597" width="5.7109375" style="30" customWidth="1"/>
    <col min="14598" max="14598" width="5.42578125" style="30" customWidth="1"/>
    <col min="14599" max="14599" width="6.28515625" style="30" customWidth="1"/>
    <col min="14600" max="14601" width="6.140625" style="30" customWidth="1"/>
    <col min="14602" max="14602" width="6.85546875" style="30" customWidth="1"/>
    <col min="14603" max="14603" width="6.5703125" style="30" customWidth="1"/>
    <col min="14604" max="14605" width="6.42578125" style="30" customWidth="1"/>
    <col min="14606" max="14606" width="4.140625" style="30" customWidth="1"/>
    <col min="14607" max="14607" width="4.28515625" style="30" customWidth="1"/>
    <col min="14608" max="14608" width="4.42578125" style="30" customWidth="1"/>
    <col min="14609" max="14609" width="5.28515625" style="30" customWidth="1"/>
    <col min="14610" max="14848" width="9.140625" style="30"/>
    <col min="14849" max="14849" width="5.7109375" style="30" customWidth="1"/>
    <col min="14850" max="14850" width="3.85546875" style="30" customWidth="1"/>
    <col min="14851" max="14851" width="6" style="30" customWidth="1"/>
    <col min="14852" max="14852" width="5.28515625" style="30" customWidth="1"/>
    <col min="14853" max="14853" width="5.7109375" style="30" customWidth="1"/>
    <col min="14854" max="14854" width="5.42578125" style="30" customWidth="1"/>
    <col min="14855" max="14855" width="6.28515625" style="30" customWidth="1"/>
    <col min="14856" max="14857" width="6.140625" style="30" customWidth="1"/>
    <col min="14858" max="14858" width="6.85546875" style="30" customWidth="1"/>
    <col min="14859" max="14859" width="6.5703125" style="30" customWidth="1"/>
    <col min="14860" max="14861" width="6.42578125" style="30" customWidth="1"/>
    <col min="14862" max="14862" width="4.140625" style="30" customWidth="1"/>
    <col min="14863" max="14863" width="4.28515625" style="30" customWidth="1"/>
    <col min="14864" max="14864" width="4.42578125" style="30" customWidth="1"/>
    <col min="14865" max="14865" width="5.28515625" style="30" customWidth="1"/>
    <col min="14866" max="15104" width="9.140625" style="30"/>
    <col min="15105" max="15105" width="5.7109375" style="30" customWidth="1"/>
    <col min="15106" max="15106" width="3.85546875" style="30" customWidth="1"/>
    <col min="15107" max="15107" width="6" style="30" customWidth="1"/>
    <col min="15108" max="15108" width="5.28515625" style="30" customWidth="1"/>
    <col min="15109" max="15109" width="5.7109375" style="30" customWidth="1"/>
    <col min="15110" max="15110" width="5.42578125" style="30" customWidth="1"/>
    <col min="15111" max="15111" width="6.28515625" style="30" customWidth="1"/>
    <col min="15112" max="15113" width="6.140625" style="30" customWidth="1"/>
    <col min="15114" max="15114" width="6.85546875" style="30" customWidth="1"/>
    <col min="15115" max="15115" width="6.5703125" style="30" customWidth="1"/>
    <col min="15116" max="15117" width="6.42578125" style="30" customWidth="1"/>
    <col min="15118" max="15118" width="4.140625" style="30" customWidth="1"/>
    <col min="15119" max="15119" width="4.28515625" style="30" customWidth="1"/>
    <col min="15120" max="15120" width="4.42578125" style="30" customWidth="1"/>
    <col min="15121" max="15121" width="5.28515625" style="30" customWidth="1"/>
    <col min="15122" max="15360" width="9.140625" style="30"/>
    <col min="15361" max="15361" width="5.7109375" style="30" customWidth="1"/>
    <col min="15362" max="15362" width="3.85546875" style="30" customWidth="1"/>
    <col min="15363" max="15363" width="6" style="30" customWidth="1"/>
    <col min="15364" max="15364" width="5.28515625" style="30" customWidth="1"/>
    <col min="15365" max="15365" width="5.7109375" style="30" customWidth="1"/>
    <col min="15366" max="15366" width="5.42578125" style="30" customWidth="1"/>
    <col min="15367" max="15367" width="6.28515625" style="30" customWidth="1"/>
    <col min="15368" max="15369" width="6.140625" style="30" customWidth="1"/>
    <col min="15370" max="15370" width="6.85546875" style="30" customWidth="1"/>
    <col min="15371" max="15371" width="6.5703125" style="30" customWidth="1"/>
    <col min="15372" max="15373" width="6.42578125" style="30" customWidth="1"/>
    <col min="15374" max="15374" width="4.140625" style="30" customWidth="1"/>
    <col min="15375" max="15375" width="4.28515625" style="30" customWidth="1"/>
    <col min="15376" max="15376" width="4.42578125" style="30" customWidth="1"/>
    <col min="15377" max="15377" width="5.28515625" style="30" customWidth="1"/>
    <col min="15378" max="15616" width="9.140625" style="30"/>
    <col min="15617" max="15617" width="5.7109375" style="30" customWidth="1"/>
    <col min="15618" max="15618" width="3.85546875" style="30" customWidth="1"/>
    <col min="15619" max="15619" width="6" style="30" customWidth="1"/>
    <col min="15620" max="15620" width="5.28515625" style="30" customWidth="1"/>
    <col min="15621" max="15621" width="5.7109375" style="30" customWidth="1"/>
    <col min="15622" max="15622" width="5.42578125" style="30" customWidth="1"/>
    <col min="15623" max="15623" width="6.28515625" style="30" customWidth="1"/>
    <col min="15624" max="15625" width="6.140625" style="30" customWidth="1"/>
    <col min="15626" max="15626" width="6.85546875" style="30" customWidth="1"/>
    <col min="15627" max="15627" width="6.5703125" style="30" customWidth="1"/>
    <col min="15628" max="15629" width="6.42578125" style="30" customWidth="1"/>
    <col min="15630" max="15630" width="4.140625" style="30" customWidth="1"/>
    <col min="15631" max="15631" width="4.28515625" style="30" customWidth="1"/>
    <col min="15632" max="15632" width="4.42578125" style="30" customWidth="1"/>
    <col min="15633" max="15633" width="5.28515625" style="30" customWidth="1"/>
    <col min="15634" max="15872" width="9.140625" style="30"/>
    <col min="15873" max="15873" width="5.7109375" style="30" customWidth="1"/>
    <col min="15874" max="15874" width="3.85546875" style="30" customWidth="1"/>
    <col min="15875" max="15875" width="6" style="30" customWidth="1"/>
    <col min="15876" max="15876" width="5.28515625" style="30" customWidth="1"/>
    <col min="15877" max="15877" width="5.7109375" style="30" customWidth="1"/>
    <col min="15878" max="15878" width="5.42578125" style="30" customWidth="1"/>
    <col min="15879" max="15879" width="6.28515625" style="30" customWidth="1"/>
    <col min="15880" max="15881" width="6.140625" style="30" customWidth="1"/>
    <col min="15882" max="15882" width="6.85546875" style="30" customWidth="1"/>
    <col min="15883" max="15883" width="6.5703125" style="30" customWidth="1"/>
    <col min="15884" max="15885" width="6.42578125" style="30" customWidth="1"/>
    <col min="15886" max="15886" width="4.140625" style="30" customWidth="1"/>
    <col min="15887" max="15887" width="4.28515625" style="30" customWidth="1"/>
    <col min="15888" max="15888" width="4.42578125" style="30" customWidth="1"/>
    <col min="15889" max="15889" width="5.28515625" style="30" customWidth="1"/>
    <col min="15890" max="16128" width="9.140625" style="30"/>
    <col min="16129" max="16129" width="5.7109375" style="30" customWidth="1"/>
    <col min="16130" max="16130" width="3.85546875" style="30" customWidth="1"/>
    <col min="16131" max="16131" width="6" style="30" customWidth="1"/>
    <col min="16132" max="16132" width="5.28515625" style="30" customWidth="1"/>
    <col min="16133" max="16133" width="5.7109375" style="30" customWidth="1"/>
    <col min="16134" max="16134" width="5.42578125" style="30" customWidth="1"/>
    <col min="16135" max="16135" width="6.28515625" style="30" customWidth="1"/>
    <col min="16136" max="16137" width="6.140625" style="30" customWidth="1"/>
    <col min="16138" max="16138" width="6.85546875" style="30" customWidth="1"/>
    <col min="16139" max="16139" width="6.5703125" style="30" customWidth="1"/>
    <col min="16140" max="16141" width="6.42578125" style="30" customWidth="1"/>
    <col min="16142" max="16142" width="4.140625" style="30" customWidth="1"/>
    <col min="16143" max="16143" width="4.28515625" style="30" customWidth="1"/>
    <col min="16144" max="16144" width="4.42578125" style="30" customWidth="1"/>
    <col min="16145" max="16145" width="5.28515625" style="30" customWidth="1"/>
    <col min="16146" max="16384" width="9.140625" style="30"/>
  </cols>
  <sheetData>
    <row r="1" spans="1:18">
      <c r="A1" s="29"/>
      <c r="B1" s="29"/>
      <c r="C1" s="29"/>
      <c r="D1" s="29"/>
      <c r="E1" s="29"/>
      <c r="F1" s="29"/>
      <c r="G1" s="29"/>
      <c r="H1" s="29"/>
      <c r="I1" s="29"/>
      <c r="J1" s="29"/>
      <c r="K1" s="29"/>
      <c r="L1" s="29"/>
      <c r="M1" s="29"/>
      <c r="N1" s="29"/>
      <c r="O1" s="29"/>
      <c r="P1" s="29"/>
      <c r="Q1" s="29"/>
      <c r="R1" s="29"/>
    </row>
    <row r="2" spans="1:18" ht="24.75" customHeight="1">
      <c r="A2" s="29"/>
      <c r="B2" s="29"/>
      <c r="C2" s="29"/>
      <c r="D2" s="29"/>
      <c r="E2" s="29"/>
      <c r="F2" s="29"/>
      <c r="G2" s="29"/>
      <c r="H2" s="29"/>
      <c r="I2" s="29"/>
      <c r="J2" s="29"/>
      <c r="K2" s="29"/>
      <c r="L2" s="29"/>
      <c r="M2" s="29"/>
      <c r="N2" s="29"/>
      <c r="O2" s="29"/>
      <c r="P2" s="29"/>
      <c r="Q2" s="29"/>
      <c r="R2" s="29"/>
    </row>
    <row r="3" spans="1:18" ht="29.25" customHeight="1">
      <c r="A3" s="29"/>
      <c r="B3" s="31"/>
      <c r="C3" s="31"/>
      <c r="E3" s="32"/>
      <c r="F3" s="32"/>
      <c r="G3" s="32"/>
      <c r="H3" s="32"/>
      <c r="I3" s="32"/>
      <c r="J3" s="32"/>
      <c r="K3" s="32"/>
      <c r="L3" s="32"/>
      <c r="M3" s="32"/>
      <c r="N3" s="32"/>
      <c r="O3" s="31"/>
      <c r="P3" s="31"/>
      <c r="Q3" s="31"/>
      <c r="R3" s="29"/>
    </row>
    <row r="4" spans="1:18" ht="97.5" customHeight="1">
      <c r="A4" s="29"/>
      <c r="B4" s="31"/>
      <c r="C4" s="31"/>
      <c r="D4" s="375" t="s">
        <v>135</v>
      </c>
      <c r="E4" s="375"/>
      <c r="F4" s="375"/>
      <c r="G4" s="375"/>
      <c r="H4" s="375"/>
      <c r="I4" s="375"/>
      <c r="J4" s="375"/>
      <c r="K4" s="375"/>
      <c r="L4" s="375"/>
      <c r="M4" s="375"/>
      <c r="N4" s="375"/>
      <c r="O4" s="31"/>
      <c r="P4" s="31"/>
      <c r="Q4" s="31"/>
      <c r="R4" s="29"/>
    </row>
    <row r="5" spans="1:18" ht="35.25">
      <c r="A5" s="29"/>
      <c r="B5" s="33"/>
      <c r="C5" s="33"/>
      <c r="D5" s="32"/>
      <c r="E5" s="32"/>
      <c r="F5" s="32"/>
      <c r="G5" s="32"/>
      <c r="H5" s="32"/>
      <c r="I5" s="32"/>
      <c r="J5" s="32"/>
      <c r="K5" s="32"/>
      <c r="L5" s="32"/>
      <c r="M5" s="32"/>
      <c r="N5" s="32"/>
      <c r="O5" s="33"/>
      <c r="P5" s="33"/>
      <c r="Q5" s="33"/>
      <c r="R5" s="29"/>
    </row>
    <row r="6" spans="1:18" ht="35.25">
      <c r="A6" s="29"/>
      <c r="B6" s="33"/>
      <c r="C6" s="33"/>
      <c r="D6" s="33"/>
      <c r="E6" s="33"/>
      <c r="F6" s="33"/>
      <c r="G6" s="33"/>
      <c r="H6" s="33"/>
      <c r="I6" s="33"/>
      <c r="J6" s="33"/>
      <c r="K6" s="33"/>
      <c r="L6" s="33"/>
      <c r="M6" s="33"/>
      <c r="N6" s="33"/>
      <c r="O6" s="33"/>
      <c r="P6" s="33"/>
      <c r="Q6" s="33"/>
      <c r="R6" s="29"/>
    </row>
    <row r="7" spans="1:18" ht="35.25" customHeight="1">
      <c r="A7" s="29"/>
      <c r="B7" s="33"/>
      <c r="C7" s="33"/>
      <c r="E7" s="34"/>
      <c r="F7" s="34"/>
      <c r="G7" s="34"/>
      <c r="H7" s="34"/>
      <c r="I7" s="34"/>
      <c r="J7" s="34"/>
      <c r="K7" s="34"/>
      <c r="L7" s="34"/>
      <c r="M7" s="34"/>
      <c r="N7" s="34"/>
      <c r="O7" s="33"/>
      <c r="P7" s="33"/>
      <c r="Q7" s="33"/>
      <c r="R7" s="29"/>
    </row>
    <row r="8" spans="1:18" ht="35.25">
      <c r="A8" s="29"/>
      <c r="B8" s="33"/>
      <c r="C8" s="33"/>
      <c r="D8" s="34"/>
      <c r="E8" s="34"/>
      <c r="F8" s="34"/>
      <c r="G8" s="34"/>
      <c r="H8" s="34"/>
      <c r="I8" s="34"/>
      <c r="J8" s="34"/>
      <c r="K8" s="34"/>
      <c r="L8" s="34"/>
      <c r="M8" s="34"/>
      <c r="N8" s="34"/>
      <c r="O8" s="33"/>
      <c r="P8" s="33"/>
      <c r="Q8" s="33"/>
      <c r="R8" s="29"/>
    </row>
    <row r="9" spans="1:18" ht="35.25">
      <c r="A9" s="29"/>
      <c r="B9" s="33"/>
      <c r="C9" s="33"/>
      <c r="D9" s="34"/>
      <c r="E9" s="34"/>
      <c r="F9" s="34"/>
      <c r="G9" s="34"/>
      <c r="H9" s="34"/>
      <c r="I9" s="34"/>
      <c r="J9" s="34"/>
      <c r="K9" s="34"/>
      <c r="L9" s="34"/>
      <c r="M9" s="34"/>
      <c r="N9" s="34"/>
      <c r="O9" s="33"/>
      <c r="P9" s="33"/>
      <c r="Q9" s="33"/>
      <c r="R9" s="29"/>
    </row>
    <row r="10" spans="1:18" ht="111.75" customHeight="1">
      <c r="A10" s="29"/>
      <c r="B10" s="33"/>
      <c r="C10" s="33"/>
      <c r="E10" s="32"/>
      <c r="F10" s="32"/>
      <c r="G10" s="32"/>
      <c r="H10" s="32"/>
      <c r="I10" s="32"/>
      <c r="J10" s="32"/>
      <c r="K10" s="32"/>
      <c r="L10" s="32"/>
      <c r="M10" s="32"/>
      <c r="N10" s="35"/>
      <c r="O10" s="33"/>
      <c r="P10" s="33"/>
      <c r="Q10" s="33"/>
      <c r="R10" s="29"/>
    </row>
    <row r="11" spans="1:18" ht="45.75" customHeight="1">
      <c r="A11" s="29"/>
      <c r="B11" s="33"/>
      <c r="N11" s="36"/>
      <c r="O11" s="37"/>
      <c r="P11" s="33"/>
      <c r="Q11" s="33"/>
      <c r="R11" s="29"/>
    </row>
    <row r="12" spans="1:18" ht="40.5" customHeight="1">
      <c r="A12" s="29"/>
      <c r="B12" s="29"/>
      <c r="C12" s="37"/>
      <c r="D12" s="36"/>
      <c r="E12" s="379" t="s">
        <v>136</v>
      </c>
      <c r="F12" s="379"/>
      <c r="G12" s="379"/>
      <c r="H12" s="379"/>
      <c r="I12" s="379"/>
      <c r="J12" s="379"/>
      <c r="K12" s="379"/>
      <c r="L12" s="379"/>
      <c r="M12" s="379"/>
      <c r="N12" s="379"/>
      <c r="O12" s="37"/>
      <c r="P12" s="29"/>
      <c r="Q12" s="29"/>
      <c r="R12" s="29"/>
    </row>
    <row r="13" spans="1:18" ht="40.5" customHeight="1">
      <c r="A13" s="29"/>
      <c r="B13" s="29"/>
      <c r="C13" s="37"/>
      <c r="D13" s="36"/>
      <c r="E13" s="36"/>
      <c r="F13" s="36"/>
      <c r="G13" s="36"/>
      <c r="H13" s="36"/>
      <c r="I13" s="36"/>
      <c r="J13" s="36"/>
      <c r="K13" s="36"/>
      <c r="L13" s="36"/>
      <c r="M13" s="36"/>
      <c r="N13" s="36"/>
      <c r="O13" s="37"/>
      <c r="P13" s="38"/>
      <c r="Q13" s="38"/>
      <c r="R13" s="29"/>
    </row>
    <row r="14" spans="1:18" ht="40.5" customHeight="1">
      <c r="A14" s="29"/>
      <c r="B14" s="29"/>
      <c r="C14" s="37"/>
      <c r="D14" s="36"/>
      <c r="E14" s="36"/>
      <c r="F14" s="380" t="s">
        <v>137</v>
      </c>
      <c r="G14" s="380"/>
      <c r="H14" s="380"/>
      <c r="I14" s="380"/>
      <c r="J14" s="380"/>
      <c r="K14" s="380"/>
      <c r="L14" s="380"/>
      <c r="M14" s="36"/>
      <c r="N14" s="36"/>
      <c r="O14" s="37"/>
      <c r="P14" s="39"/>
      <c r="Q14" s="39"/>
      <c r="R14" s="29"/>
    </row>
    <row r="15" spans="1:18" ht="127.5" customHeight="1">
      <c r="A15" s="29"/>
      <c r="B15" s="29"/>
      <c r="C15" s="381" t="s">
        <v>338</v>
      </c>
      <c r="D15" s="382"/>
      <c r="E15" s="382"/>
      <c r="F15" s="382"/>
      <c r="G15" s="382"/>
      <c r="H15" s="382"/>
      <c r="I15" s="382"/>
      <c r="J15" s="382"/>
      <c r="K15" s="382"/>
      <c r="L15" s="382"/>
      <c r="M15" s="382"/>
      <c r="N15" s="382"/>
      <c r="O15" s="382"/>
      <c r="P15" s="39"/>
      <c r="Q15" s="39"/>
      <c r="R15" s="29"/>
    </row>
    <row r="16" spans="1:18" ht="36.75" customHeight="1">
      <c r="A16" s="29"/>
      <c r="B16" s="29"/>
      <c r="C16" s="37"/>
      <c r="D16" s="36"/>
      <c r="E16" s="36"/>
      <c r="F16" s="36"/>
      <c r="G16" s="36"/>
      <c r="H16" s="36"/>
      <c r="I16" s="36"/>
      <c r="J16" s="36"/>
      <c r="K16" s="36"/>
      <c r="L16" s="36"/>
      <c r="M16" s="36"/>
      <c r="N16" s="36"/>
      <c r="O16" s="37"/>
      <c r="P16" s="39"/>
      <c r="Q16" s="39"/>
      <c r="R16" s="29"/>
    </row>
    <row r="17" spans="1:18" ht="58.5" customHeight="1">
      <c r="A17" s="29"/>
      <c r="B17" s="29"/>
      <c r="C17" s="39"/>
      <c r="D17" s="383" t="s">
        <v>138</v>
      </c>
      <c r="E17" s="383"/>
      <c r="F17" s="383"/>
      <c r="G17" s="383"/>
      <c r="H17" s="383"/>
      <c r="I17" s="383"/>
      <c r="J17" s="383"/>
      <c r="K17" s="383"/>
      <c r="L17" s="383"/>
      <c r="M17" s="383"/>
      <c r="N17" s="36"/>
      <c r="O17" s="39"/>
      <c r="P17" s="39"/>
      <c r="Q17" s="39"/>
      <c r="R17" s="29"/>
    </row>
    <row r="18" spans="1:18" ht="36.75" customHeight="1">
      <c r="A18" s="29"/>
      <c r="B18" s="29"/>
      <c r="C18" s="29" t="s">
        <v>139</v>
      </c>
      <c r="D18" s="354"/>
      <c r="E18" s="354"/>
      <c r="F18" s="355"/>
      <c r="G18" s="356" t="s">
        <v>140</v>
      </c>
      <c r="H18" s="384">
        <f>'Abstract '!G22</f>
        <v>9.7822103000000009</v>
      </c>
      <c r="I18" s="384"/>
      <c r="J18" s="385" t="s">
        <v>141</v>
      </c>
      <c r="K18" s="385"/>
      <c r="L18" s="385"/>
      <c r="M18" s="354"/>
      <c r="N18" s="40"/>
      <c r="O18" s="39"/>
      <c r="P18" s="39"/>
      <c r="Q18" s="39"/>
      <c r="R18" s="39"/>
    </row>
    <row r="19" spans="1:18" ht="32.25" customHeight="1">
      <c r="A19" s="29"/>
      <c r="B19" s="29"/>
      <c r="C19" s="29"/>
      <c r="E19" s="40"/>
      <c r="F19" s="40"/>
      <c r="G19" s="40"/>
      <c r="H19" s="40"/>
      <c r="I19" s="40"/>
      <c r="J19" s="40"/>
      <c r="K19" s="40"/>
      <c r="L19" s="40"/>
      <c r="M19" s="40"/>
      <c r="N19" s="40"/>
      <c r="O19" s="39"/>
      <c r="P19" s="39"/>
      <c r="Q19" s="39"/>
      <c r="R19" s="39"/>
    </row>
    <row r="20" spans="1:18" ht="42" customHeight="1">
      <c r="A20" s="29"/>
      <c r="B20" s="29"/>
      <c r="C20" s="29"/>
      <c r="D20" s="40"/>
      <c r="E20" s="40"/>
      <c r="F20" s="40"/>
      <c r="G20" s="40"/>
      <c r="H20" s="40"/>
      <c r="I20" s="40"/>
      <c r="J20" s="40"/>
      <c r="K20" s="40"/>
      <c r="L20" s="40"/>
      <c r="M20" s="40"/>
      <c r="N20" s="40"/>
      <c r="O20" s="39"/>
      <c r="P20" s="39"/>
      <c r="Q20" s="39"/>
      <c r="R20" s="39"/>
    </row>
    <row r="21" spans="1:18" ht="42" customHeight="1">
      <c r="A21" s="29"/>
      <c r="B21" s="29"/>
      <c r="C21" s="41"/>
      <c r="D21" s="41"/>
      <c r="E21" s="41"/>
      <c r="F21" s="41"/>
      <c r="G21" s="41"/>
      <c r="H21" s="41"/>
      <c r="I21" s="41"/>
      <c r="J21" s="41"/>
      <c r="K21" s="41"/>
      <c r="L21" s="41"/>
      <c r="M21" s="41"/>
      <c r="N21" s="41"/>
      <c r="O21" s="41"/>
      <c r="P21" s="41"/>
      <c r="Q21" s="41"/>
      <c r="R21" s="29"/>
    </row>
    <row r="22" spans="1:18" ht="42" customHeight="1">
      <c r="A22" s="42"/>
      <c r="B22" s="42"/>
      <c r="C22" s="43"/>
      <c r="N22" s="43"/>
      <c r="O22" s="44"/>
      <c r="P22" s="45"/>
      <c r="Q22" s="45"/>
      <c r="R22" s="42"/>
    </row>
    <row r="23" spans="1:18" ht="42" customHeight="1">
      <c r="A23" s="42"/>
      <c r="B23" s="42"/>
      <c r="C23" s="46"/>
      <c r="D23" s="47"/>
      <c r="L23" s="42"/>
      <c r="M23" s="42"/>
      <c r="N23" s="48"/>
      <c r="O23" s="48"/>
      <c r="P23" s="48"/>
      <c r="Q23" s="48"/>
      <c r="R23" s="42"/>
    </row>
    <row r="24" spans="1:18" ht="42" customHeight="1">
      <c r="A24" s="42"/>
      <c r="B24" s="42"/>
      <c r="C24" s="49"/>
      <c r="D24" s="49"/>
      <c r="E24" s="49"/>
      <c r="F24" s="42"/>
      <c r="G24" s="42"/>
      <c r="H24" s="42"/>
      <c r="I24" s="42"/>
      <c r="J24" s="42"/>
      <c r="K24" s="42"/>
      <c r="L24" s="42"/>
      <c r="M24" s="49"/>
      <c r="N24" s="49"/>
      <c r="O24" s="49"/>
      <c r="P24" s="49"/>
      <c r="Q24" s="49"/>
      <c r="R24" s="42"/>
    </row>
    <row r="25" spans="1:18" ht="42" customHeight="1">
      <c r="A25" s="42"/>
      <c r="B25" s="42"/>
      <c r="C25" s="49"/>
      <c r="N25" s="49"/>
      <c r="O25" s="49"/>
      <c r="P25" s="49"/>
      <c r="Q25" s="49"/>
      <c r="R25" s="42"/>
    </row>
    <row r="26" spans="1:18" ht="42" customHeight="1">
      <c r="A26" s="42"/>
      <c r="B26" s="42"/>
      <c r="C26" s="49"/>
      <c r="N26" s="42"/>
      <c r="O26" s="49"/>
      <c r="P26" s="49"/>
      <c r="Q26" s="49"/>
      <c r="R26" s="42"/>
    </row>
    <row r="27" spans="1:18" ht="22.5">
      <c r="A27" s="42"/>
      <c r="B27" s="376"/>
      <c r="C27" s="376"/>
      <c r="D27" s="376"/>
      <c r="E27" s="376"/>
      <c r="F27" s="376"/>
      <c r="G27" s="376"/>
      <c r="H27" s="50"/>
      <c r="I27" s="377"/>
      <c r="J27" s="377"/>
      <c r="K27" s="377"/>
      <c r="L27" s="377"/>
      <c r="M27" s="377"/>
      <c r="N27" s="377"/>
      <c r="O27" s="377"/>
      <c r="P27" s="49"/>
      <c r="Q27" s="49"/>
      <c r="R27" s="42"/>
    </row>
    <row r="28" spans="1:18" ht="22.5">
      <c r="A28" s="42"/>
      <c r="B28" s="42"/>
      <c r="C28" s="378"/>
      <c r="D28" s="378"/>
      <c r="E28" s="378"/>
      <c r="F28" s="378"/>
      <c r="G28" s="378"/>
      <c r="H28" s="50"/>
      <c r="I28" s="377"/>
      <c r="J28" s="377"/>
      <c r="K28" s="377"/>
      <c r="L28" s="377"/>
      <c r="M28" s="377"/>
      <c r="N28" s="377"/>
      <c r="O28" s="377"/>
      <c r="P28" s="49"/>
      <c r="Q28" s="49"/>
      <c r="R28" s="42"/>
    </row>
    <row r="29" spans="1:18" ht="22.5">
      <c r="A29" s="42"/>
      <c r="B29" s="42"/>
      <c r="C29" s="49"/>
      <c r="D29" s="49"/>
      <c r="E29" s="49"/>
      <c r="F29" s="49"/>
      <c r="G29" s="49"/>
      <c r="H29" s="49"/>
      <c r="I29" s="49"/>
      <c r="J29" s="49"/>
      <c r="K29" s="49"/>
      <c r="L29" s="49"/>
      <c r="M29" s="49"/>
      <c r="N29" s="49"/>
      <c r="O29" s="49"/>
      <c r="P29" s="49"/>
      <c r="Q29" s="49"/>
      <c r="R29" s="42"/>
    </row>
    <row r="30" spans="1:18" ht="22.5">
      <c r="A30" s="42"/>
      <c r="B30" s="42"/>
      <c r="C30" s="49"/>
      <c r="D30" s="49"/>
      <c r="E30" s="49"/>
      <c r="F30" s="49"/>
      <c r="G30" s="49"/>
      <c r="H30" s="49"/>
      <c r="I30" s="49"/>
      <c r="J30" s="49"/>
      <c r="K30" s="49"/>
      <c r="L30" s="49"/>
      <c r="M30" s="49"/>
      <c r="N30" s="49"/>
      <c r="O30" s="49"/>
      <c r="P30" s="49"/>
      <c r="Q30" s="49"/>
      <c r="R30" s="42"/>
    </row>
  </sheetData>
  <mergeCells count="11">
    <mergeCell ref="D4:N4"/>
    <mergeCell ref="B27:G27"/>
    <mergeCell ref="I27:O27"/>
    <mergeCell ref="C28:G28"/>
    <mergeCell ref="I28:O28"/>
    <mergeCell ref="E12:N12"/>
    <mergeCell ref="F14:L14"/>
    <mergeCell ref="C15:O15"/>
    <mergeCell ref="D17:M17"/>
    <mergeCell ref="H18:I18"/>
    <mergeCell ref="J18:L18"/>
  </mergeCells>
  <pageMargins left="0.7" right="0.7" top="1.79" bottom="0.75" header="0.74" footer="0.3"/>
  <pageSetup paperSize="9" scale="5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K31"/>
  <sheetViews>
    <sheetView view="pageBreakPreview" zoomScale="110" zoomScaleNormal="110" zoomScaleSheetLayoutView="110" workbookViewId="0">
      <pane ySplit="3" topLeftCell="A13" activePane="bottomLeft" state="frozen"/>
      <selection activeCell="C1" sqref="C1"/>
      <selection pane="bottomLeft" activeCell="B7" sqref="B7"/>
    </sheetView>
  </sheetViews>
  <sheetFormatPr defaultColWidth="9.140625" defaultRowHeight="20.100000000000001" customHeight="1"/>
  <cols>
    <col min="1" max="1" width="6.42578125" style="51" customWidth="1"/>
    <col min="2" max="2" width="8.5703125" style="54" customWidth="1"/>
    <col min="3" max="3" width="49.42578125" style="55" customWidth="1"/>
    <col min="4" max="4" width="9" style="51" customWidth="1"/>
    <col min="5" max="5" width="11.28515625" style="51" customWidth="1"/>
    <col min="6" max="6" width="6.85546875" style="51" customWidth="1"/>
    <col min="7" max="7" width="16" style="51" customWidth="1"/>
    <col min="8" max="8" width="12" style="51" customWidth="1"/>
    <col min="9" max="16384" width="9.140625" style="51"/>
  </cols>
  <sheetData>
    <row r="1" spans="1:8" ht="32.25" customHeight="1">
      <c r="A1" s="386" t="s">
        <v>142</v>
      </c>
      <c r="B1" s="387"/>
      <c r="C1" s="387"/>
      <c r="D1" s="387"/>
      <c r="E1" s="387"/>
      <c r="F1" s="387"/>
      <c r="G1" s="387"/>
      <c r="H1" s="117"/>
    </row>
    <row r="2" spans="1:8" ht="66" customHeight="1">
      <c r="A2" s="388" t="s">
        <v>338</v>
      </c>
      <c r="B2" s="388"/>
      <c r="C2" s="388"/>
      <c r="D2" s="388"/>
      <c r="E2" s="388"/>
      <c r="F2" s="388"/>
      <c r="G2" s="388"/>
      <c r="H2" s="117"/>
    </row>
    <row r="3" spans="1:8" s="52" customFormat="1" ht="30.75" customHeight="1">
      <c r="A3" s="118" t="s">
        <v>143</v>
      </c>
      <c r="B3" s="118" t="s">
        <v>144</v>
      </c>
      <c r="C3" s="118" t="s">
        <v>56</v>
      </c>
      <c r="D3" s="118" t="s">
        <v>145</v>
      </c>
      <c r="E3" s="118" t="s">
        <v>146</v>
      </c>
      <c r="F3" s="118" t="s">
        <v>2</v>
      </c>
      <c r="G3" s="118" t="s">
        <v>60</v>
      </c>
      <c r="H3" s="119"/>
    </row>
    <row r="4" spans="1:8" s="53" customFormat="1" ht="78.75">
      <c r="A4" s="351">
        <v>1</v>
      </c>
      <c r="B4" s="137" t="str">
        <f>Detail!B4</f>
        <v>TBSC-U.I-01 (Item No 1129)</v>
      </c>
      <c r="C4" s="138" t="s">
        <v>284</v>
      </c>
      <c r="D4" s="352">
        <f>Detail!J9</f>
        <v>24.84</v>
      </c>
      <c r="E4" s="352">
        <f>'Datas - 2026-27'!H10</f>
        <v>765.8</v>
      </c>
      <c r="F4" s="136" t="str">
        <f>'Datas - 2026-27'!E7</f>
        <v>Cum</v>
      </c>
      <c r="G4" s="352">
        <f t="shared" ref="G4:G10" si="0">D4*E4</f>
        <v>19022.471999999998</v>
      </c>
      <c r="H4" s="120"/>
    </row>
    <row r="5" spans="1:8" s="53" customFormat="1" ht="126">
      <c r="A5" s="351">
        <v>2</v>
      </c>
      <c r="B5" s="122" t="s">
        <v>22</v>
      </c>
      <c r="C5" s="128" t="s">
        <v>74</v>
      </c>
      <c r="D5" s="352">
        <f>Detail!J14</f>
        <v>103</v>
      </c>
      <c r="E5" s="352">
        <f>'Datas - 2026-27'!H45</f>
        <v>136.9</v>
      </c>
      <c r="F5" s="352" t="str">
        <f>'Datas - 2026-27'!H48</f>
        <v>Cum</v>
      </c>
      <c r="G5" s="352">
        <f t="shared" si="0"/>
        <v>14100.7</v>
      </c>
      <c r="H5" s="120"/>
    </row>
    <row r="6" spans="1:8" s="53" customFormat="1" ht="141.75">
      <c r="A6" s="351">
        <v>3</v>
      </c>
      <c r="B6" s="122" t="s">
        <v>245</v>
      </c>
      <c r="C6" s="128" t="s">
        <v>165</v>
      </c>
      <c r="D6" s="352">
        <f>Detail!J21</f>
        <v>27.16</v>
      </c>
      <c r="E6" s="352">
        <f>'Datas - 2026-27'!H114</f>
        <v>6649.3</v>
      </c>
      <c r="F6" s="352" t="str">
        <f>'Datas - 2026-27'!H48</f>
        <v>Cum</v>
      </c>
      <c r="G6" s="352">
        <f t="shared" si="0"/>
        <v>180594.98800000001</v>
      </c>
      <c r="H6" s="120"/>
    </row>
    <row r="7" spans="1:8" s="53" customFormat="1" ht="78.75">
      <c r="A7" s="351">
        <v>4</v>
      </c>
      <c r="B7" s="137" t="str">
        <f>'Datas - 2026-27'!B116</f>
        <v>SOR page no.647 of 806</v>
      </c>
      <c r="C7" s="138" t="s">
        <v>279</v>
      </c>
      <c r="D7" s="352">
        <f>Detail!J24</f>
        <v>10</v>
      </c>
      <c r="E7" s="352">
        <f>'Datas - 2026-27'!H122</f>
        <v>1771.6423</v>
      </c>
      <c r="F7" s="136" t="str">
        <f>'Datas - 2026-27'!E118</f>
        <v>RM</v>
      </c>
      <c r="G7" s="352">
        <f t="shared" si="0"/>
        <v>17716.422999999999</v>
      </c>
      <c r="H7" s="120"/>
    </row>
    <row r="8" spans="1:8" s="53" customFormat="1" ht="141.75">
      <c r="A8" s="351">
        <v>5</v>
      </c>
      <c r="B8" s="137" t="str">
        <f>'Datas - 2026-27'!B124</f>
        <v>IRR-CCDW-6-1</v>
      </c>
      <c r="C8" s="138" t="s">
        <v>282</v>
      </c>
      <c r="D8" s="352">
        <f>Detail!J27</f>
        <v>4</v>
      </c>
      <c r="E8" s="136">
        <f>'Datas - 2026-27'!H157</f>
        <v>602.57999999999993</v>
      </c>
      <c r="F8" s="136" t="str">
        <f>'Datas - 2026-27'!H125</f>
        <v>Joints</v>
      </c>
      <c r="G8" s="352">
        <f t="shared" si="0"/>
        <v>2410.3199999999997</v>
      </c>
      <c r="H8" s="120"/>
    </row>
    <row r="9" spans="1:8" s="53" customFormat="1" ht="141.75">
      <c r="A9" s="351">
        <v>6</v>
      </c>
      <c r="B9" s="122" t="str">
        <f>'Datas - 2026-27'!B159</f>
        <v>IRR-CCDW-2-9</v>
      </c>
      <c r="C9" s="128" t="s">
        <v>166</v>
      </c>
      <c r="D9" s="352">
        <f>Detail!J31</f>
        <v>76.95</v>
      </c>
      <c r="E9" s="352">
        <f>'Datas - 2026-27'!H224</f>
        <v>6990.9</v>
      </c>
      <c r="F9" s="136" t="str">
        <f>'Datas - 2026-27'!H160</f>
        <v>Cum</v>
      </c>
      <c r="G9" s="352">
        <f t="shared" si="0"/>
        <v>537949.755</v>
      </c>
      <c r="H9" s="120"/>
    </row>
    <row r="10" spans="1:8" s="53" customFormat="1" ht="173.25">
      <c r="A10" s="351">
        <v>7</v>
      </c>
      <c r="B10" s="122" t="str">
        <f>'Datas - 2026-27'!B226</f>
        <v>IRR-PMW-3-17</v>
      </c>
      <c r="C10" s="129" t="s">
        <v>261</v>
      </c>
      <c r="D10" s="352">
        <f>Detail!J35</f>
        <v>76.14</v>
      </c>
      <c r="E10" s="352">
        <f>'Datas - 2026-27'!H266</f>
        <v>220.6</v>
      </c>
      <c r="F10" s="136" t="str">
        <f>'Datas - 2026-27'!H227</f>
        <v>Cum</v>
      </c>
      <c r="G10" s="352">
        <f t="shared" si="0"/>
        <v>16796.484</v>
      </c>
      <c r="H10" s="120"/>
    </row>
    <row r="11" spans="1:8" ht="32.25" customHeight="1">
      <c r="A11" s="121"/>
      <c r="B11" s="108"/>
      <c r="C11" s="123"/>
      <c r="D11" s="124" t="s">
        <v>147</v>
      </c>
      <c r="E11" s="124"/>
      <c r="F11" s="124"/>
      <c r="G11" s="113">
        <f>SUM(G4:G10)</f>
        <v>788591.14200000011</v>
      </c>
      <c r="H11" s="117"/>
    </row>
    <row r="12" spans="1:8" ht="30.75" customHeight="1">
      <c r="A12" s="121"/>
      <c r="B12" s="108" t="s">
        <v>148</v>
      </c>
      <c r="C12" s="109" t="s">
        <v>149</v>
      </c>
      <c r="D12" s="108" t="s">
        <v>148</v>
      </c>
      <c r="E12" s="108" t="s">
        <v>148</v>
      </c>
      <c r="F12" s="108" t="s">
        <v>148</v>
      </c>
      <c r="G12" s="110">
        <f>ROUND((G$11*1%),2)</f>
        <v>7885.91</v>
      </c>
      <c r="H12" s="117"/>
    </row>
    <row r="13" spans="1:8" ht="28.5" customHeight="1">
      <c r="A13" s="121"/>
      <c r="B13" s="108" t="s">
        <v>148</v>
      </c>
      <c r="C13" s="109" t="s">
        <v>150</v>
      </c>
      <c r="D13" s="108" t="s">
        <v>148</v>
      </c>
      <c r="E13" s="108" t="s">
        <v>148</v>
      </c>
      <c r="F13" s="108" t="s">
        <v>148</v>
      </c>
      <c r="G13" s="110">
        <f>ROUND((G$11*0.1%),2)</f>
        <v>788.59</v>
      </c>
      <c r="H13" s="117"/>
    </row>
    <row r="14" spans="1:8" ht="29.25" customHeight="1">
      <c r="A14" s="121"/>
      <c r="B14" s="108" t="s">
        <v>148</v>
      </c>
      <c r="C14" s="109" t="s">
        <v>151</v>
      </c>
      <c r="D14" s="108" t="s">
        <v>148</v>
      </c>
      <c r="E14" s="108" t="s">
        <v>148</v>
      </c>
      <c r="F14" s="108" t="s">
        <v>148</v>
      </c>
      <c r="G14" s="110">
        <f>'Seignorage (2)'!G11</f>
        <v>15598.260000000002</v>
      </c>
      <c r="H14" s="117"/>
    </row>
    <row r="15" spans="1:8" ht="38.25" customHeight="1">
      <c r="A15" s="121"/>
      <c r="B15" s="108" t="s">
        <v>148</v>
      </c>
      <c r="C15" s="109" t="s">
        <v>152</v>
      </c>
      <c r="D15" s="108" t="s">
        <v>148</v>
      </c>
      <c r="E15" s="108" t="s">
        <v>148</v>
      </c>
      <c r="F15" s="108" t="s">
        <v>148</v>
      </c>
      <c r="G15" s="110">
        <f>'Seignorage (2)'!G13</f>
        <v>4679</v>
      </c>
      <c r="H15" s="117"/>
    </row>
    <row r="16" spans="1:8" ht="34.5" customHeight="1">
      <c r="A16" s="121"/>
      <c r="B16" s="108" t="s">
        <v>148</v>
      </c>
      <c r="C16" s="109" t="s">
        <v>153</v>
      </c>
      <c r="D16" s="108" t="s">
        <v>148</v>
      </c>
      <c r="E16" s="108" t="s">
        <v>148</v>
      </c>
      <c r="F16" s="108" t="s">
        <v>148</v>
      </c>
      <c r="G16" s="110">
        <f>'Seignorage (2)'!G12</f>
        <v>312</v>
      </c>
      <c r="H16" s="117"/>
    </row>
    <row r="17" spans="1:11" ht="34.5" customHeight="1">
      <c r="A17" s="121"/>
      <c r="B17" s="108"/>
      <c r="C17" s="111" t="s">
        <v>168</v>
      </c>
      <c r="D17" s="108" t="s">
        <v>148</v>
      </c>
      <c r="E17" s="108" t="s">
        <v>148</v>
      </c>
      <c r="F17" s="108" t="s">
        <v>148</v>
      </c>
      <c r="G17" s="110">
        <f>'Seignorage (2)'!G14</f>
        <v>11145.968000000001</v>
      </c>
      <c r="H17" s="117"/>
    </row>
    <row r="18" spans="1:11" ht="22.5" customHeight="1">
      <c r="A18" s="121"/>
      <c r="B18" s="108"/>
      <c r="C18" s="112"/>
      <c r="D18" s="108"/>
      <c r="E18" s="108"/>
      <c r="F18" s="108"/>
      <c r="G18" s="113">
        <f>G11+G12+G13+G14+G15+G16+G17</f>
        <v>829000.87000000011</v>
      </c>
      <c r="H18" s="117"/>
    </row>
    <row r="19" spans="1:11" ht="28.5" customHeight="1">
      <c r="A19" s="121"/>
      <c r="B19" s="108"/>
      <c r="C19" s="112" t="s">
        <v>167</v>
      </c>
      <c r="D19" s="108" t="s">
        <v>148</v>
      </c>
      <c r="E19" s="108" t="s">
        <v>148</v>
      </c>
      <c r="F19" s="108" t="s">
        <v>148</v>
      </c>
      <c r="G19" s="110">
        <f>ROUND((G$18*18%),2)</f>
        <v>149220.16</v>
      </c>
      <c r="H19" s="117"/>
    </row>
    <row r="20" spans="1:11" ht="29.25" customHeight="1">
      <c r="A20" s="121"/>
      <c r="B20" s="108" t="s">
        <v>148</v>
      </c>
      <c r="C20" s="114" t="s">
        <v>154</v>
      </c>
      <c r="D20" s="108" t="s">
        <v>148</v>
      </c>
      <c r="E20" s="108" t="s">
        <v>148</v>
      </c>
      <c r="F20" s="108" t="s">
        <v>148</v>
      </c>
      <c r="G20" s="110"/>
      <c r="H20" s="125"/>
    </row>
    <row r="21" spans="1:11" ht="34.5" customHeight="1">
      <c r="A21" s="121"/>
      <c r="B21" s="108"/>
      <c r="C21" s="115"/>
      <c r="D21" s="387" t="s">
        <v>57</v>
      </c>
      <c r="E21" s="387"/>
      <c r="F21" s="387"/>
      <c r="G21" s="116">
        <f>SUM(G18:G20)</f>
        <v>978221.03000000014</v>
      </c>
      <c r="H21" s="125"/>
    </row>
    <row r="22" spans="1:11" ht="20.100000000000001" customHeight="1">
      <c r="A22" s="121"/>
      <c r="B22" s="108"/>
      <c r="C22" s="389" t="s">
        <v>340</v>
      </c>
      <c r="D22" s="390"/>
      <c r="E22" s="390"/>
      <c r="F22" s="391"/>
      <c r="G22" s="113">
        <f>G21/100000</f>
        <v>9.7822103000000009</v>
      </c>
      <c r="H22" s="125"/>
    </row>
    <row r="23" spans="1:11" ht="20.100000000000001" customHeight="1">
      <c r="A23" s="117"/>
      <c r="B23" s="126"/>
      <c r="C23" s="127"/>
      <c r="D23" s="117"/>
      <c r="E23" s="117"/>
      <c r="F23" s="117"/>
      <c r="G23" s="117"/>
      <c r="H23" s="117"/>
    </row>
    <row r="24" spans="1:11" ht="20.100000000000001" customHeight="1">
      <c r="A24" s="117"/>
      <c r="B24" s="126"/>
      <c r="C24" s="127"/>
      <c r="D24" s="117"/>
      <c r="E24" s="117"/>
      <c r="F24" s="117"/>
      <c r="G24" s="117"/>
      <c r="H24" s="117"/>
    </row>
    <row r="26" spans="1:11" customFormat="1" ht="15.75">
      <c r="A26" s="366"/>
      <c r="B26" s="359"/>
      <c r="C26" s="366"/>
      <c r="D26" s="366"/>
      <c r="E26" s="366"/>
      <c r="F26" s="366"/>
      <c r="G26" s="366"/>
      <c r="H26" s="366"/>
      <c r="I26" s="366"/>
      <c r="J26" s="366"/>
      <c r="K26" s="366"/>
    </row>
    <row r="27" spans="1:11" customFormat="1" ht="15.75">
      <c r="A27" s="366"/>
      <c r="B27" s="359"/>
      <c r="C27" s="366"/>
      <c r="D27" s="366"/>
      <c r="E27" s="366"/>
      <c r="F27" s="366"/>
      <c r="G27" s="366"/>
      <c r="H27" s="366"/>
      <c r="I27" s="366"/>
      <c r="J27" s="366"/>
      <c r="K27" s="366"/>
    </row>
    <row r="28" spans="1:11" customFormat="1" ht="15.75">
      <c r="A28" s="366"/>
      <c r="B28" s="367"/>
      <c r="C28" s="366"/>
      <c r="D28" s="358"/>
      <c r="E28" s="366"/>
      <c r="F28" s="366"/>
      <c r="G28" s="366"/>
      <c r="H28" s="366"/>
      <c r="I28" s="366"/>
      <c r="J28" s="366"/>
      <c r="K28" s="366"/>
    </row>
    <row r="29" spans="1:11" customFormat="1" ht="15.75">
      <c r="A29" s="366"/>
      <c r="B29" s="367"/>
      <c r="C29" s="366"/>
      <c r="D29" s="358"/>
      <c r="E29" s="366"/>
      <c r="F29" s="366"/>
      <c r="G29" s="366"/>
      <c r="H29" s="366"/>
      <c r="I29" s="366"/>
      <c r="J29" s="366"/>
      <c r="K29" s="366"/>
    </row>
    <row r="30" spans="1:11" customFormat="1" ht="15.75">
      <c r="A30" s="366"/>
      <c r="B30" s="367"/>
      <c r="C30" s="366"/>
      <c r="D30" s="358"/>
      <c r="E30" s="366"/>
      <c r="F30" s="366"/>
      <c r="G30" s="366"/>
      <c r="H30" s="366"/>
      <c r="I30" s="366"/>
      <c r="J30" s="366"/>
      <c r="K30" s="366"/>
    </row>
    <row r="31" spans="1:11" customFormat="1" ht="15.75">
      <c r="A31" s="366"/>
      <c r="B31" s="367"/>
      <c r="C31" s="366"/>
      <c r="D31" s="358"/>
      <c r="E31" s="366"/>
      <c r="F31" s="366"/>
      <c r="G31" s="366"/>
      <c r="H31" s="366"/>
      <c r="I31" s="366"/>
      <c r="J31" s="366"/>
      <c r="K31" s="366"/>
    </row>
  </sheetData>
  <mergeCells count="4">
    <mergeCell ref="A1:G1"/>
    <mergeCell ref="A2:G2"/>
    <mergeCell ref="D21:F21"/>
    <mergeCell ref="C22:F22"/>
  </mergeCells>
  <pageMargins left="0.51181102362204722" right="0.27559055118110237" top="0.35433070866141736" bottom="0.43307086614173229" header="0.31496062992125984" footer="0.31496062992125984"/>
  <pageSetup paperSize="9" scale="9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2"/>
  </sheetPr>
  <dimension ref="A1:K42"/>
  <sheetViews>
    <sheetView topLeftCell="A30" workbookViewId="0">
      <selection sqref="A1:K1"/>
    </sheetView>
  </sheetViews>
  <sheetFormatPr defaultRowHeight="14.25"/>
  <cols>
    <col min="1" max="1" width="5.7109375" style="6" bestFit="1" customWidth="1"/>
    <col min="2" max="2" width="16.42578125" style="348" customWidth="1"/>
    <col min="3" max="3" width="27.28515625" style="6" bestFit="1" customWidth="1"/>
    <col min="4" max="4" width="2.5703125" style="7" customWidth="1"/>
    <col min="5" max="5" width="3.5703125" style="7" customWidth="1"/>
    <col min="6" max="6" width="3.28515625" style="7" customWidth="1"/>
    <col min="7" max="7" width="8.140625" style="8" customWidth="1"/>
    <col min="8" max="8" width="10" style="8" customWidth="1"/>
    <col min="9" max="9" width="7.28515625" style="8" customWidth="1"/>
    <col min="10" max="10" width="9.28515625" style="8" bestFit="1" customWidth="1"/>
    <col min="11" max="11" width="5.42578125" style="7" bestFit="1" customWidth="1"/>
    <col min="12" max="16384" width="9.140625" style="6"/>
  </cols>
  <sheetData>
    <row r="1" spans="1:11" ht="64.5" customHeight="1">
      <c r="A1" s="400" t="str">
        <f>'COVER (2)'!C15</f>
        <v>Name of Work : Repairs and Reconstruction of the Protection Wall and Inlet/Outlet Wing Walls of the U.T. at Km 8.388 of Mulkalakalva Major of NSLBC, Block-IV, at Alagadapa (V), Miryalaguda (M), Nalgonda District.</v>
      </c>
      <c r="B1" s="401"/>
      <c r="C1" s="401"/>
      <c r="D1" s="401"/>
      <c r="E1" s="401"/>
      <c r="F1" s="401"/>
      <c r="G1" s="401"/>
      <c r="H1" s="401"/>
      <c r="I1" s="401"/>
      <c r="J1" s="401"/>
      <c r="K1" s="402"/>
    </row>
    <row r="2" spans="1:11" ht="30" customHeight="1">
      <c r="A2" s="83"/>
      <c r="B2" s="341"/>
      <c r="C2" s="403" t="s">
        <v>345</v>
      </c>
      <c r="D2" s="404"/>
      <c r="E2" s="404"/>
      <c r="F2" s="404"/>
      <c r="G2" s="404"/>
      <c r="H2" s="404"/>
      <c r="I2" s="404"/>
      <c r="J2" s="404"/>
      <c r="K2" s="405"/>
    </row>
    <row r="3" spans="1:11" ht="17.25" customHeight="1">
      <c r="A3" s="84" t="s">
        <v>143</v>
      </c>
      <c r="B3" s="342" t="s">
        <v>312</v>
      </c>
      <c r="C3" s="85" t="s">
        <v>58</v>
      </c>
      <c r="D3" s="406" t="s">
        <v>66</v>
      </c>
      <c r="E3" s="406"/>
      <c r="F3" s="406"/>
      <c r="G3" s="86" t="s">
        <v>67</v>
      </c>
      <c r="H3" s="86" t="s">
        <v>53</v>
      </c>
      <c r="I3" s="86" t="s">
        <v>65</v>
      </c>
      <c r="J3" s="86" t="s">
        <v>3</v>
      </c>
      <c r="K3" s="86" t="s">
        <v>2</v>
      </c>
    </row>
    <row r="4" spans="1:11" ht="55.5" customHeight="1">
      <c r="A4" s="139">
        <v>1</v>
      </c>
      <c r="B4" s="343" t="s">
        <v>292</v>
      </c>
      <c r="C4" s="407" t="s">
        <v>284</v>
      </c>
      <c r="D4" s="407"/>
      <c r="E4" s="407"/>
      <c r="F4" s="407"/>
      <c r="G4" s="407"/>
      <c r="H4" s="407"/>
      <c r="I4" s="407"/>
      <c r="J4" s="407"/>
      <c r="K4" s="407"/>
    </row>
    <row r="5" spans="1:11" ht="17.25" customHeight="1">
      <c r="A5" s="139"/>
      <c r="B5" s="344"/>
      <c r="C5" s="337" t="s">
        <v>285</v>
      </c>
      <c r="D5" s="141">
        <v>2</v>
      </c>
      <c r="E5" s="141" t="s">
        <v>280</v>
      </c>
      <c r="F5" s="141">
        <v>2</v>
      </c>
      <c r="G5" s="141">
        <v>3</v>
      </c>
      <c r="H5" s="141">
        <v>0.45</v>
      </c>
      <c r="I5" s="141">
        <v>0.9</v>
      </c>
      <c r="J5" s="339">
        <f>G5*F5*D5*H5*I5</f>
        <v>4.8600000000000003</v>
      </c>
      <c r="K5" s="140"/>
    </row>
    <row r="6" spans="1:11" ht="17.25" customHeight="1">
      <c r="A6" s="139"/>
      <c r="B6" s="344"/>
      <c r="C6" s="337" t="s">
        <v>286</v>
      </c>
      <c r="D6" s="141">
        <v>1</v>
      </c>
      <c r="E6" s="141" t="s">
        <v>280</v>
      </c>
      <c r="F6" s="141">
        <v>1</v>
      </c>
      <c r="G6" s="141">
        <v>17</v>
      </c>
      <c r="H6" s="141">
        <v>0.45</v>
      </c>
      <c r="I6" s="141">
        <v>1.2</v>
      </c>
      <c r="J6" s="339">
        <f>G6*F6*D6*H6*I6</f>
        <v>9.18</v>
      </c>
      <c r="K6" s="140"/>
    </row>
    <row r="7" spans="1:11" ht="17.25" customHeight="1">
      <c r="A7" s="139"/>
      <c r="B7" s="344"/>
      <c r="C7" s="337" t="s">
        <v>286</v>
      </c>
      <c r="D7" s="141">
        <v>1</v>
      </c>
      <c r="E7" s="141" t="s">
        <v>280</v>
      </c>
      <c r="F7" s="141">
        <v>1</v>
      </c>
      <c r="G7" s="141">
        <v>20</v>
      </c>
      <c r="H7" s="141">
        <v>0.45</v>
      </c>
      <c r="I7" s="141">
        <v>1.2</v>
      </c>
      <c r="J7" s="339">
        <f>G7*F7*D7*H7*I7</f>
        <v>10.799999999999999</v>
      </c>
      <c r="K7" s="140"/>
    </row>
    <row r="8" spans="1:11" ht="17.25" customHeight="1">
      <c r="A8" s="139"/>
      <c r="B8" s="344"/>
      <c r="C8" s="338"/>
      <c r="D8" s="141"/>
      <c r="E8" s="141"/>
      <c r="F8" s="141"/>
      <c r="G8" s="141"/>
      <c r="H8" s="408" t="s">
        <v>64</v>
      </c>
      <c r="I8" s="408"/>
      <c r="J8" s="339">
        <f>J5+J6+J7</f>
        <v>24.839999999999996</v>
      </c>
      <c r="K8" s="140" t="s">
        <v>63</v>
      </c>
    </row>
    <row r="9" spans="1:11" ht="21.75" customHeight="1">
      <c r="A9" s="87"/>
      <c r="B9" s="345"/>
      <c r="C9" s="101"/>
      <c r="D9" s="102"/>
      <c r="E9" s="102"/>
      <c r="F9" s="102"/>
      <c r="G9" s="102"/>
      <c r="H9" s="102"/>
      <c r="I9" s="89" t="s">
        <v>71</v>
      </c>
      <c r="J9" s="99">
        <f>ROUND(J8,2)</f>
        <v>24.84</v>
      </c>
      <c r="K9" s="86" t="s">
        <v>63</v>
      </c>
    </row>
    <row r="10" spans="1:11" ht="94.5" customHeight="1">
      <c r="A10" s="87">
        <v>2</v>
      </c>
      <c r="B10" s="345" t="s">
        <v>22</v>
      </c>
      <c r="C10" s="397" t="s">
        <v>74</v>
      </c>
      <c r="D10" s="398"/>
      <c r="E10" s="398"/>
      <c r="F10" s="398"/>
      <c r="G10" s="398"/>
      <c r="H10" s="398"/>
      <c r="I10" s="398"/>
      <c r="J10" s="398"/>
      <c r="K10" s="399"/>
    </row>
    <row r="11" spans="1:11" ht="31.5">
      <c r="A11" s="87"/>
      <c r="B11" s="344"/>
      <c r="C11" s="88" t="s">
        <v>263</v>
      </c>
      <c r="D11" s="88">
        <v>2</v>
      </c>
      <c r="E11" s="88" t="s">
        <v>61</v>
      </c>
      <c r="F11" s="88">
        <v>2</v>
      </c>
      <c r="G11" s="89">
        <v>5</v>
      </c>
      <c r="H11" s="90">
        <v>1.8</v>
      </c>
      <c r="I11" s="91">
        <v>1</v>
      </c>
      <c r="J11" s="89">
        <f>D11*F11*G11*H11*I11</f>
        <v>36</v>
      </c>
      <c r="K11" s="92"/>
    </row>
    <row r="12" spans="1:11" ht="31.5">
      <c r="A12" s="93"/>
      <c r="B12" s="344"/>
      <c r="C12" s="88" t="s">
        <v>241</v>
      </c>
      <c r="D12" s="88">
        <v>1</v>
      </c>
      <c r="E12" s="88" t="s">
        <v>61</v>
      </c>
      <c r="F12" s="88">
        <v>1</v>
      </c>
      <c r="G12" s="89">
        <v>37</v>
      </c>
      <c r="H12" s="90">
        <v>1.8</v>
      </c>
      <c r="I12" s="91">
        <v>1</v>
      </c>
      <c r="J12" s="89">
        <f t="shared" ref="J12" si="0">D12*F12*G12*H12*I12</f>
        <v>66.600000000000009</v>
      </c>
      <c r="K12" s="94"/>
    </row>
    <row r="13" spans="1:11" ht="17.25" customHeight="1">
      <c r="A13" s="87"/>
      <c r="B13" s="345"/>
      <c r="C13" s="95"/>
      <c r="D13" s="96"/>
      <c r="E13" s="96"/>
      <c r="F13" s="97"/>
      <c r="G13" s="98"/>
      <c r="H13" s="98"/>
      <c r="I13" s="99" t="s">
        <v>64</v>
      </c>
      <c r="J13" s="99">
        <f>SUM(J11:J12)</f>
        <v>102.60000000000001</v>
      </c>
      <c r="K13" s="100" t="s">
        <v>63</v>
      </c>
    </row>
    <row r="14" spans="1:11" ht="17.25" customHeight="1">
      <c r="A14" s="87"/>
      <c r="B14" s="345"/>
      <c r="C14" s="101"/>
      <c r="D14" s="102"/>
      <c r="E14" s="102"/>
      <c r="F14" s="102"/>
      <c r="G14" s="102"/>
      <c r="H14" s="102"/>
      <c r="I14" s="89" t="s">
        <v>71</v>
      </c>
      <c r="J14" s="99">
        <f>ROUND(J13,0)</f>
        <v>103</v>
      </c>
      <c r="K14" s="86" t="s">
        <v>63</v>
      </c>
    </row>
    <row r="15" spans="1:11" ht="105" customHeight="1">
      <c r="A15" s="334">
        <v>3</v>
      </c>
      <c r="B15" s="345" t="s">
        <v>245</v>
      </c>
      <c r="C15" s="397" t="s">
        <v>260</v>
      </c>
      <c r="D15" s="398"/>
      <c r="E15" s="398"/>
      <c r="F15" s="398"/>
      <c r="G15" s="398"/>
      <c r="H15" s="398"/>
      <c r="I15" s="398"/>
      <c r="J15" s="398"/>
      <c r="K15" s="399"/>
    </row>
    <row r="16" spans="1:11" ht="17.25" customHeight="1">
      <c r="A16" s="334"/>
      <c r="B16" s="342"/>
      <c r="C16" s="88" t="s">
        <v>230</v>
      </c>
      <c r="D16" s="88">
        <v>2</v>
      </c>
      <c r="E16" s="88" t="s">
        <v>61</v>
      </c>
      <c r="F16" s="88">
        <v>2</v>
      </c>
      <c r="G16" s="89">
        <v>5</v>
      </c>
      <c r="H16" s="90">
        <v>1.5</v>
      </c>
      <c r="I16" s="91">
        <v>0.3</v>
      </c>
      <c r="J16" s="89">
        <f>D16*F16*G16*H16*I16</f>
        <v>9</v>
      </c>
      <c r="K16" s="86"/>
    </row>
    <row r="17" spans="1:11" ht="17.25" customHeight="1">
      <c r="A17" s="334"/>
      <c r="B17" s="342"/>
      <c r="C17" s="103" t="s">
        <v>342</v>
      </c>
      <c r="D17" s="361">
        <v>1</v>
      </c>
      <c r="E17" s="88" t="s">
        <v>61</v>
      </c>
      <c r="F17" s="361">
        <v>2</v>
      </c>
      <c r="G17" s="362">
        <v>1.2</v>
      </c>
      <c r="H17" s="363">
        <v>1.5</v>
      </c>
      <c r="I17" s="364">
        <v>0.3</v>
      </c>
      <c r="J17" s="89">
        <f>D17*F17*G17*H17*I17</f>
        <v>1.0799999999999998</v>
      </c>
      <c r="K17" s="365"/>
    </row>
    <row r="18" spans="1:11" ht="17.25" customHeight="1">
      <c r="A18" s="334"/>
      <c r="B18" s="342"/>
      <c r="C18" s="103" t="s">
        <v>343</v>
      </c>
      <c r="D18" s="361">
        <v>1</v>
      </c>
      <c r="E18" s="88" t="s">
        <v>61</v>
      </c>
      <c r="F18" s="361">
        <v>2</v>
      </c>
      <c r="G18" s="362">
        <v>1.2</v>
      </c>
      <c r="H18" s="363">
        <v>0.3</v>
      </c>
      <c r="I18" s="364">
        <v>0.6</v>
      </c>
      <c r="J18" s="89">
        <f>D18*F18*G18*H18*I18</f>
        <v>0.432</v>
      </c>
      <c r="K18" s="365"/>
    </row>
    <row r="19" spans="1:11" ht="17.25" customHeight="1">
      <c r="A19" s="334"/>
      <c r="B19" s="342"/>
      <c r="C19" s="103" t="s">
        <v>341</v>
      </c>
      <c r="D19" s="88">
        <v>1</v>
      </c>
      <c r="E19" s="88" t="s">
        <v>61</v>
      </c>
      <c r="F19" s="88">
        <v>1</v>
      </c>
      <c r="G19" s="89">
        <v>37</v>
      </c>
      <c r="H19" s="90">
        <v>1.5</v>
      </c>
      <c r="I19" s="91">
        <v>0.3</v>
      </c>
      <c r="J19" s="89">
        <f t="shared" ref="J19" si="1">D19*F19*G19*H19*I19</f>
        <v>16.649999999999999</v>
      </c>
      <c r="K19" s="104"/>
    </row>
    <row r="20" spans="1:11" ht="17.25" customHeight="1">
      <c r="A20" s="334"/>
      <c r="B20" s="342"/>
      <c r="C20" s="101"/>
      <c r="D20" s="105"/>
      <c r="E20" s="105"/>
      <c r="F20" s="105"/>
      <c r="G20" s="105"/>
      <c r="H20" s="392" t="s">
        <v>64</v>
      </c>
      <c r="I20" s="393"/>
      <c r="J20" s="99">
        <f>SUM(J16:J19)</f>
        <v>27.161999999999999</v>
      </c>
      <c r="K20" s="86" t="s">
        <v>63</v>
      </c>
    </row>
    <row r="21" spans="1:11" ht="17.25" customHeight="1">
      <c r="A21" s="334"/>
      <c r="B21" s="342"/>
      <c r="C21" s="335"/>
      <c r="D21" s="336"/>
      <c r="E21" s="336"/>
      <c r="F21" s="336"/>
      <c r="G21" s="336"/>
      <c r="H21" s="336"/>
      <c r="I21" s="89" t="s">
        <v>71</v>
      </c>
      <c r="J21" s="99">
        <f>ROUND(J20,2)</f>
        <v>27.16</v>
      </c>
      <c r="K21" s="86" t="s">
        <v>63</v>
      </c>
    </row>
    <row r="22" spans="1:11" ht="57.75" customHeight="1">
      <c r="A22" s="334">
        <v>4</v>
      </c>
      <c r="B22" s="346" t="s">
        <v>268</v>
      </c>
      <c r="C22" s="410" t="s">
        <v>279</v>
      </c>
      <c r="D22" s="411"/>
      <c r="E22" s="411"/>
      <c r="F22" s="411"/>
      <c r="G22" s="411"/>
      <c r="H22" s="411"/>
      <c r="I22" s="411"/>
      <c r="J22" s="411"/>
      <c r="K22" s="412"/>
    </row>
    <row r="23" spans="1:11" ht="65.25" customHeight="1">
      <c r="A23" s="334"/>
      <c r="B23" s="347"/>
      <c r="C23" s="340" t="s">
        <v>313</v>
      </c>
      <c r="D23" s="141">
        <v>2</v>
      </c>
      <c r="E23" s="141" t="s">
        <v>280</v>
      </c>
      <c r="F23" s="141">
        <v>2</v>
      </c>
      <c r="G23" s="141">
        <v>2.5</v>
      </c>
      <c r="H23" s="142"/>
      <c r="I23" s="142"/>
      <c r="J23" s="339">
        <f>G23*F23*D23</f>
        <v>10</v>
      </c>
      <c r="K23" s="140"/>
    </row>
    <row r="24" spans="1:11" ht="17.25" customHeight="1">
      <c r="A24" s="334"/>
      <c r="B24" s="347"/>
      <c r="C24" s="338"/>
      <c r="D24" s="141"/>
      <c r="E24" s="141"/>
      <c r="F24" s="141"/>
      <c r="G24" s="141"/>
      <c r="H24" s="408" t="s">
        <v>64</v>
      </c>
      <c r="I24" s="408"/>
      <c r="J24" s="339">
        <f>J23</f>
        <v>10</v>
      </c>
      <c r="K24" s="140" t="s">
        <v>281</v>
      </c>
    </row>
    <row r="25" spans="1:11" ht="70.5" customHeight="1">
      <c r="A25" s="334">
        <v>5</v>
      </c>
      <c r="B25" s="342" t="s">
        <v>270</v>
      </c>
      <c r="C25" s="413" t="s">
        <v>314</v>
      </c>
      <c r="D25" s="414"/>
      <c r="E25" s="414"/>
      <c r="F25" s="414"/>
      <c r="G25" s="414"/>
      <c r="H25" s="414"/>
      <c r="I25" s="414"/>
      <c r="J25" s="414"/>
      <c r="K25" s="415"/>
    </row>
    <row r="26" spans="1:11" ht="35.25" customHeight="1">
      <c r="A26" s="334"/>
      <c r="B26" s="347"/>
      <c r="C26" s="340" t="s">
        <v>315</v>
      </c>
      <c r="D26" s="141">
        <v>2</v>
      </c>
      <c r="E26" s="141" t="s">
        <v>280</v>
      </c>
      <c r="F26" s="141">
        <v>2</v>
      </c>
      <c r="G26" s="141"/>
      <c r="H26" s="142"/>
      <c r="I26" s="142"/>
      <c r="J26" s="339">
        <f>F26*D26</f>
        <v>4</v>
      </c>
      <c r="K26" s="349"/>
    </row>
    <row r="27" spans="1:11" ht="17.25" customHeight="1">
      <c r="A27" s="334"/>
      <c r="B27" s="347"/>
      <c r="C27" s="338"/>
      <c r="D27" s="141"/>
      <c r="E27" s="141"/>
      <c r="F27" s="141"/>
      <c r="G27" s="141"/>
      <c r="H27" s="409" t="s">
        <v>64</v>
      </c>
      <c r="I27" s="409"/>
      <c r="J27" s="339">
        <f>J26</f>
        <v>4</v>
      </c>
      <c r="K27" s="350" t="s">
        <v>271</v>
      </c>
    </row>
    <row r="28" spans="1:11" ht="97.5" customHeight="1">
      <c r="A28" s="334">
        <v>6</v>
      </c>
      <c r="B28" s="347" t="s">
        <v>231</v>
      </c>
      <c r="C28" s="397" t="s">
        <v>166</v>
      </c>
      <c r="D28" s="398"/>
      <c r="E28" s="398"/>
      <c r="F28" s="398"/>
      <c r="G28" s="398"/>
      <c r="H28" s="398"/>
      <c r="I28" s="398"/>
      <c r="J28" s="398"/>
      <c r="K28" s="399"/>
    </row>
    <row r="29" spans="1:11" ht="31.5">
      <c r="A29" s="334"/>
      <c r="B29" s="342"/>
      <c r="C29" s="88" t="s">
        <v>230</v>
      </c>
      <c r="D29" s="88">
        <v>2</v>
      </c>
      <c r="E29" s="88" t="s">
        <v>61</v>
      </c>
      <c r="F29" s="88">
        <v>2</v>
      </c>
      <c r="G29" s="89">
        <v>5</v>
      </c>
      <c r="H29" s="90" t="s">
        <v>242</v>
      </c>
      <c r="I29" s="89">
        <v>1.8</v>
      </c>
      <c r="J29" s="89">
        <f>D29*F29*G29*(1.2+0.3)/2*I29</f>
        <v>27</v>
      </c>
      <c r="K29" s="86"/>
    </row>
    <row r="30" spans="1:11" ht="31.5">
      <c r="A30" s="334"/>
      <c r="B30" s="342"/>
      <c r="C30" s="103"/>
      <c r="D30" s="88">
        <v>1</v>
      </c>
      <c r="E30" s="88" t="s">
        <v>61</v>
      </c>
      <c r="F30" s="88">
        <v>1</v>
      </c>
      <c r="G30" s="89">
        <v>37</v>
      </c>
      <c r="H30" s="90" t="s">
        <v>242</v>
      </c>
      <c r="I30" s="89">
        <v>1.8</v>
      </c>
      <c r="J30" s="89">
        <f>D30*F30*G30*(1.2+0.3)/2*I30</f>
        <v>49.95</v>
      </c>
      <c r="K30" s="104"/>
    </row>
    <row r="31" spans="1:11" ht="15.75">
      <c r="A31" s="334"/>
      <c r="B31" s="342"/>
      <c r="C31" s="101"/>
      <c r="D31" s="106"/>
      <c r="E31" s="106"/>
      <c r="F31" s="106"/>
      <c r="G31" s="106"/>
      <c r="H31" s="392" t="s">
        <v>64</v>
      </c>
      <c r="I31" s="393"/>
      <c r="J31" s="99">
        <f>SUM(J29:J30)</f>
        <v>76.95</v>
      </c>
      <c r="K31" s="86" t="s">
        <v>0</v>
      </c>
    </row>
    <row r="32" spans="1:11" ht="116.25" customHeight="1">
      <c r="A32" s="334">
        <v>7</v>
      </c>
      <c r="B32" s="342" t="s">
        <v>307</v>
      </c>
      <c r="C32" s="394" t="s">
        <v>261</v>
      </c>
      <c r="D32" s="395"/>
      <c r="E32" s="395"/>
      <c r="F32" s="395"/>
      <c r="G32" s="395"/>
      <c r="H32" s="395"/>
      <c r="I32" s="395"/>
      <c r="J32" s="395"/>
      <c r="K32" s="396"/>
    </row>
    <row r="33" spans="1:11" ht="31.5">
      <c r="A33" s="334"/>
      <c r="B33" s="342"/>
      <c r="C33" s="88"/>
      <c r="D33" s="88">
        <v>1</v>
      </c>
      <c r="E33" s="88" t="s">
        <v>61</v>
      </c>
      <c r="F33" s="88">
        <v>2</v>
      </c>
      <c r="G33" s="89">
        <v>5</v>
      </c>
      <c r="H33" s="90" t="s">
        <v>243</v>
      </c>
      <c r="I33" s="89">
        <v>1.2</v>
      </c>
      <c r="J33" s="89">
        <f>D33*F33*G33*(1.2+1.5)/2*I33</f>
        <v>16.2</v>
      </c>
      <c r="K33" s="86"/>
    </row>
    <row r="34" spans="1:11" ht="31.5">
      <c r="A34" s="334"/>
      <c r="B34" s="342"/>
      <c r="C34" s="107"/>
      <c r="D34" s="88">
        <v>1</v>
      </c>
      <c r="E34" s="88" t="s">
        <v>61</v>
      </c>
      <c r="F34" s="88">
        <v>1</v>
      </c>
      <c r="G34" s="89">
        <v>37</v>
      </c>
      <c r="H34" s="90" t="s">
        <v>244</v>
      </c>
      <c r="I34" s="89">
        <v>1.2</v>
      </c>
      <c r="J34" s="89">
        <f>D34*F34*G34*(1.2+1.5)/2*I34</f>
        <v>59.94</v>
      </c>
      <c r="K34" s="104"/>
    </row>
    <row r="35" spans="1:11" ht="17.25" customHeight="1">
      <c r="A35" s="334"/>
      <c r="B35" s="342"/>
      <c r="C35" s="101"/>
      <c r="D35" s="106"/>
      <c r="E35" s="106"/>
      <c r="F35" s="106"/>
      <c r="G35" s="106"/>
      <c r="H35" s="392" t="s">
        <v>64</v>
      </c>
      <c r="I35" s="393"/>
      <c r="J35" s="99">
        <f>SUM(J33:J34)</f>
        <v>76.14</v>
      </c>
      <c r="K35" s="86" t="s">
        <v>63</v>
      </c>
    </row>
    <row r="39" spans="1:11" customFormat="1" ht="15.75">
      <c r="A39" s="366"/>
      <c r="B39" s="359"/>
      <c r="C39" s="366"/>
      <c r="D39" s="366"/>
      <c r="E39" s="366"/>
      <c r="F39" s="366"/>
      <c r="G39" s="366"/>
      <c r="H39" s="366"/>
      <c r="I39" s="366"/>
      <c r="J39" s="366"/>
      <c r="K39" s="366"/>
    </row>
    <row r="40" spans="1:11" customFormat="1" ht="15.75">
      <c r="A40" s="366"/>
      <c r="B40" s="367"/>
      <c r="C40" s="366"/>
      <c r="D40" s="358"/>
      <c r="E40" s="366"/>
      <c r="F40" s="366"/>
      <c r="G40" s="366"/>
      <c r="H40" s="366"/>
      <c r="I40" s="366"/>
      <c r="J40" s="366"/>
      <c r="K40" s="366"/>
    </row>
    <row r="41" spans="1:11" customFormat="1" ht="15.75">
      <c r="A41" s="366"/>
      <c r="B41" s="367"/>
      <c r="C41" s="366"/>
      <c r="D41" s="358"/>
      <c r="E41" s="366"/>
      <c r="F41" s="366"/>
      <c r="G41" s="366"/>
      <c r="H41" s="366"/>
      <c r="I41" s="366"/>
      <c r="J41" s="366"/>
      <c r="K41" s="366"/>
    </row>
    <row r="42" spans="1:11" customFormat="1" ht="15.75">
      <c r="A42" s="366"/>
      <c r="B42" s="367"/>
      <c r="C42" s="366"/>
      <c r="D42" s="358"/>
      <c r="E42" s="366"/>
      <c r="F42" s="366"/>
      <c r="G42" s="366"/>
      <c r="H42" s="366"/>
      <c r="I42" s="366"/>
      <c r="J42" s="366"/>
      <c r="K42" s="366"/>
    </row>
  </sheetData>
  <mergeCells count="16">
    <mergeCell ref="H31:I31"/>
    <mergeCell ref="C32:K32"/>
    <mergeCell ref="H35:I35"/>
    <mergeCell ref="C15:K15"/>
    <mergeCell ref="A1:K1"/>
    <mergeCell ref="C2:K2"/>
    <mergeCell ref="D3:F3"/>
    <mergeCell ref="H20:I20"/>
    <mergeCell ref="C4:K4"/>
    <mergeCell ref="H8:I8"/>
    <mergeCell ref="C10:K10"/>
    <mergeCell ref="H24:I24"/>
    <mergeCell ref="H27:I27"/>
    <mergeCell ref="C22:K22"/>
    <mergeCell ref="C25:K25"/>
    <mergeCell ref="C28:K28"/>
  </mergeCells>
  <printOptions horizontalCentered="1"/>
  <pageMargins left="0.55118110236220474" right="0.11811023622047245" top="0.43307086614173229" bottom="0.35433070866141736" header="0.31496062992125984" footer="0.31496062992125984"/>
  <pageSetup paperSize="9" scale="95" orientation="portrait" r:id="rId1"/>
  <headerFooter alignWithMargins="0">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33"/>
  </sheetPr>
  <dimension ref="A1:K306"/>
  <sheetViews>
    <sheetView tabSelected="1" view="pageBreakPreview" topLeftCell="A135" zoomScaleSheetLayoutView="100" workbookViewId="0">
      <selection activeCell="B124" sqref="B124"/>
    </sheetView>
  </sheetViews>
  <sheetFormatPr defaultRowHeight="15"/>
  <cols>
    <col min="1" max="1" width="7.42578125" style="14" bestFit="1" customWidth="1"/>
    <col min="2" max="2" width="18.140625" style="16" customWidth="1"/>
    <col min="3" max="3" width="13.5703125" style="17" customWidth="1"/>
    <col min="4" max="4" width="29.5703125" style="173" customWidth="1"/>
    <col min="5" max="5" width="10" style="18" customWidth="1"/>
    <col min="6" max="6" width="15" style="18" customWidth="1"/>
    <col min="7" max="7" width="11.85546875" style="18" customWidth="1"/>
    <col min="8" max="8" width="10.28515625" style="14" bestFit="1" customWidth="1"/>
    <col min="9" max="16384" width="9.140625" style="14"/>
  </cols>
  <sheetData>
    <row r="1" spans="1:8" ht="55.5" customHeight="1">
      <c r="A1" s="426" t="str">
        <f>Detail!A1:K1</f>
        <v>Name of Work : Repairs and Reconstruction of the Protection Wall and Inlet/Outlet Wing Walls of the U.T. at Km 8.388 of Mulkalakalva Major of NSLBC, Block-IV, at Alagadapa (V), Miryalaguda (M), Nalgonda District.</v>
      </c>
      <c r="B1" s="426"/>
      <c r="C1" s="426"/>
      <c r="D1" s="426"/>
      <c r="E1" s="426"/>
      <c r="F1" s="426"/>
      <c r="G1" s="426"/>
      <c r="H1" s="426"/>
    </row>
    <row r="2" spans="1:8" s="15" customFormat="1" ht="22.5" customHeight="1">
      <c r="A2" s="427" t="s">
        <v>82</v>
      </c>
      <c r="B2" s="427"/>
      <c r="C2" s="427"/>
      <c r="D2" s="427"/>
      <c r="E2" s="427"/>
      <c r="F2" s="427"/>
      <c r="G2" s="427"/>
      <c r="H2" s="427"/>
    </row>
    <row r="3" spans="1:8" s="15" customFormat="1" ht="16.5" customHeight="1">
      <c r="A3" s="427" t="s">
        <v>262</v>
      </c>
      <c r="B3" s="427"/>
      <c r="C3" s="427"/>
      <c r="D3" s="427"/>
      <c r="E3" s="427"/>
      <c r="F3" s="427"/>
      <c r="G3" s="427"/>
      <c r="H3" s="427"/>
    </row>
    <row r="4" spans="1:8" s="15" customFormat="1" ht="16.5" customHeight="1">
      <c r="A4" s="143"/>
      <c r="B4" s="143"/>
      <c r="C4" s="143"/>
      <c r="D4" s="143"/>
      <c r="E4" s="143"/>
      <c r="F4" s="143"/>
      <c r="G4" s="143"/>
      <c r="H4" s="180"/>
    </row>
    <row r="5" spans="1:8" s="15" customFormat="1" ht="48.75" customHeight="1">
      <c r="A5" s="181">
        <v>1</v>
      </c>
      <c r="B5" s="181" t="s">
        <v>292</v>
      </c>
      <c r="C5" s="416" t="s">
        <v>283</v>
      </c>
      <c r="D5" s="416"/>
      <c r="E5" s="416"/>
      <c r="F5" s="416"/>
      <c r="G5" s="416"/>
      <c r="H5" s="416"/>
    </row>
    <row r="6" spans="1:8" s="15" customFormat="1" ht="28.5">
      <c r="A6" s="181"/>
      <c r="B6" s="181" t="s">
        <v>287</v>
      </c>
      <c r="C6" s="428" t="s">
        <v>6</v>
      </c>
      <c r="D6" s="428"/>
      <c r="E6" s="181" t="s">
        <v>2</v>
      </c>
      <c r="F6" s="181" t="s">
        <v>3</v>
      </c>
      <c r="G6" s="181" t="s">
        <v>288</v>
      </c>
      <c r="H6" s="181" t="s">
        <v>289</v>
      </c>
    </row>
    <row r="7" spans="1:8" s="15" customFormat="1" ht="16.5" customHeight="1">
      <c r="A7" s="181"/>
      <c r="B7" s="183"/>
      <c r="C7" s="416" t="s">
        <v>283</v>
      </c>
      <c r="D7" s="416"/>
      <c r="E7" s="183" t="s">
        <v>63</v>
      </c>
      <c r="F7" s="183">
        <v>1</v>
      </c>
      <c r="G7" s="183">
        <v>674</v>
      </c>
      <c r="H7" s="183">
        <f>G7</f>
        <v>674</v>
      </c>
    </row>
    <row r="8" spans="1:8" s="15" customFormat="1" ht="16.5" customHeight="1">
      <c r="A8" s="181"/>
      <c r="B8" s="183"/>
      <c r="C8" s="416" t="s">
        <v>290</v>
      </c>
      <c r="D8" s="416"/>
      <c r="E8" s="416"/>
      <c r="F8" s="184"/>
      <c r="G8" s="184"/>
      <c r="H8" s="185">
        <f>13.615%*H7</f>
        <v>91.76509999999999</v>
      </c>
    </row>
    <row r="9" spans="1:8" s="15" customFormat="1" ht="16.5" customHeight="1">
      <c r="A9" s="181"/>
      <c r="B9" s="183"/>
      <c r="C9" s="416" t="s">
        <v>291</v>
      </c>
      <c r="D9" s="416"/>
      <c r="E9" s="182"/>
      <c r="F9" s="184"/>
      <c r="G9" s="184"/>
      <c r="H9" s="185">
        <f>SUM(H7:H8)</f>
        <v>765.76509999999996</v>
      </c>
    </row>
    <row r="10" spans="1:8" s="15" customFormat="1" ht="16.5" customHeight="1">
      <c r="A10" s="181"/>
      <c r="B10" s="183"/>
      <c r="C10" s="416" t="s">
        <v>293</v>
      </c>
      <c r="D10" s="416"/>
      <c r="E10" s="182"/>
      <c r="F10" s="184"/>
      <c r="G10" s="184"/>
      <c r="H10" s="186">
        <f>ROUND(H9,1)</f>
        <v>765.8</v>
      </c>
    </row>
    <row r="11" spans="1:8" s="15" customFormat="1" ht="16.5" customHeight="1">
      <c r="A11" s="181"/>
      <c r="B11" s="183"/>
      <c r="C11" s="416"/>
      <c r="D11" s="416"/>
      <c r="E11" s="416"/>
      <c r="F11" s="416"/>
      <c r="G11" s="416"/>
      <c r="H11" s="416"/>
    </row>
    <row r="12" spans="1:8" s="15" customFormat="1" ht="66" customHeight="1">
      <c r="A12" s="181">
        <v>2</v>
      </c>
      <c r="B12" s="181" t="s">
        <v>22</v>
      </c>
      <c r="C12" s="416" t="s">
        <v>294</v>
      </c>
      <c r="D12" s="416"/>
      <c r="E12" s="416"/>
      <c r="F12" s="416"/>
      <c r="G12" s="416"/>
      <c r="H12" s="416"/>
    </row>
    <row r="13" spans="1:8" s="15" customFormat="1" ht="22.5">
      <c r="A13" s="143"/>
      <c r="B13" s="181" t="s">
        <v>287</v>
      </c>
      <c r="C13" s="131"/>
      <c r="D13" s="131" t="s">
        <v>23</v>
      </c>
      <c r="E13" s="192"/>
      <c r="F13" s="131" t="s">
        <v>296</v>
      </c>
      <c r="G13" s="193">
        <v>240</v>
      </c>
      <c r="H13" s="194" t="s">
        <v>0</v>
      </c>
    </row>
    <row r="14" spans="1:8" s="15" customFormat="1" ht="16.5" customHeight="1">
      <c r="A14" s="143"/>
      <c r="B14" s="143"/>
      <c r="C14" s="143"/>
      <c r="D14" s="143"/>
      <c r="E14" s="143"/>
      <c r="F14" s="143"/>
      <c r="G14" s="143"/>
      <c r="H14" s="187"/>
    </row>
    <row r="15" spans="1:8" s="15" customFormat="1" ht="16.5" customHeight="1">
      <c r="A15" s="143"/>
      <c r="B15" s="143"/>
      <c r="C15" s="144" t="s">
        <v>72</v>
      </c>
      <c r="D15" s="168"/>
      <c r="E15" s="175"/>
      <c r="F15" s="176"/>
      <c r="G15" s="176"/>
      <c r="H15" s="176">
        <v>0</v>
      </c>
    </row>
    <row r="16" spans="1:8" s="15" customFormat="1" ht="16.5" customHeight="1">
      <c r="A16" s="143"/>
      <c r="B16" s="143"/>
      <c r="C16" s="145"/>
      <c r="D16" s="145"/>
      <c r="E16" s="177"/>
      <c r="F16" s="151"/>
      <c r="G16" s="178"/>
      <c r="H16" s="151"/>
    </row>
    <row r="17" spans="1:8" s="15" customFormat="1" ht="16.5" customHeight="1">
      <c r="A17" s="143"/>
      <c r="B17" s="143"/>
      <c r="C17" s="148" t="s">
        <v>68</v>
      </c>
      <c r="D17" s="169" t="s">
        <v>6</v>
      </c>
      <c r="E17" s="154" t="s">
        <v>2</v>
      </c>
      <c r="F17" s="154" t="s">
        <v>3</v>
      </c>
      <c r="G17" s="154" t="s">
        <v>59</v>
      </c>
      <c r="H17" s="154" t="s">
        <v>60</v>
      </c>
    </row>
    <row r="18" spans="1:8" s="15" customFormat="1" ht="16.5" customHeight="1">
      <c r="A18" s="143"/>
      <c r="B18" s="143"/>
      <c r="C18" s="148"/>
      <c r="D18" s="169"/>
      <c r="E18" s="154"/>
      <c r="F18" s="154"/>
      <c r="G18" s="154" t="s">
        <v>4</v>
      </c>
      <c r="H18" s="154" t="s">
        <v>4</v>
      </c>
    </row>
    <row r="19" spans="1:8" s="15" customFormat="1" ht="16.5" customHeight="1">
      <c r="A19" s="143"/>
      <c r="B19" s="143"/>
      <c r="C19" s="154">
        <v>1</v>
      </c>
      <c r="D19" s="169" t="s">
        <v>164</v>
      </c>
      <c r="E19" s="154"/>
      <c r="F19" s="154">
        <v>0</v>
      </c>
      <c r="G19" s="154">
        <v>0</v>
      </c>
      <c r="H19" s="154">
        <v>0</v>
      </c>
    </row>
    <row r="20" spans="1:8" s="15" customFormat="1" ht="16.5" customHeight="1">
      <c r="A20" s="143"/>
      <c r="B20" s="143"/>
      <c r="C20" s="149" t="s">
        <v>297</v>
      </c>
      <c r="D20" s="150"/>
      <c r="E20" s="177"/>
      <c r="F20" s="151"/>
      <c r="G20" s="151"/>
      <c r="H20" s="151"/>
    </row>
    <row r="21" spans="1:8" s="15" customFormat="1" ht="16.5" customHeight="1">
      <c r="A21" s="143"/>
      <c r="B21" s="143"/>
      <c r="C21" s="148" t="s">
        <v>68</v>
      </c>
      <c r="D21" s="169" t="s">
        <v>6</v>
      </c>
      <c r="E21" s="154" t="s">
        <v>2</v>
      </c>
      <c r="F21" s="154" t="s">
        <v>3</v>
      </c>
      <c r="G21" s="154" t="s">
        <v>59</v>
      </c>
      <c r="H21" s="154" t="s">
        <v>60</v>
      </c>
    </row>
    <row r="22" spans="1:8" s="15" customFormat="1" ht="16.5" customHeight="1">
      <c r="A22" s="143"/>
      <c r="B22" s="143"/>
      <c r="C22" s="154"/>
      <c r="D22" s="169"/>
      <c r="E22" s="154"/>
      <c r="F22" s="154"/>
      <c r="G22" s="154" t="s">
        <v>4</v>
      </c>
      <c r="H22" s="154" t="s">
        <v>4</v>
      </c>
    </row>
    <row r="23" spans="1:8" s="15" customFormat="1" ht="30">
      <c r="A23" s="143"/>
      <c r="B23" s="143"/>
      <c r="C23" s="177">
        <v>1</v>
      </c>
      <c r="D23" s="150" t="s">
        <v>42</v>
      </c>
      <c r="E23" s="177" t="s">
        <v>43</v>
      </c>
      <c r="F23" s="151">
        <v>6</v>
      </c>
      <c r="G23" s="151">
        <v>1964.8</v>
      </c>
      <c r="H23" s="151">
        <f>F23*G23</f>
        <v>11788.8</v>
      </c>
    </row>
    <row r="24" spans="1:8" s="15" customFormat="1" ht="22.5">
      <c r="A24" s="143"/>
      <c r="B24" s="143"/>
      <c r="C24" s="177"/>
      <c r="D24" s="150" t="s">
        <v>44</v>
      </c>
      <c r="E24" s="177" t="s">
        <v>43</v>
      </c>
      <c r="F24" s="151">
        <v>6</v>
      </c>
      <c r="G24" s="151">
        <v>1570.3</v>
      </c>
      <c r="H24" s="151">
        <f>F24*G24</f>
        <v>9421.7999999999993</v>
      </c>
    </row>
    <row r="25" spans="1:8" s="15" customFormat="1" ht="22.5">
      <c r="A25" s="143"/>
      <c r="B25" s="143"/>
      <c r="C25" s="152"/>
      <c r="D25" s="150" t="s">
        <v>45</v>
      </c>
      <c r="E25" s="177"/>
      <c r="F25" s="151"/>
      <c r="G25" s="151"/>
      <c r="H25" s="153">
        <f>SUM(H23:H24)</f>
        <v>21210.6</v>
      </c>
    </row>
    <row r="26" spans="1:8" s="15" customFormat="1" ht="16.5" customHeight="1">
      <c r="A26" s="143"/>
      <c r="B26" s="143"/>
      <c r="C26" s="149" t="s">
        <v>298</v>
      </c>
      <c r="D26" s="150"/>
      <c r="E26" s="177"/>
      <c r="F26" s="151"/>
      <c r="G26" s="151"/>
      <c r="H26" s="151"/>
    </row>
    <row r="27" spans="1:8" s="15" customFormat="1" ht="16.5" customHeight="1">
      <c r="A27" s="143"/>
      <c r="B27" s="143"/>
      <c r="C27" s="148" t="s">
        <v>68</v>
      </c>
      <c r="D27" s="169" t="s">
        <v>6</v>
      </c>
      <c r="E27" s="154" t="s">
        <v>2</v>
      </c>
      <c r="F27" s="154" t="s">
        <v>3</v>
      </c>
      <c r="G27" s="154" t="s">
        <v>59</v>
      </c>
      <c r="H27" s="154" t="s">
        <v>60</v>
      </c>
    </row>
    <row r="28" spans="1:8" s="15" customFormat="1" ht="16.5" customHeight="1">
      <c r="A28" s="143"/>
      <c r="B28" s="143"/>
      <c r="C28" s="148"/>
      <c r="D28" s="169"/>
      <c r="E28" s="154"/>
      <c r="F28" s="154"/>
      <c r="G28" s="154" t="s">
        <v>4</v>
      </c>
      <c r="H28" s="154" t="s">
        <v>4</v>
      </c>
    </row>
    <row r="29" spans="1:8" s="15" customFormat="1" ht="22.5">
      <c r="A29" s="143"/>
      <c r="B29" s="143"/>
      <c r="C29" s="177">
        <v>1</v>
      </c>
      <c r="D29" s="150" t="s">
        <v>7</v>
      </c>
      <c r="E29" s="177" t="s">
        <v>46</v>
      </c>
      <c r="F29" s="151">
        <v>0.32</v>
      </c>
      <c r="G29" s="151">
        <v>845</v>
      </c>
      <c r="H29" s="151">
        <f>F29*G29</f>
        <v>270.39999999999998</v>
      </c>
    </row>
    <row r="30" spans="1:8" s="15" customFormat="1" ht="22.5">
      <c r="A30" s="143"/>
      <c r="B30" s="143"/>
      <c r="C30" s="177">
        <v>2</v>
      </c>
      <c r="D30" s="150" t="s">
        <v>21</v>
      </c>
      <c r="E30" s="177" t="s">
        <v>46</v>
      </c>
      <c r="F30" s="151">
        <v>8</v>
      </c>
      <c r="G30" s="151">
        <v>635</v>
      </c>
      <c r="H30" s="151">
        <f>F30*G30</f>
        <v>5080</v>
      </c>
    </row>
    <row r="31" spans="1:8" s="15" customFormat="1" ht="22.5">
      <c r="A31" s="143"/>
      <c r="B31" s="143"/>
      <c r="C31" s="177">
        <v>3</v>
      </c>
      <c r="D31" s="150" t="s">
        <v>47</v>
      </c>
      <c r="E31" s="177" t="s">
        <v>43</v>
      </c>
      <c r="F31" s="151">
        <v>6</v>
      </c>
      <c r="G31" s="151">
        <v>392.6</v>
      </c>
      <c r="H31" s="151">
        <f>F31*G31</f>
        <v>2355.6000000000004</v>
      </c>
    </row>
    <row r="32" spans="1:8" s="15" customFormat="1" ht="22.5">
      <c r="A32" s="143"/>
      <c r="B32" s="143"/>
      <c r="C32" s="146"/>
      <c r="D32" s="150" t="s">
        <v>45</v>
      </c>
      <c r="E32" s="177"/>
      <c r="F32" s="151"/>
      <c r="G32" s="178"/>
      <c r="H32" s="153">
        <f>SUM(H29:H31)</f>
        <v>7706</v>
      </c>
    </row>
    <row r="33" spans="1:8" s="15" customFormat="1" ht="22.5">
      <c r="A33" s="143"/>
      <c r="B33" s="143"/>
      <c r="C33" s="155"/>
      <c r="D33" s="164" t="s">
        <v>10</v>
      </c>
      <c r="E33" s="154"/>
      <c r="F33" s="154"/>
      <c r="G33" s="166">
        <f>H32/G13</f>
        <v>32.108333333333334</v>
      </c>
      <c r="H33" s="154"/>
    </row>
    <row r="34" spans="1:8" s="15" customFormat="1" ht="33.75" customHeight="1">
      <c r="A34" s="143"/>
      <c r="B34" s="143"/>
      <c r="C34" s="155"/>
      <c r="D34" s="421" t="s">
        <v>11</v>
      </c>
      <c r="E34" s="422"/>
      <c r="F34" s="179">
        <v>0.13614999999999999</v>
      </c>
      <c r="G34" s="166">
        <f>G33*F34</f>
        <v>4.3715495833333335</v>
      </c>
      <c r="H34" s="157"/>
    </row>
    <row r="35" spans="1:8" s="15" customFormat="1" ht="16.5" customHeight="1">
      <c r="A35" s="143"/>
      <c r="B35" s="143"/>
      <c r="C35" s="420" t="s">
        <v>12</v>
      </c>
      <c r="D35" s="420"/>
      <c r="E35" s="420"/>
      <c r="F35" s="420"/>
      <c r="G35" s="166">
        <f>SUM(G33:G34)</f>
        <v>36.479882916666668</v>
      </c>
      <c r="H35" s="157"/>
    </row>
    <row r="36" spans="1:8" s="15" customFormat="1" ht="16.5" customHeight="1">
      <c r="A36" s="143"/>
      <c r="B36" s="143"/>
      <c r="C36" s="155"/>
      <c r="D36" s="152"/>
      <c r="E36" s="150"/>
      <c r="F36" s="146"/>
      <c r="G36" s="147"/>
      <c r="H36" s="147"/>
    </row>
    <row r="37" spans="1:8" s="15" customFormat="1" ht="16.5" customHeight="1">
      <c r="A37" s="143"/>
      <c r="B37" s="143"/>
      <c r="C37" s="155"/>
      <c r="D37" s="170" t="s">
        <v>48</v>
      </c>
      <c r="E37" s="158"/>
      <c r="F37" s="146"/>
      <c r="G37" s="147"/>
      <c r="H37" s="147"/>
    </row>
    <row r="38" spans="1:8" s="15" customFormat="1" ht="16.5" customHeight="1">
      <c r="A38" s="143"/>
      <c r="B38" s="143"/>
      <c r="C38" s="155"/>
      <c r="D38" s="171" t="s">
        <v>49</v>
      </c>
      <c r="E38" s="159"/>
      <c r="F38" s="160"/>
      <c r="G38" s="151" t="s">
        <v>19</v>
      </c>
      <c r="H38" s="151">
        <v>0</v>
      </c>
    </row>
    <row r="39" spans="1:8" s="15" customFormat="1" ht="16.5" customHeight="1">
      <c r="A39" s="143"/>
      <c r="B39" s="143"/>
      <c r="C39" s="155"/>
      <c r="D39" s="171" t="s">
        <v>50</v>
      </c>
      <c r="E39" s="159"/>
      <c r="F39" s="160"/>
      <c r="G39" s="151" t="s">
        <v>19</v>
      </c>
      <c r="H39" s="151">
        <f>H25</f>
        <v>21210.6</v>
      </c>
    </row>
    <row r="40" spans="1:8" s="15" customFormat="1" ht="16.5" customHeight="1">
      <c r="A40" s="143"/>
      <c r="B40" s="143"/>
      <c r="C40" s="155"/>
      <c r="D40" s="171" t="s">
        <v>51</v>
      </c>
      <c r="E40" s="159"/>
      <c r="F40" s="160"/>
      <c r="G40" s="151" t="s">
        <v>19</v>
      </c>
      <c r="H40" s="151">
        <f>H32</f>
        <v>7706</v>
      </c>
    </row>
    <row r="41" spans="1:8" s="15" customFormat="1" ht="16.5" customHeight="1">
      <c r="A41" s="143"/>
      <c r="B41" s="143"/>
      <c r="C41" s="155"/>
      <c r="D41" s="171" t="s">
        <v>52</v>
      </c>
      <c r="E41" s="159"/>
      <c r="F41" s="160"/>
      <c r="G41" s="151" t="s">
        <v>19</v>
      </c>
      <c r="H41" s="151">
        <f>SUM(H38:H40)</f>
        <v>28916.6</v>
      </c>
    </row>
    <row r="42" spans="1:8" s="15" customFormat="1" ht="28.5">
      <c r="A42" s="143"/>
      <c r="B42" s="143"/>
      <c r="C42" s="161"/>
      <c r="D42" s="162" t="s">
        <v>13</v>
      </c>
      <c r="E42" s="163">
        <v>0.13614999999999999</v>
      </c>
      <c r="F42" s="164"/>
      <c r="G42" s="154" t="s">
        <v>5</v>
      </c>
      <c r="H42" s="165">
        <f>ROUND(H41*E42,2)</f>
        <v>3937</v>
      </c>
    </row>
    <row r="43" spans="1:8" s="15" customFormat="1" ht="16.5" customHeight="1">
      <c r="A43" s="143"/>
      <c r="B43" s="143"/>
      <c r="C43" s="155"/>
      <c r="D43" s="162" t="s">
        <v>14</v>
      </c>
      <c r="E43" s="166">
        <v>240</v>
      </c>
      <c r="F43" s="167" t="s">
        <v>0</v>
      </c>
      <c r="G43" s="154" t="s">
        <v>5</v>
      </c>
      <c r="H43" s="153">
        <f>H42+H41</f>
        <v>32853.599999999999</v>
      </c>
    </row>
    <row r="44" spans="1:8" s="15" customFormat="1" ht="16.5" customHeight="1">
      <c r="A44" s="143"/>
      <c r="B44" s="143"/>
      <c r="C44" s="155"/>
      <c r="D44" s="162" t="s">
        <v>102</v>
      </c>
      <c r="E44" s="156" t="s">
        <v>0</v>
      </c>
      <c r="F44" s="164"/>
      <c r="G44" s="154" t="s">
        <v>15</v>
      </c>
      <c r="H44" s="166">
        <f>H43/E43</f>
        <v>136.88999999999999</v>
      </c>
    </row>
    <row r="45" spans="1:8" s="15" customFormat="1" ht="16.5" customHeight="1">
      <c r="A45" s="143"/>
      <c r="B45" s="143"/>
      <c r="C45" s="161"/>
      <c r="D45" s="172"/>
      <c r="E45" s="159"/>
      <c r="F45" s="160"/>
      <c r="G45" s="190" t="s">
        <v>256</v>
      </c>
      <c r="H45" s="191">
        <f>ROUND(H44,1)</f>
        <v>136.9</v>
      </c>
    </row>
    <row r="46" spans="1:8" s="15" customFormat="1" ht="16.5" customHeight="1">
      <c r="A46" s="143"/>
      <c r="B46" s="143"/>
      <c r="C46" s="423"/>
      <c r="D46" s="424"/>
      <c r="E46" s="424"/>
      <c r="F46" s="424"/>
      <c r="G46" s="424"/>
      <c r="H46" s="425"/>
    </row>
    <row r="47" spans="1:8" s="15" customFormat="1" ht="94.5" customHeight="1">
      <c r="A47" s="181">
        <v>3</v>
      </c>
      <c r="B47" s="181" t="s">
        <v>103</v>
      </c>
      <c r="C47" s="416" t="s">
        <v>295</v>
      </c>
      <c r="D47" s="416"/>
      <c r="E47" s="416"/>
      <c r="F47" s="416"/>
      <c r="G47" s="416"/>
      <c r="H47" s="416"/>
    </row>
    <row r="48" spans="1:8" s="15" customFormat="1" ht="16.5" customHeight="1">
      <c r="A48" s="195"/>
      <c r="B48" s="196" t="s">
        <v>287</v>
      </c>
      <c r="C48" s="197"/>
      <c r="D48" s="198" t="s">
        <v>23</v>
      </c>
      <c r="E48" s="199"/>
      <c r="F48" s="197" t="s">
        <v>24</v>
      </c>
      <c r="G48" s="200">
        <v>15.38</v>
      </c>
      <c r="H48" s="132" t="s">
        <v>63</v>
      </c>
    </row>
    <row r="49" spans="1:8" s="15" customFormat="1" ht="16.5" customHeight="1">
      <c r="A49" s="143"/>
      <c r="B49" s="143"/>
      <c r="C49" s="201" t="s">
        <v>25</v>
      </c>
      <c r="D49" s="202"/>
      <c r="E49" s="203"/>
      <c r="F49" s="202"/>
      <c r="G49" s="202"/>
      <c r="H49" s="204"/>
    </row>
    <row r="50" spans="1:8" s="15" customFormat="1" ht="16.5" customHeight="1">
      <c r="A50" s="143"/>
      <c r="B50" s="143"/>
      <c r="C50" s="205" t="s">
        <v>68</v>
      </c>
      <c r="D50" s="205" t="s">
        <v>17</v>
      </c>
      <c r="E50" s="229" t="s">
        <v>2</v>
      </c>
      <c r="F50" s="213" t="s">
        <v>3</v>
      </c>
      <c r="G50" s="213" t="s">
        <v>59</v>
      </c>
      <c r="H50" s="207" t="s">
        <v>60</v>
      </c>
    </row>
    <row r="51" spans="1:8" s="15" customFormat="1" ht="16.5" customHeight="1">
      <c r="A51" s="143"/>
      <c r="B51" s="143"/>
      <c r="C51" s="205"/>
      <c r="D51" s="202"/>
      <c r="E51" s="229"/>
      <c r="F51" s="213"/>
      <c r="G51" s="213" t="s">
        <v>4</v>
      </c>
      <c r="H51" s="207" t="s">
        <v>4</v>
      </c>
    </row>
    <row r="52" spans="1:8" s="15" customFormat="1" ht="16.5" customHeight="1">
      <c r="A52" s="143"/>
      <c r="B52" s="143"/>
      <c r="C52" s="205">
        <v>1</v>
      </c>
      <c r="D52" s="206" t="s">
        <v>104</v>
      </c>
      <c r="E52" s="229" t="s">
        <v>18</v>
      </c>
      <c r="F52" s="207">
        <v>3998.8</v>
      </c>
      <c r="G52" s="208">
        <v>5.0999999999999996</v>
      </c>
      <c r="H52" s="207">
        <f>F52*G52</f>
        <v>20393.88</v>
      </c>
    </row>
    <row r="53" spans="1:8" s="15" customFormat="1" ht="16.5" customHeight="1">
      <c r="A53" s="143"/>
      <c r="B53" s="143"/>
      <c r="C53" s="209"/>
      <c r="D53" s="206" t="s">
        <v>105</v>
      </c>
      <c r="E53" s="229" t="s">
        <v>18</v>
      </c>
      <c r="F53" s="207">
        <v>46.14</v>
      </c>
      <c r="G53" s="208">
        <v>5.0999999999999996</v>
      </c>
      <c r="H53" s="207">
        <f t="shared" ref="H53:H59" si="0">F53*G53</f>
        <v>235.31399999999999</v>
      </c>
    </row>
    <row r="54" spans="1:8" s="15" customFormat="1" ht="16.5" customHeight="1">
      <c r="A54" s="143"/>
      <c r="B54" s="143"/>
      <c r="C54" s="205">
        <v>2</v>
      </c>
      <c r="D54" s="206" t="s">
        <v>26</v>
      </c>
      <c r="E54" s="229" t="s">
        <v>0</v>
      </c>
      <c r="F54" s="207">
        <v>6.9210000000000003</v>
      </c>
      <c r="G54" s="210">
        <v>1107</v>
      </c>
      <c r="H54" s="207">
        <f t="shared" si="0"/>
        <v>7661.5470000000005</v>
      </c>
    </row>
    <row r="55" spans="1:8" s="15" customFormat="1" ht="16.5" customHeight="1">
      <c r="A55" s="143"/>
      <c r="B55" s="143"/>
      <c r="C55" s="209"/>
      <c r="D55" s="206" t="s">
        <v>27</v>
      </c>
      <c r="E55" s="229" t="s">
        <v>0</v>
      </c>
      <c r="F55" s="207">
        <v>4.1525999999999996</v>
      </c>
      <c r="G55" s="210">
        <v>1230</v>
      </c>
      <c r="H55" s="207">
        <f t="shared" si="0"/>
        <v>5107.6979999999994</v>
      </c>
    </row>
    <row r="56" spans="1:8" s="15" customFormat="1" ht="16.5" customHeight="1">
      <c r="A56" s="143"/>
      <c r="B56" s="143"/>
      <c r="C56" s="209"/>
      <c r="D56" s="206" t="s">
        <v>28</v>
      </c>
      <c r="E56" s="229" t="s">
        <v>0</v>
      </c>
      <c r="F56" s="207">
        <v>2.7684000000000002</v>
      </c>
      <c r="G56" s="210">
        <v>945</v>
      </c>
      <c r="H56" s="207">
        <f t="shared" si="0"/>
        <v>2616.1380000000004</v>
      </c>
    </row>
    <row r="57" spans="1:8" s="15" customFormat="1" ht="16.5" customHeight="1">
      <c r="A57" s="143"/>
      <c r="B57" s="143"/>
      <c r="C57" s="205">
        <v>3</v>
      </c>
      <c r="D57" s="206" t="s">
        <v>246</v>
      </c>
      <c r="E57" s="229" t="s">
        <v>0</v>
      </c>
      <c r="F57" s="207">
        <v>6.1520000000000001</v>
      </c>
      <c r="G57" s="210">
        <v>777</v>
      </c>
      <c r="H57" s="207">
        <f t="shared" si="0"/>
        <v>4780.1040000000003</v>
      </c>
    </row>
    <row r="58" spans="1:8" s="15" customFormat="1" ht="16.5" customHeight="1">
      <c r="A58" s="143"/>
      <c r="B58" s="143"/>
      <c r="C58" s="205">
        <v>4</v>
      </c>
      <c r="D58" s="206" t="s">
        <v>107</v>
      </c>
      <c r="E58" s="229" t="s">
        <v>18</v>
      </c>
      <c r="F58" s="207">
        <v>15.995200000000001</v>
      </c>
      <c r="G58" s="210">
        <v>78</v>
      </c>
      <c r="H58" s="207">
        <f t="shared" si="0"/>
        <v>1247.6256000000001</v>
      </c>
    </row>
    <row r="59" spans="1:8" s="15" customFormat="1" ht="16.5" customHeight="1">
      <c r="A59" s="143"/>
      <c r="B59" s="143"/>
      <c r="C59" s="205">
        <v>5</v>
      </c>
      <c r="D59" s="206" t="s">
        <v>108</v>
      </c>
      <c r="E59" s="229" t="s">
        <v>1</v>
      </c>
      <c r="F59" s="207">
        <v>15.38</v>
      </c>
      <c r="G59" s="211">
        <v>352.32</v>
      </c>
      <c r="H59" s="207">
        <f t="shared" si="0"/>
        <v>5418.6815999999999</v>
      </c>
    </row>
    <row r="60" spans="1:8" s="15" customFormat="1" ht="16.5" customHeight="1">
      <c r="A60" s="143"/>
      <c r="B60" s="143"/>
      <c r="C60" s="205">
        <v>6</v>
      </c>
      <c r="D60" s="206" t="s">
        <v>109</v>
      </c>
      <c r="E60" s="230">
        <v>0.1</v>
      </c>
      <c r="F60" s="207"/>
      <c r="G60" s="210"/>
      <c r="H60" s="207">
        <f>H59*0.1</f>
        <v>541.86815999999999</v>
      </c>
    </row>
    <row r="61" spans="1:8" s="15" customFormat="1" ht="16.5" customHeight="1">
      <c r="A61" s="143"/>
      <c r="B61" s="143"/>
      <c r="C61" s="205">
        <v>7</v>
      </c>
      <c r="D61" s="206" t="s">
        <v>110</v>
      </c>
      <c r="E61" s="229" t="s">
        <v>111</v>
      </c>
      <c r="F61" s="207">
        <v>0.5</v>
      </c>
      <c r="G61" s="210">
        <v>29</v>
      </c>
      <c r="H61" s="207">
        <f>F61*G61</f>
        <v>14.5</v>
      </c>
    </row>
    <row r="62" spans="1:8" s="15" customFormat="1" ht="16.5" customHeight="1">
      <c r="A62" s="143"/>
      <c r="B62" s="143"/>
      <c r="C62" s="205"/>
      <c r="D62" s="212" t="s">
        <v>29</v>
      </c>
      <c r="E62" s="229"/>
      <c r="F62" s="213"/>
      <c r="G62" s="214" t="s">
        <v>5</v>
      </c>
      <c r="H62" s="215">
        <f>SUM(H52:H61)</f>
        <v>48017.356359999991</v>
      </c>
    </row>
    <row r="63" spans="1:8" s="15" customFormat="1" ht="16.5" customHeight="1">
      <c r="A63" s="143"/>
      <c r="B63" s="143"/>
      <c r="C63" s="205"/>
      <c r="D63" s="202"/>
      <c r="E63" s="229"/>
      <c r="F63" s="213"/>
      <c r="G63" s="214"/>
      <c r="H63" s="207"/>
    </row>
    <row r="64" spans="1:8" s="15" customFormat="1" ht="16.5" customHeight="1">
      <c r="A64" s="143"/>
      <c r="B64" s="143"/>
      <c r="C64" s="201" t="s">
        <v>30</v>
      </c>
      <c r="D64" s="202"/>
      <c r="E64" s="229"/>
      <c r="F64" s="213"/>
      <c r="G64" s="214"/>
      <c r="H64" s="207"/>
    </row>
    <row r="65" spans="1:8" s="15" customFormat="1" ht="16.5" customHeight="1">
      <c r="A65" s="143"/>
      <c r="B65" s="143"/>
      <c r="C65" s="205" t="s">
        <v>68</v>
      </c>
      <c r="D65" s="205" t="s">
        <v>6</v>
      </c>
      <c r="E65" s="229" t="s">
        <v>2</v>
      </c>
      <c r="F65" s="213" t="s">
        <v>3</v>
      </c>
      <c r="G65" s="214" t="s">
        <v>59</v>
      </c>
      <c r="H65" s="207" t="s">
        <v>60</v>
      </c>
    </row>
    <row r="66" spans="1:8" s="15" customFormat="1" ht="16.5" customHeight="1">
      <c r="A66" s="143"/>
      <c r="B66" s="143"/>
      <c r="C66" s="205"/>
      <c r="D66" s="202"/>
      <c r="E66" s="229"/>
      <c r="F66" s="213"/>
      <c r="G66" s="214" t="s">
        <v>4</v>
      </c>
      <c r="H66" s="207" t="s">
        <v>4</v>
      </c>
    </row>
    <row r="67" spans="1:8" s="15" customFormat="1" ht="16.5" customHeight="1">
      <c r="A67" s="143"/>
      <c r="B67" s="143"/>
      <c r="C67" s="205">
        <v>1</v>
      </c>
      <c r="D67" s="206" t="s">
        <v>112</v>
      </c>
      <c r="E67" s="229" t="s">
        <v>16</v>
      </c>
      <c r="F67" s="207">
        <v>8</v>
      </c>
      <c r="G67" s="211">
        <v>67.2</v>
      </c>
      <c r="H67" s="207">
        <f t="shared" ref="H67:H74" si="1">F67*G67</f>
        <v>537.6</v>
      </c>
    </row>
    <row r="68" spans="1:8" s="15" customFormat="1" ht="16.5" customHeight="1">
      <c r="A68" s="143"/>
      <c r="B68" s="143"/>
      <c r="C68" s="209"/>
      <c r="D68" s="206" t="s">
        <v>31</v>
      </c>
      <c r="E68" s="229" t="s">
        <v>16</v>
      </c>
      <c r="F68" s="207">
        <v>8</v>
      </c>
      <c r="G68" s="211">
        <v>142.80000000000001</v>
      </c>
      <c r="H68" s="207">
        <f t="shared" si="1"/>
        <v>1142.4000000000001</v>
      </c>
    </row>
    <row r="69" spans="1:8" s="15" customFormat="1" ht="16.5" customHeight="1">
      <c r="A69" s="143"/>
      <c r="B69" s="143"/>
      <c r="C69" s="205">
        <v>2</v>
      </c>
      <c r="D69" s="206" t="s">
        <v>113</v>
      </c>
      <c r="E69" s="229" t="s">
        <v>16</v>
      </c>
      <c r="F69" s="207">
        <v>0.5</v>
      </c>
      <c r="G69" s="211">
        <v>10.7</v>
      </c>
      <c r="H69" s="207">
        <f t="shared" si="1"/>
        <v>5.35</v>
      </c>
    </row>
    <row r="70" spans="1:8" s="15" customFormat="1" ht="16.5" customHeight="1">
      <c r="A70" s="143"/>
      <c r="B70" s="143"/>
      <c r="C70" s="209"/>
      <c r="D70" s="206" t="s">
        <v>31</v>
      </c>
      <c r="E70" s="229" t="s">
        <v>16</v>
      </c>
      <c r="F70" s="207">
        <v>0.5</v>
      </c>
      <c r="G70" s="211">
        <v>142.80000000000001</v>
      </c>
      <c r="H70" s="207">
        <f t="shared" si="1"/>
        <v>71.400000000000006</v>
      </c>
    </row>
    <row r="71" spans="1:8" s="15" customFormat="1" ht="16.5" customHeight="1">
      <c r="A71" s="143"/>
      <c r="B71" s="143"/>
      <c r="C71" s="205">
        <v>3</v>
      </c>
      <c r="D71" s="206" t="s">
        <v>114</v>
      </c>
      <c r="E71" s="229" t="s">
        <v>16</v>
      </c>
      <c r="F71" s="207">
        <v>1</v>
      </c>
      <c r="G71" s="211">
        <v>495.6</v>
      </c>
      <c r="H71" s="207">
        <f t="shared" si="1"/>
        <v>495.6</v>
      </c>
    </row>
    <row r="72" spans="1:8" s="15" customFormat="1" ht="16.5" customHeight="1">
      <c r="A72" s="143"/>
      <c r="B72" s="143"/>
      <c r="C72" s="209"/>
      <c r="D72" s="206" t="s">
        <v>31</v>
      </c>
      <c r="E72" s="229" t="s">
        <v>16</v>
      </c>
      <c r="F72" s="207">
        <v>1</v>
      </c>
      <c r="G72" s="211">
        <v>539.6</v>
      </c>
      <c r="H72" s="207">
        <f t="shared" si="1"/>
        <v>539.6</v>
      </c>
    </row>
    <row r="73" spans="1:8" s="15" customFormat="1" ht="16.5" customHeight="1">
      <c r="A73" s="143"/>
      <c r="B73" s="143"/>
      <c r="C73" s="205">
        <v>4</v>
      </c>
      <c r="D73" s="206" t="s">
        <v>115</v>
      </c>
      <c r="E73" s="229" t="s">
        <v>16</v>
      </c>
      <c r="F73" s="207">
        <v>8</v>
      </c>
      <c r="G73" s="211">
        <v>7.3</v>
      </c>
      <c r="H73" s="207">
        <f t="shared" si="1"/>
        <v>58.4</v>
      </c>
    </row>
    <row r="74" spans="1:8" s="15" customFormat="1" ht="16.5" customHeight="1">
      <c r="A74" s="143"/>
      <c r="B74" s="143"/>
      <c r="C74" s="212"/>
      <c r="D74" s="206" t="s">
        <v>31</v>
      </c>
      <c r="E74" s="229" t="s">
        <v>16</v>
      </c>
      <c r="F74" s="207">
        <v>8</v>
      </c>
      <c r="G74" s="211">
        <v>31.8</v>
      </c>
      <c r="H74" s="207">
        <f t="shared" si="1"/>
        <v>254.4</v>
      </c>
    </row>
    <row r="75" spans="1:8" s="15" customFormat="1" ht="16.5" customHeight="1">
      <c r="A75" s="143"/>
      <c r="B75" s="143"/>
      <c r="C75" s="205"/>
      <c r="D75" s="212" t="s">
        <v>32</v>
      </c>
      <c r="E75" s="229"/>
      <c r="F75" s="213"/>
      <c r="G75" s="214" t="s">
        <v>5</v>
      </c>
      <c r="H75" s="215">
        <f>SUM(H67:H74)</f>
        <v>3104.75</v>
      </c>
    </row>
    <row r="76" spans="1:8" s="15" customFormat="1" ht="16.5" customHeight="1">
      <c r="A76" s="143"/>
      <c r="B76" s="143"/>
      <c r="C76" s="205"/>
      <c r="D76" s="212"/>
      <c r="E76" s="229"/>
      <c r="F76" s="213"/>
      <c r="G76" s="214"/>
      <c r="H76" s="215"/>
    </row>
    <row r="77" spans="1:8" s="15" customFormat="1" ht="16.5" customHeight="1">
      <c r="A77" s="143"/>
      <c r="B77" s="143"/>
      <c r="C77" s="201" t="s">
        <v>33</v>
      </c>
      <c r="D77" s="202"/>
      <c r="E77" s="229"/>
      <c r="F77" s="213"/>
      <c r="G77" s="214"/>
      <c r="H77" s="207"/>
    </row>
    <row r="78" spans="1:8" s="15" customFormat="1" ht="16.5" customHeight="1">
      <c r="A78" s="143"/>
      <c r="B78" s="143"/>
      <c r="C78" s="205" t="s">
        <v>68</v>
      </c>
      <c r="D78" s="205" t="s">
        <v>6</v>
      </c>
      <c r="E78" s="229" t="s">
        <v>2</v>
      </c>
      <c r="F78" s="213" t="s">
        <v>3</v>
      </c>
      <c r="G78" s="214" t="s">
        <v>59</v>
      </c>
      <c r="H78" s="207" t="s">
        <v>60</v>
      </c>
    </row>
    <row r="79" spans="1:8" s="15" customFormat="1" ht="16.5" customHeight="1">
      <c r="A79" s="143"/>
      <c r="B79" s="143"/>
      <c r="C79" s="205"/>
      <c r="D79" s="202"/>
      <c r="E79" s="229"/>
      <c r="F79" s="213"/>
      <c r="G79" s="214" t="s">
        <v>4</v>
      </c>
      <c r="H79" s="207" t="s">
        <v>4</v>
      </c>
    </row>
    <row r="80" spans="1:8" s="15" customFormat="1" ht="16.5" customHeight="1">
      <c r="A80" s="143"/>
      <c r="B80" s="143"/>
      <c r="C80" s="205">
        <v>1</v>
      </c>
      <c r="D80" s="206" t="s">
        <v>20</v>
      </c>
      <c r="E80" s="229" t="s">
        <v>16</v>
      </c>
      <c r="F80" s="207">
        <v>8</v>
      </c>
      <c r="G80" s="211">
        <v>375.7</v>
      </c>
      <c r="H80" s="207">
        <f t="shared" ref="H80:H85" si="2">F80*G80</f>
        <v>3005.6</v>
      </c>
    </row>
    <row r="81" spans="1:8" s="15" customFormat="1" ht="16.5" customHeight="1">
      <c r="A81" s="143"/>
      <c r="B81" s="143"/>
      <c r="C81" s="205">
        <v>2</v>
      </c>
      <c r="D81" s="206" t="s">
        <v>34</v>
      </c>
      <c r="E81" s="229" t="s">
        <v>16</v>
      </c>
      <c r="F81" s="207">
        <v>0.5</v>
      </c>
      <c r="G81" s="211">
        <v>187.2</v>
      </c>
      <c r="H81" s="207">
        <f t="shared" si="2"/>
        <v>93.6</v>
      </c>
    </row>
    <row r="82" spans="1:8" s="15" customFormat="1" ht="16.5" customHeight="1">
      <c r="A82" s="143"/>
      <c r="B82" s="143"/>
      <c r="C82" s="205">
        <v>3</v>
      </c>
      <c r="D82" s="206" t="s">
        <v>116</v>
      </c>
      <c r="E82" s="229" t="s">
        <v>16</v>
      </c>
      <c r="F82" s="207">
        <v>1</v>
      </c>
      <c r="G82" s="211">
        <v>293.5</v>
      </c>
      <c r="H82" s="207">
        <f t="shared" si="2"/>
        <v>293.5</v>
      </c>
    </row>
    <row r="83" spans="1:8" s="15" customFormat="1" ht="16.5" customHeight="1">
      <c r="A83" s="143"/>
      <c r="B83" s="143"/>
      <c r="C83" s="205">
        <v>4</v>
      </c>
      <c r="D83" s="206" t="s">
        <v>73</v>
      </c>
      <c r="E83" s="229" t="s">
        <v>16</v>
      </c>
      <c r="F83" s="207">
        <v>8</v>
      </c>
      <c r="G83" s="211">
        <v>270.39999999999998</v>
      </c>
      <c r="H83" s="207">
        <f t="shared" si="2"/>
        <v>2163.1999999999998</v>
      </c>
    </row>
    <row r="84" spans="1:8" s="15" customFormat="1" ht="16.5" customHeight="1">
      <c r="A84" s="143"/>
      <c r="B84" s="143"/>
      <c r="C84" s="205">
        <v>5</v>
      </c>
      <c r="D84" s="206" t="s">
        <v>7</v>
      </c>
      <c r="E84" s="229" t="s">
        <v>8</v>
      </c>
      <c r="F84" s="207">
        <v>1</v>
      </c>
      <c r="G84" s="211">
        <v>845</v>
      </c>
      <c r="H84" s="207">
        <f t="shared" si="2"/>
        <v>845</v>
      </c>
    </row>
    <row r="85" spans="1:8" s="15" customFormat="1" ht="16.5" customHeight="1">
      <c r="A85" s="143"/>
      <c r="B85" s="143"/>
      <c r="C85" s="205">
        <v>6</v>
      </c>
      <c r="D85" s="206" t="s">
        <v>35</v>
      </c>
      <c r="E85" s="229" t="s">
        <v>8</v>
      </c>
      <c r="F85" s="207">
        <v>1</v>
      </c>
      <c r="G85" s="211">
        <v>715</v>
      </c>
      <c r="H85" s="207">
        <f t="shared" si="2"/>
        <v>715</v>
      </c>
    </row>
    <row r="86" spans="1:8" s="15" customFormat="1" ht="16.5" customHeight="1">
      <c r="A86" s="143"/>
      <c r="B86" s="143"/>
      <c r="C86" s="205">
        <v>7</v>
      </c>
      <c r="D86" s="206" t="s">
        <v>9</v>
      </c>
      <c r="E86" s="229"/>
      <c r="F86" s="207"/>
      <c r="G86" s="211"/>
      <c r="H86" s="207"/>
    </row>
    <row r="87" spans="1:8" s="15" customFormat="1" ht="16.5" customHeight="1">
      <c r="A87" s="143"/>
      <c r="B87" s="143"/>
      <c r="C87" s="209"/>
      <c r="D87" s="206" t="s">
        <v>117</v>
      </c>
      <c r="E87" s="229" t="s">
        <v>8</v>
      </c>
      <c r="F87" s="207">
        <v>11</v>
      </c>
      <c r="G87" s="211">
        <v>635</v>
      </c>
      <c r="H87" s="207">
        <f t="shared" ref="H87:H92" si="3">F87*G87</f>
        <v>6985</v>
      </c>
    </row>
    <row r="88" spans="1:8" s="15" customFormat="1" ht="16.5" customHeight="1">
      <c r="A88" s="143"/>
      <c r="B88" s="143"/>
      <c r="C88" s="209"/>
      <c r="D88" s="206" t="s">
        <v>36</v>
      </c>
      <c r="E88" s="229" t="s">
        <v>8</v>
      </c>
      <c r="F88" s="207">
        <v>4</v>
      </c>
      <c r="G88" s="211">
        <v>635</v>
      </c>
      <c r="H88" s="207">
        <f t="shared" si="3"/>
        <v>2540</v>
      </c>
    </row>
    <row r="89" spans="1:8" s="15" customFormat="1" ht="16.5" customHeight="1">
      <c r="A89" s="143"/>
      <c r="B89" s="143"/>
      <c r="C89" s="209"/>
      <c r="D89" s="206" t="s">
        <v>37</v>
      </c>
      <c r="E89" s="229" t="s">
        <v>8</v>
      </c>
      <c r="F89" s="207">
        <v>3</v>
      </c>
      <c r="G89" s="211">
        <v>635</v>
      </c>
      <c r="H89" s="207">
        <f t="shared" si="3"/>
        <v>1905</v>
      </c>
    </row>
    <row r="90" spans="1:8" s="15" customFormat="1" ht="16.5" customHeight="1">
      <c r="A90" s="143"/>
      <c r="B90" s="143"/>
      <c r="C90" s="209"/>
      <c r="D90" s="206" t="s">
        <v>38</v>
      </c>
      <c r="E90" s="229" t="s">
        <v>8</v>
      </c>
      <c r="F90" s="207">
        <v>15.38</v>
      </c>
      <c r="G90" s="211">
        <v>635</v>
      </c>
      <c r="H90" s="207">
        <f t="shared" si="3"/>
        <v>9766.3000000000011</v>
      </c>
    </row>
    <row r="91" spans="1:8" s="15" customFormat="1" ht="16.5" customHeight="1">
      <c r="A91" s="143"/>
      <c r="B91" s="143"/>
      <c r="C91" s="209"/>
      <c r="D91" s="206" t="s">
        <v>118</v>
      </c>
      <c r="E91" s="229" t="s">
        <v>8</v>
      </c>
      <c r="F91" s="207">
        <v>1</v>
      </c>
      <c r="G91" s="211">
        <v>635</v>
      </c>
      <c r="H91" s="207">
        <f t="shared" si="3"/>
        <v>635</v>
      </c>
    </row>
    <row r="92" spans="1:8" s="15" customFormat="1" ht="16.5" customHeight="1">
      <c r="A92" s="143"/>
      <c r="B92" s="143"/>
      <c r="C92" s="205">
        <v>8</v>
      </c>
      <c r="D92" s="206" t="s">
        <v>119</v>
      </c>
      <c r="E92" s="229" t="s">
        <v>1</v>
      </c>
      <c r="F92" s="207">
        <v>15.38</v>
      </c>
      <c r="G92" s="211">
        <v>156.9</v>
      </c>
      <c r="H92" s="207">
        <f t="shared" si="3"/>
        <v>2413.1220000000003</v>
      </c>
    </row>
    <row r="93" spans="1:8" s="15" customFormat="1" ht="16.5" customHeight="1">
      <c r="A93" s="143"/>
      <c r="B93" s="143"/>
      <c r="C93" s="209"/>
      <c r="D93" s="206" t="s">
        <v>120</v>
      </c>
      <c r="E93" s="230">
        <v>0.1</v>
      </c>
      <c r="F93" s="207"/>
      <c r="G93" s="216"/>
      <c r="H93" s="207">
        <f>H92*E93</f>
        <v>241.31220000000005</v>
      </c>
    </row>
    <row r="94" spans="1:8" s="15" customFormat="1" ht="16.5" customHeight="1">
      <c r="A94" s="143"/>
      <c r="B94" s="143"/>
      <c r="C94" s="205"/>
      <c r="D94" s="212" t="s">
        <v>39</v>
      </c>
      <c r="E94" s="229"/>
      <c r="F94" s="213"/>
      <c r="G94" s="213" t="s">
        <v>5</v>
      </c>
      <c r="H94" s="215">
        <f>SUM(H80:H93)</f>
        <v>31601.634200000004</v>
      </c>
    </row>
    <row r="95" spans="1:8" s="15" customFormat="1" ht="16.5" customHeight="1">
      <c r="A95" s="143"/>
      <c r="B95" s="143"/>
      <c r="C95" s="217" t="s">
        <v>10</v>
      </c>
      <c r="D95" s="202"/>
      <c r="E95" s="229"/>
      <c r="F95" s="215">
        <f>ROUND(H94/G48,1)</f>
        <v>2054.6999999999998</v>
      </c>
      <c r="G95" s="213"/>
      <c r="H95" s="207"/>
    </row>
    <row r="96" spans="1:8" s="15" customFormat="1" ht="16.5" customHeight="1">
      <c r="A96" s="143"/>
      <c r="B96" s="143"/>
      <c r="C96" s="202" t="s">
        <v>11</v>
      </c>
      <c r="D96" s="202"/>
      <c r="E96" s="231">
        <v>0.13614999999999999</v>
      </c>
      <c r="F96" s="207">
        <f>ROUND(F95*E96,1)</f>
        <v>279.7</v>
      </c>
      <c r="G96" s="213"/>
      <c r="H96" s="207"/>
    </row>
    <row r="97" spans="1:8" s="15" customFormat="1" ht="16.5" customHeight="1">
      <c r="A97" s="143"/>
      <c r="B97" s="143"/>
      <c r="C97" s="202" t="s">
        <v>12</v>
      </c>
      <c r="D97" s="202"/>
      <c r="E97" s="229"/>
      <c r="F97" s="215">
        <f>F95+F96</f>
        <v>2334.3999999999996</v>
      </c>
      <c r="G97" s="213"/>
      <c r="H97" s="207"/>
    </row>
    <row r="98" spans="1:8" s="15" customFormat="1" ht="16.5" customHeight="1">
      <c r="A98" s="143"/>
      <c r="B98" s="143"/>
      <c r="C98" s="217" t="s">
        <v>40</v>
      </c>
      <c r="D98" s="202"/>
      <c r="E98" s="229"/>
      <c r="F98" s="213"/>
      <c r="G98" s="213"/>
      <c r="H98" s="207"/>
    </row>
    <row r="99" spans="1:8" s="15" customFormat="1" ht="16.5" customHeight="1">
      <c r="A99" s="143"/>
      <c r="B99" s="143"/>
      <c r="C99" s="202" t="s">
        <v>247</v>
      </c>
      <c r="D99" s="202"/>
      <c r="E99" s="229"/>
      <c r="F99" s="213"/>
      <c r="G99" s="213" t="s">
        <v>5</v>
      </c>
      <c r="H99" s="207">
        <f>H62</f>
        <v>48017.356359999991</v>
      </c>
    </row>
    <row r="100" spans="1:8" s="15" customFormat="1" ht="16.5" customHeight="1">
      <c r="A100" s="143"/>
      <c r="B100" s="143"/>
      <c r="C100" s="202" t="s">
        <v>41</v>
      </c>
      <c r="D100" s="202"/>
      <c r="E100" s="229"/>
      <c r="F100" s="213"/>
      <c r="G100" s="213" t="s">
        <v>5</v>
      </c>
      <c r="H100" s="207">
        <f>H75</f>
        <v>3104.75</v>
      </c>
    </row>
    <row r="101" spans="1:8" s="15" customFormat="1" ht="16.5" customHeight="1">
      <c r="A101" s="143"/>
      <c r="B101" s="143"/>
      <c r="C101" s="202" t="s">
        <v>70</v>
      </c>
      <c r="D101" s="202"/>
      <c r="E101" s="229"/>
      <c r="F101" s="213"/>
      <c r="G101" s="213" t="s">
        <v>5</v>
      </c>
      <c r="H101" s="207">
        <f>H94</f>
        <v>31601.634200000004</v>
      </c>
    </row>
    <row r="102" spans="1:8" s="15" customFormat="1" ht="16.5" customHeight="1">
      <c r="A102" s="143"/>
      <c r="B102" s="143"/>
      <c r="C102" s="205"/>
      <c r="D102" s="202"/>
      <c r="E102" s="229"/>
      <c r="F102" s="213"/>
      <c r="G102" s="213" t="s">
        <v>124</v>
      </c>
      <c r="H102" s="215">
        <f>SUM(H99:H101)</f>
        <v>82723.740559999991</v>
      </c>
    </row>
    <row r="103" spans="1:8" s="15" customFormat="1" ht="33" customHeight="1">
      <c r="A103" s="143"/>
      <c r="B103" s="143"/>
      <c r="C103" s="417" t="s">
        <v>13</v>
      </c>
      <c r="D103" s="418"/>
      <c r="E103" s="419"/>
      <c r="F103" s="232">
        <v>0.13614999999999999</v>
      </c>
      <c r="G103" s="213" t="s">
        <v>5</v>
      </c>
      <c r="H103" s="215">
        <f>H102*F103</f>
        <v>11262.837277243998</v>
      </c>
    </row>
    <row r="104" spans="1:8" s="15" customFormat="1" ht="16.5" customHeight="1">
      <c r="A104" s="143"/>
      <c r="B104" s="143"/>
      <c r="C104" s="218" t="s">
        <v>14</v>
      </c>
      <c r="D104" s="219"/>
      <c r="E104" s="233">
        <v>15.38</v>
      </c>
      <c r="F104" s="193" t="s">
        <v>0</v>
      </c>
      <c r="G104" s="130" t="s">
        <v>5</v>
      </c>
      <c r="H104" s="193">
        <f>SUM(H102:H103)</f>
        <v>93986.577837243996</v>
      </c>
    </row>
    <row r="105" spans="1:8" s="15" customFormat="1" ht="42.75">
      <c r="A105" s="143"/>
      <c r="B105" s="143"/>
      <c r="C105" s="131" t="s">
        <v>102</v>
      </c>
      <c r="D105" s="193" t="s">
        <v>0</v>
      </c>
      <c r="E105" s="192" t="s">
        <v>155</v>
      </c>
      <c r="F105" s="130"/>
      <c r="G105" s="130" t="s">
        <v>15</v>
      </c>
      <c r="H105" s="193">
        <f>H104/E104</f>
        <v>6110.9608476751619</v>
      </c>
    </row>
    <row r="106" spans="1:8" s="15" customFormat="1" ht="16.5" customHeight="1">
      <c r="A106" s="143"/>
      <c r="B106" s="143"/>
      <c r="C106" s="220"/>
      <c r="D106" s="221"/>
      <c r="E106" s="234"/>
      <c r="F106" s="235"/>
      <c r="G106" s="226"/>
      <c r="H106" s="226"/>
    </row>
    <row r="107" spans="1:8" s="15" customFormat="1" ht="16.5" customHeight="1">
      <c r="A107" s="143"/>
      <c r="B107" s="143"/>
      <c r="C107" s="222" t="s">
        <v>248</v>
      </c>
      <c r="D107" s="223"/>
      <c r="E107" s="236" t="s">
        <v>249</v>
      </c>
      <c r="F107" s="224" t="s">
        <v>250</v>
      </c>
      <c r="G107" s="224" t="s">
        <v>145</v>
      </c>
      <c r="H107" s="224"/>
    </row>
    <row r="108" spans="1:8" s="15" customFormat="1" ht="16.5" customHeight="1">
      <c r="A108" s="143"/>
      <c r="B108" s="143"/>
      <c r="C108" s="223" t="s">
        <v>251</v>
      </c>
      <c r="D108" s="223"/>
      <c r="E108" s="237">
        <v>5.0999999999999996</v>
      </c>
      <c r="F108" s="224">
        <v>5.0999999999999996</v>
      </c>
      <c r="G108" s="238">
        <v>263</v>
      </c>
      <c r="H108" s="224">
        <f>(E108-F108)*G108</f>
        <v>0</v>
      </c>
    </row>
    <row r="109" spans="1:8" s="15" customFormat="1" ht="16.5" customHeight="1">
      <c r="A109" s="143"/>
      <c r="B109" s="143"/>
      <c r="C109" s="223" t="s">
        <v>252</v>
      </c>
      <c r="D109" s="223"/>
      <c r="E109" s="236"/>
      <c r="F109" s="224"/>
      <c r="G109" s="224"/>
      <c r="H109" s="224">
        <f>ROUND((H108*13.615%),2)</f>
        <v>0</v>
      </c>
    </row>
    <row r="110" spans="1:8" s="15" customFormat="1" ht="16.5" customHeight="1">
      <c r="A110" s="143"/>
      <c r="B110" s="143"/>
      <c r="C110" s="220"/>
      <c r="D110" s="225"/>
      <c r="E110" s="234"/>
      <c r="F110" s="235"/>
      <c r="G110" s="226"/>
      <c r="H110" s="226"/>
    </row>
    <row r="111" spans="1:8" s="15" customFormat="1" ht="16.5" customHeight="1">
      <c r="A111" s="143"/>
      <c r="B111" s="143"/>
      <c r="C111" s="223" t="s">
        <v>253</v>
      </c>
      <c r="D111" s="223"/>
      <c r="E111" s="236"/>
      <c r="F111" s="224">
        <v>0.4</v>
      </c>
      <c r="G111" s="227">
        <f>'Lead  (2)'!M6</f>
        <v>292.7</v>
      </c>
      <c r="H111" s="224">
        <f>G111*F111</f>
        <v>117.08</v>
      </c>
    </row>
    <row r="112" spans="1:8" s="15" customFormat="1" ht="16.5" customHeight="1">
      <c r="A112" s="143"/>
      <c r="B112" s="143"/>
      <c r="C112" s="223" t="s">
        <v>254</v>
      </c>
      <c r="D112" s="223"/>
      <c r="E112" s="236"/>
      <c r="F112" s="224">
        <v>0.9</v>
      </c>
      <c r="G112" s="227">
        <f>'Lead  (2)'!M7</f>
        <v>468.1</v>
      </c>
      <c r="H112" s="224">
        <f>G112*F112</f>
        <v>421.29</v>
      </c>
    </row>
    <row r="113" spans="1:8" s="15" customFormat="1" ht="16.5" customHeight="1">
      <c r="A113" s="143"/>
      <c r="B113" s="143"/>
      <c r="C113" s="223"/>
      <c r="D113" s="223"/>
      <c r="E113" s="236"/>
      <c r="F113" s="239" t="s">
        <v>255</v>
      </c>
      <c r="G113" s="239"/>
      <c r="H113" s="228">
        <f>SUM(H105:H112)</f>
        <v>6649.3308476751617</v>
      </c>
    </row>
    <row r="114" spans="1:8" s="15" customFormat="1" ht="16.5" customHeight="1">
      <c r="A114" s="143"/>
      <c r="B114" s="143"/>
      <c r="C114" s="223"/>
      <c r="D114" s="223"/>
      <c r="E114" s="236"/>
      <c r="F114" s="239"/>
      <c r="G114" s="240" t="s">
        <v>256</v>
      </c>
      <c r="H114" s="241">
        <f>ROUND(H113,1)</f>
        <v>6649.3</v>
      </c>
    </row>
    <row r="115" spans="1:8" s="15" customFormat="1" ht="16.5" customHeight="1">
      <c r="A115" s="143"/>
      <c r="B115" s="143"/>
      <c r="C115" s="423"/>
      <c r="D115" s="424"/>
      <c r="E115" s="424"/>
      <c r="F115" s="424"/>
      <c r="G115" s="424"/>
      <c r="H115" s="425"/>
    </row>
    <row r="116" spans="1:8" s="15" customFormat="1" ht="51.75" customHeight="1">
      <c r="A116" s="181">
        <v>4</v>
      </c>
      <c r="B116" s="181" t="s">
        <v>268</v>
      </c>
      <c r="C116" s="416" t="s">
        <v>299</v>
      </c>
      <c r="D116" s="416"/>
      <c r="E116" s="416"/>
      <c r="F116" s="416"/>
      <c r="G116" s="416"/>
      <c r="H116" s="416"/>
    </row>
    <row r="117" spans="1:8" s="15" customFormat="1" ht="28.5">
      <c r="A117" s="181"/>
      <c r="B117" s="181" t="s">
        <v>287</v>
      </c>
      <c r="C117" s="428" t="s">
        <v>6</v>
      </c>
      <c r="D117" s="428"/>
      <c r="E117" s="181" t="s">
        <v>2</v>
      </c>
      <c r="F117" s="181" t="s">
        <v>3</v>
      </c>
      <c r="G117" s="181" t="s">
        <v>288</v>
      </c>
      <c r="H117" s="181" t="s">
        <v>289</v>
      </c>
    </row>
    <row r="118" spans="1:8" s="15" customFormat="1" ht="31.5" customHeight="1">
      <c r="A118" s="181"/>
      <c r="B118" s="183"/>
      <c r="C118" s="416" t="s">
        <v>300</v>
      </c>
      <c r="D118" s="416"/>
      <c r="E118" s="183" t="s">
        <v>301</v>
      </c>
      <c r="F118" s="183">
        <v>1</v>
      </c>
      <c r="G118" s="183">
        <v>1402</v>
      </c>
      <c r="H118" s="183">
        <f>G118</f>
        <v>1402</v>
      </c>
    </row>
    <row r="119" spans="1:8" s="15" customFormat="1" ht="16.5" customHeight="1">
      <c r="A119" s="181"/>
      <c r="B119" s="183"/>
      <c r="C119" s="416" t="s">
        <v>290</v>
      </c>
      <c r="D119" s="416"/>
      <c r="E119" s="416"/>
      <c r="F119" s="184"/>
      <c r="G119" s="184"/>
      <c r="H119" s="185">
        <f>13.615%*H118</f>
        <v>190.88229999999999</v>
      </c>
    </row>
    <row r="120" spans="1:8" s="15" customFormat="1" ht="16.5" customHeight="1">
      <c r="A120" s="181"/>
      <c r="B120" s="183"/>
      <c r="C120" s="416" t="s">
        <v>291</v>
      </c>
      <c r="D120" s="416"/>
      <c r="E120" s="182"/>
      <c r="F120" s="184"/>
      <c r="G120" s="184"/>
      <c r="H120" s="185">
        <f>SUM(H118:H119)</f>
        <v>1592.8823</v>
      </c>
    </row>
    <row r="121" spans="1:8" s="15" customFormat="1" ht="16.5" customHeight="1">
      <c r="A121" s="181"/>
      <c r="B121" s="183"/>
      <c r="C121" s="430" t="s">
        <v>269</v>
      </c>
      <c r="D121" s="431"/>
      <c r="E121" s="182"/>
      <c r="F121" s="184"/>
      <c r="G121" s="184"/>
      <c r="H121" s="185">
        <f>'Lead  (2)'!M9</f>
        <v>178.76</v>
      </c>
    </row>
    <row r="122" spans="1:8" s="15" customFormat="1" ht="16.5" customHeight="1">
      <c r="A122" s="181"/>
      <c r="B122" s="183"/>
      <c r="C122" s="416" t="s">
        <v>302</v>
      </c>
      <c r="D122" s="416"/>
      <c r="E122" s="182"/>
      <c r="F122" s="184"/>
      <c r="G122" s="184"/>
      <c r="H122" s="186">
        <f>H120+H121</f>
        <v>1771.6423</v>
      </c>
    </row>
    <row r="123" spans="1:8" s="15" customFormat="1" ht="16.5" customHeight="1">
      <c r="A123" s="181"/>
      <c r="B123" s="183"/>
      <c r="C123" s="416"/>
      <c r="D123" s="416"/>
      <c r="E123" s="416"/>
      <c r="F123" s="416"/>
      <c r="G123" s="416"/>
      <c r="H123" s="416"/>
    </row>
    <row r="124" spans="1:8" s="15" customFormat="1" ht="60" customHeight="1">
      <c r="A124" s="181">
        <v>5</v>
      </c>
      <c r="B124" s="181" t="s">
        <v>270</v>
      </c>
      <c r="C124" s="416" t="s">
        <v>303</v>
      </c>
      <c r="D124" s="416"/>
      <c r="E124" s="416"/>
      <c r="F124" s="416"/>
      <c r="G124" s="416"/>
      <c r="H124" s="416"/>
    </row>
    <row r="125" spans="1:8" s="15" customFormat="1" ht="22.5">
      <c r="A125" s="181"/>
      <c r="B125" s="181" t="s">
        <v>287</v>
      </c>
      <c r="C125" s="181"/>
      <c r="D125" s="242" t="s">
        <v>23</v>
      </c>
      <c r="E125" s="234"/>
      <c r="F125" s="242" t="s">
        <v>24</v>
      </c>
      <c r="G125" s="243">
        <v>10</v>
      </c>
      <c r="H125" s="242" t="s">
        <v>271</v>
      </c>
    </row>
    <row r="126" spans="1:8" s="15" customFormat="1" ht="16.5" customHeight="1">
      <c r="A126" s="143"/>
      <c r="B126" s="143"/>
      <c r="C126" s="244" t="s">
        <v>25</v>
      </c>
      <c r="D126" s="245"/>
      <c r="E126" s="246"/>
      <c r="F126" s="247"/>
      <c r="G126" s="248"/>
      <c r="H126" s="220"/>
    </row>
    <row r="127" spans="1:8" s="15" customFormat="1" ht="16.5" customHeight="1">
      <c r="A127" s="143"/>
      <c r="B127" s="143"/>
      <c r="C127" s="249" t="s">
        <v>68</v>
      </c>
      <c r="D127" s="249" t="s">
        <v>17</v>
      </c>
      <c r="E127" s="249" t="s">
        <v>2</v>
      </c>
      <c r="F127" s="249" t="s">
        <v>3</v>
      </c>
      <c r="G127" s="188" t="s">
        <v>59</v>
      </c>
      <c r="H127" s="188" t="s">
        <v>60</v>
      </c>
    </row>
    <row r="128" spans="1:8" s="15" customFormat="1" ht="16.5" customHeight="1">
      <c r="A128" s="143"/>
      <c r="B128" s="143"/>
      <c r="C128" s="249"/>
      <c r="D128" s="249"/>
      <c r="E128" s="250"/>
      <c r="F128" s="250"/>
      <c r="G128" s="188" t="s">
        <v>4</v>
      </c>
      <c r="H128" s="188" t="s">
        <v>4</v>
      </c>
    </row>
    <row r="129" spans="1:8" s="15" customFormat="1" ht="16.5" customHeight="1">
      <c r="A129" s="143"/>
      <c r="B129" s="143"/>
      <c r="C129" s="251">
        <v>1</v>
      </c>
      <c r="D129" s="252" t="s">
        <v>62</v>
      </c>
      <c r="E129" s="253" t="s">
        <v>18</v>
      </c>
      <c r="F129" s="254">
        <v>99</v>
      </c>
      <c r="G129" s="254">
        <v>5.0999999999999996</v>
      </c>
      <c r="H129" s="254">
        <f>F129*G129</f>
        <v>504.9</v>
      </c>
    </row>
    <row r="130" spans="1:8" s="15" customFormat="1" ht="16.5" customHeight="1">
      <c r="A130" s="143"/>
      <c r="B130" s="143"/>
      <c r="C130" s="251">
        <v>2</v>
      </c>
      <c r="D130" s="252" t="s">
        <v>272</v>
      </c>
      <c r="E130" s="253" t="s">
        <v>0</v>
      </c>
      <c r="F130" s="254">
        <v>0.1</v>
      </c>
      <c r="G130" s="254">
        <v>1023</v>
      </c>
      <c r="H130" s="254">
        <f>F130*G130</f>
        <v>102.30000000000001</v>
      </c>
    </row>
    <row r="131" spans="1:8" s="15" customFormat="1" ht="16.5" customHeight="1">
      <c r="A131" s="143"/>
      <c r="B131" s="143"/>
      <c r="C131" s="251">
        <v>3</v>
      </c>
      <c r="D131" s="252" t="s">
        <v>273</v>
      </c>
      <c r="E131" s="253" t="s">
        <v>18</v>
      </c>
      <c r="F131" s="254">
        <v>0.91</v>
      </c>
      <c r="G131" s="254">
        <v>104</v>
      </c>
      <c r="H131" s="254">
        <f>F131*G131</f>
        <v>94.64</v>
      </c>
    </row>
    <row r="132" spans="1:8" s="15" customFormat="1" ht="16.5" customHeight="1">
      <c r="A132" s="143"/>
      <c r="B132" s="143"/>
      <c r="C132" s="251"/>
      <c r="D132" s="252" t="s">
        <v>29</v>
      </c>
      <c r="E132" s="246"/>
      <c r="F132" s="220"/>
      <c r="G132" s="247" t="s">
        <v>5</v>
      </c>
      <c r="H132" s="189">
        <f>SUM(H129:H131)</f>
        <v>701.84</v>
      </c>
    </row>
    <row r="133" spans="1:8" s="15" customFormat="1" ht="16.5" customHeight="1">
      <c r="A133" s="143"/>
      <c r="B133" s="143"/>
      <c r="C133" s="429" t="s">
        <v>30</v>
      </c>
      <c r="D133" s="429"/>
      <c r="E133" s="246"/>
      <c r="F133" s="220"/>
      <c r="G133" s="247"/>
      <c r="H133" s="189"/>
    </row>
    <row r="134" spans="1:8" s="15" customFormat="1" ht="16.5" customHeight="1">
      <c r="A134" s="143"/>
      <c r="B134" s="143"/>
      <c r="C134" s="249" t="s">
        <v>68</v>
      </c>
      <c r="D134" s="249" t="s">
        <v>6</v>
      </c>
      <c r="E134" s="249" t="s">
        <v>2</v>
      </c>
      <c r="F134" s="249" t="s">
        <v>3</v>
      </c>
      <c r="G134" s="188" t="s">
        <v>59</v>
      </c>
      <c r="H134" s="188" t="s">
        <v>60</v>
      </c>
    </row>
    <row r="135" spans="1:8" s="15" customFormat="1" ht="16.5" customHeight="1">
      <c r="A135" s="143"/>
      <c r="B135" s="143"/>
      <c r="C135" s="249"/>
      <c r="D135" s="249"/>
      <c r="E135" s="250"/>
      <c r="F135" s="250"/>
      <c r="G135" s="188" t="s">
        <v>4</v>
      </c>
      <c r="H135" s="188" t="s">
        <v>4</v>
      </c>
    </row>
    <row r="136" spans="1:8" s="15" customFormat="1" ht="16.5" customHeight="1">
      <c r="A136" s="143"/>
      <c r="B136" s="143"/>
      <c r="C136" s="251">
        <v>1</v>
      </c>
      <c r="D136" s="235" t="s">
        <v>304</v>
      </c>
      <c r="E136" s="253"/>
      <c r="F136" s="254">
        <v>0</v>
      </c>
      <c r="G136" s="254">
        <v>0</v>
      </c>
      <c r="H136" s="254">
        <f>F136*G136</f>
        <v>0</v>
      </c>
    </row>
    <row r="137" spans="1:8" s="15" customFormat="1" ht="16.5" customHeight="1">
      <c r="A137" s="143"/>
      <c r="B137" s="143"/>
      <c r="C137" s="251"/>
      <c r="D137" s="252" t="s">
        <v>32</v>
      </c>
      <c r="E137" s="246"/>
      <c r="F137" s="220"/>
      <c r="G137" s="247" t="s">
        <v>5</v>
      </c>
      <c r="H137" s="189">
        <f>SUM(H136:H136)</f>
        <v>0</v>
      </c>
    </row>
    <row r="138" spans="1:8" s="15" customFormat="1" ht="16.5" customHeight="1">
      <c r="A138" s="143"/>
      <c r="B138" s="143"/>
      <c r="C138" s="244" t="s">
        <v>33</v>
      </c>
      <c r="D138" s="220"/>
      <c r="E138" s="246"/>
      <c r="F138" s="220"/>
      <c r="G138" s="220"/>
      <c r="H138" s="220"/>
    </row>
    <row r="139" spans="1:8" s="15" customFormat="1" ht="16.5" customHeight="1">
      <c r="A139" s="143"/>
      <c r="B139" s="143"/>
      <c r="C139" s="249" t="s">
        <v>68</v>
      </c>
      <c r="D139" s="249" t="s">
        <v>6</v>
      </c>
      <c r="E139" s="249" t="s">
        <v>2</v>
      </c>
      <c r="F139" s="249" t="s">
        <v>3</v>
      </c>
      <c r="G139" s="188" t="s">
        <v>59</v>
      </c>
      <c r="H139" s="188" t="s">
        <v>60</v>
      </c>
    </row>
    <row r="140" spans="1:8" s="15" customFormat="1" ht="16.5" customHeight="1">
      <c r="A140" s="143"/>
      <c r="B140" s="143"/>
      <c r="C140" s="249"/>
      <c r="D140" s="249"/>
      <c r="E140" s="250"/>
      <c r="F140" s="250"/>
      <c r="G140" s="188" t="s">
        <v>4</v>
      </c>
      <c r="H140" s="188" t="s">
        <v>4</v>
      </c>
    </row>
    <row r="141" spans="1:8" s="15" customFormat="1" ht="16.5" customHeight="1">
      <c r="A141" s="143"/>
      <c r="B141" s="143"/>
      <c r="C141" s="251">
        <v>1</v>
      </c>
      <c r="D141" s="252" t="s">
        <v>274</v>
      </c>
      <c r="E141" s="253" t="s">
        <v>8</v>
      </c>
      <c r="F141" s="254">
        <v>2</v>
      </c>
      <c r="G141" s="254">
        <v>685</v>
      </c>
      <c r="H141" s="254">
        <f>F141*G141</f>
        <v>1370</v>
      </c>
    </row>
    <row r="142" spans="1:8" s="15" customFormat="1" ht="16.5" customHeight="1">
      <c r="A142" s="143"/>
      <c r="B142" s="143"/>
      <c r="C142" s="251">
        <v>2</v>
      </c>
      <c r="D142" s="252" t="s">
        <v>7</v>
      </c>
      <c r="E142" s="253" t="s">
        <v>8</v>
      </c>
      <c r="F142" s="254">
        <v>1</v>
      </c>
      <c r="G142" s="254">
        <v>845</v>
      </c>
      <c r="H142" s="254">
        <f>F142*G142</f>
        <v>845</v>
      </c>
    </row>
    <row r="143" spans="1:8" s="15" customFormat="1" ht="16.5" customHeight="1">
      <c r="A143" s="143"/>
      <c r="B143" s="143"/>
      <c r="C143" s="251">
        <v>3</v>
      </c>
      <c r="D143" s="252" t="s">
        <v>9</v>
      </c>
      <c r="E143" s="253" t="s">
        <v>8</v>
      </c>
      <c r="F143" s="254">
        <v>3</v>
      </c>
      <c r="G143" s="254">
        <v>635</v>
      </c>
      <c r="H143" s="254">
        <f>F143*G143</f>
        <v>1905</v>
      </c>
    </row>
    <row r="144" spans="1:8" s="15" customFormat="1" ht="16.5" customHeight="1">
      <c r="A144" s="143"/>
      <c r="B144" s="143"/>
      <c r="C144" s="251"/>
      <c r="D144" s="252" t="s">
        <v>39</v>
      </c>
      <c r="E144" s="246"/>
      <c r="F144" s="220"/>
      <c r="G144" s="247" t="s">
        <v>5</v>
      </c>
      <c r="H144" s="189">
        <f>SUM(H141:H143)</f>
        <v>4120</v>
      </c>
    </row>
    <row r="145" spans="1:8" s="15" customFormat="1" ht="16.5" customHeight="1">
      <c r="A145" s="143"/>
      <c r="B145" s="143"/>
      <c r="C145" s="220" t="s">
        <v>10</v>
      </c>
      <c r="D145" s="220"/>
      <c r="E145" s="246"/>
      <c r="F145" s="255">
        <f>ROUND(H144/G125,1)</f>
        <v>412</v>
      </c>
      <c r="G145" s="220"/>
      <c r="H145" s="220"/>
    </row>
    <row r="146" spans="1:8" s="15" customFormat="1" ht="16.5" customHeight="1">
      <c r="A146" s="143"/>
      <c r="B146" s="143"/>
      <c r="C146" s="220" t="s">
        <v>11</v>
      </c>
      <c r="D146" s="220"/>
      <c r="E146" s="256">
        <v>0.13614999999999999</v>
      </c>
      <c r="F146" s="255">
        <f>ROUND(F145*E146,1)</f>
        <v>56.1</v>
      </c>
      <c r="G146" s="220"/>
      <c r="H146" s="220"/>
    </row>
    <row r="147" spans="1:8" s="15" customFormat="1" ht="16.5" customHeight="1">
      <c r="A147" s="143"/>
      <c r="B147" s="143"/>
      <c r="C147" s="220" t="s">
        <v>12</v>
      </c>
      <c r="D147" s="220"/>
      <c r="E147" s="246"/>
      <c r="F147" s="257">
        <f>ROUND(F146+F145,1)</f>
        <v>468.1</v>
      </c>
      <c r="G147" s="258"/>
      <c r="H147" s="220"/>
    </row>
    <row r="148" spans="1:8" s="15" customFormat="1" ht="16.5" customHeight="1">
      <c r="A148" s="143"/>
      <c r="B148" s="143"/>
      <c r="C148" s="259" t="s">
        <v>40</v>
      </c>
      <c r="D148" s="220"/>
      <c r="E148" s="246"/>
      <c r="F148" s="220"/>
      <c r="G148" s="220"/>
      <c r="H148" s="220"/>
    </row>
    <row r="149" spans="1:8" s="15" customFormat="1" ht="16.5" customHeight="1">
      <c r="A149" s="143"/>
      <c r="B149" s="143"/>
      <c r="C149" s="220" t="s">
        <v>54</v>
      </c>
      <c r="D149" s="220"/>
      <c r="E149" s="246"/>
      <c r="F149" s="220"/>
      <c r="G149" s="251" t="s">
        <v>5</v>
      </c>
      <c r="H149" s="226">
        <f>H132</f>
        <v>701.84</v>
      </c>
    </row>
    <row r="150" spans="1:8" s="15" customFormat="1" ht="16.5" customHeight="1">
      <c r="A150" s="143"/>
      <c r="B150" s="143"/>
      <c r="C150" s="220" t="s">
        <v>41</v>
      </c>
      <c r="D150" s="220"/>
      <c r="E150" s="246"/>
      <c r="F150" s="220"/>
      <c r="G150" s="251" t="s">
        <v>5</v>
      </c>
      <c r="H150" s="226">
        <v>0</v>
      </c>
    </row>
    <row r="151" spans="1:8" s="15" customFormat="1" ht="16.5" customHeight="1">
      <c r="A151" s="143"/>
      <c r="B151" s="143"/>
      <c r="C151" s="220" t="s">
        <v>70</v>
      </c>
      <c r="D151" s="220"/>
      <c r="E151" s="246"/>
      <c r="F151" s="220"/>
      <c r="G151" s="251" t="s">
        <v>5</v>
      </c>
      <c r="H151" s="226">
        <f>H144</f>
        <v>4120</v>
      </c>
    </row>
    <row r="152" spans="1:8" s="15" customFormat="1" ht="16.5" customHeight="1">
      <c r="A152" s="143"/>
      <c r="B152" s="143"/>
      <c r="C152" s="251"/>
      <c r="D152" s="220"/>
      <c r="E152" s="246"/>
      <c r="F152" s="247"/>
      <c r="G152" s="251" t="s">
        <v>124</v>
      </c>
      <c r="H152" s="226">
        <f>SUM(H149:H151)</f>
        <v>4821.84</v>
      </c>
    </row>
    <row r="153" spans="1:8" s="15" customFormat="1" ht="16.5" customHeight="1">
      <c r="A153" s="143"/>
      <c r="B153" s="143"/>
      <c r="C153" s="252" t="s">
        <v>13</v>
      </c>
      <c r="D153" s="252"/>
      <c r="E153" s="246"/>
      <c r="F153" s="260">
        <v>0.13614999999999999</v>
      </c>
      <c r="G153" s="251" t="s">
        <v>5</v>
      </c>
      <c r="H153" s="235">
        <f>ROUND(H152*F153,2)</f>
        <v>656.49</v>
      </c>
    </row>
    <row r="154" spans="1:8" s="15" customFormat="1" ht="16.5" customHeight="1">
      <c r="A154" s="143"/>
      <c r="B154" s="143"/>
      <c r="C154" s="220" t="s">
        <v>14</v>
      </c>
      <c r="D154" s="220"/>
      <c r="E154" s="261">
        <v>10</v>
      </c>
      <c r="F154" s="221">
        <f>H126</f>
        <v>0</v>
      </c>
      <c r="G154" s="251" t="s">
        <v>5</v>
      </c>
      <c r="H154" s="242">
        <f>H153+H152</f>
        <v>5478.33</v>
      </c>
    </row>
    <row r="155" spans="1:8" s="15" customFormat="1" ht="16.5" customHeight="1">
      <c r="A155" s="143"/>
      <c r="B155" s="143"/>
      <c r="C155" s="259" t="s">
        <v>275</v>
      </c>
      <c r="D155" s="225"/>
      <c r="E155" s="246" t="s">
        <v>276</v>
      </c>
      <c r="F155" s="220"/>
      <c r="G155" s="251" t="s">
        <v>15</v>
      </c>
      <c r="H155" s="243">
        <f>ROUND(H154/E154,1)</f>
        <v>547.79999999999995</v>
      </c>
    </row>
    <row r="156" spans="1:8" s="15" customFormat="1" ht="16.5" customHeight="1">
      <c r="A156" s="143"/>
      <c r="B156" s="143"/>
      <c r="C156" s="262" t="s">
        <v>277</v>
      </c>
      <c r="D156" s="262"/>
      <c r="E156" s="263"/>
      <c r="F156" s="262"/>
      <c r="G156" s="262"/>
      <c r="H156" s="243">
        <f>10%*H155</f>
        <v>54.78</v>
      </c>
    </row>
    <row r="157" spans="1:8" s="15" customFormat="1" ht="16.5" customHeight="1">
      <c r="A157" s="143"/>
      <c r="B157" s="143"/>
      <c r="C157" s="220" t="s">
        <v>278</v>
      </c>
      <c r="D157" s="220"/>
      <c r="E157" s="261">
        <v>1</v>
      </c>
      <c r="F157" s="221" t="s">
        <v>305</v>
      </c>
      <c r="G157" s="251" t="s">
        <v>5</v>
      </c>
      <c r="H157" s="242">
        <f>H156+H155</f>
        <v>602.57999999999993</v>
      </c>
    </row>
    <row r="158" spans="1:8" s="15" customFormat="1" ht="16.5" customHeight="1">
      <c r="A158" s="143"/>
      <c r="B158" s="143"/>
      <c r="C158" s="423"/>
      <c r="D158" s="424"/>
      <c r="E158" s="424"/>
      <c r="F158" s="424"/>
      <c r="G158" s="424"/>
      <c r="H158" s="425"/>
    </row>
    <row r="159" spans="1:8" s="15" customFormat="1" ht="93" customHeight="1">
      <c r="A159" s="181">
        <v>6</v>
      </c>
      <c r="B159" s="181" t="s">
        <v>231</v>
      </c>
      <c r="C159" s="416" t="s">
        <v>306</v>
      </c>
      <c r="D159" s="416"/>
      <c r="E159" s="416"/>
      <c r="F159" s="416"/>
      <c r="G159" s="416"/>
      <c r="H159" s="416"/>
    </row>
    <row r="160" spans="1:8" s="15" customFormat="1" ht="22.5">
      <c r="A160" s="181"/>
      <c r="B160" s="181" t="s">
        <v>287</v>
      </c>
      <c r="C160" s="181"/>
      <c r="D160" s="242" t="s">
        <v>23</v>
      </c>
      <c r="E160" s="234"/>
      <c r="F160" s="242" t="s">
        <v>24</v>
      </c>
      <c r="G160" s="243">
        <v>15</v>
      </c>
      <c r="H160" s="242" t="s">
        <v>63</v>
      </c>
    </row>
    <row r="161" spans="1:8" s="15" customFormat="1" ht="22.5">
      <c r="A161" s="143"/>
      <c r="B161" s="143"/>
      <c r="C161" s="264" t="s">
        <v>25</v>
      </c>
      <c r="D161" s="265"/>
      <c r="E161" s="266"/>
      <c r="F161" s="264"/>
      <c r="G161" s="267"/>
      <c r="H161" s="268"/>
    </row>
    <row r="162" spans="1:8" s="15" customFormat="1" ht="22.5">
      <c r="A162" s="143"/>
      <c r="B162" s="143"/>
      <c r="C162" s="264" t="s">
        <v>68</v>
      </c>
      <c r="D162" s="265" t="s">
        <v>17</v>
      </c>
      <c r="E162" s="278" t="s">
        <v>2</v>
      </c>
      <c r="F162" s="271" t="s">
        <v>3</v>
      </c>
      <c r="G162" s="272" t="s">
        <v>59</v>
      </c>
      <c r="H162" s="272" t="s">
        <v>60</v>
      </c>
    </row>
    <row r="163" spans="1:8" s="15" customFormat="1" ht="22.5">
      <c r="A163" s="143"/>
      <c r="B163" s="143"/>
      <c r="C163" s="264"/>
      <c r="D163" s="265"/>
      <c r="E163" s="278"/>
      <c r="F163" s="271"/>
      <c r="G163" s="272" t="s">
        <v>4</v>
      </c>
      <c r="H163" s="272" t="s">
        <v>4</v>
      </c>
    </row>
    <row r="164" spans="1:8" s="15" customFormat="1" ht="22.5">
      <c r="A164" s="143"/>
      <c r="B164" s="143"/>
      <c r="C164" s="269">
        <v>1</v>
      </c>
      <c r="D164" s="270" t="s">
        <v>104</v>
      </c>
      <c r="E164" s="278" t="s">
        <v>18</v>
      </c>
      <c r="F164" s="271">
        <v>4200</v>
      </c>
      <c r="G164" s="272">
        <v>5.0999999999999996</v>
      </c>
      <c r="H164" s="272">
        <f>G164*F164</f>
        <v>21420</v>
      </c>
    </row>
    <row r="165" spans="1:8" s="15" customFormat="1" ht="22.5">
      <c r="A165" s="143"/>
      <c r="B165" s="143"/>
      <c r="C165" s="269"/>
      <c r="D165" s="270" t="s">
        <v>121</v>
      </c>
      <c r="E165" s="278" t="s">
        <v>18</v>
      </c>
      <c r="F165" s="271">
        <v>75</v>
      </c>
      <c r="G165" s="272">
        <v>5.0999999999999996</v>
      </c>
      <c r="H165" s="272">
        <f t="shared" ref="H165:H171" si="4">G165*F165</f>
        <v>382.5</v>
      </c>
    </row>
    <row r="166" spans="1:8" s="15" customFormat="1" ht="22.5">
      <c r="A166" s="143"/>
      <c r="B166" s="143"/>
      <c r="C166" s="269">
        <v>2</v>
      </c>
      <c r="D166" s="270" t="s">
        <v>26</v>
      </c>
      <c r="E166" s="278" t="s">
        <v>0</v>
      </c>
      <c r="F166" s="271">
        <v>6.75</v>
      </c>
      <c r="G166" s="272">
        <v>1107</v>
      </c>
      <c r="H166" s="272">
        <f t="shared" si="4"/>
        <v>7472.25</v>
      </c>
    </row>
    <row r="167" spans="1:8" s="15" customFormat="1" ht="22.5">
      <c r="A167" s="143"/>
      <c r="B167" s="143"/>
      <c r="C167" s="269"/>
      <c r="D167" s="270" t="s">
        <v>27</v>
      </c>
      <c r="E167" s="278" t="s">
        <v>0</v>
      </c>
      <c r="F167" s="271">
        <v>4.05</v>
      </c>
      <c r="G167" s="272">
        <v>1230</v>
      </c>
      <c r="H167" s="272">
        <f t="shared" si="4"/>
        <v>4981.5</v>
      </c>
    </row>
    <row r="168" spans="1:8" s="15" customFormat="1" ht="22.5">
      <c r="A168" s="143"/>
      <c r="B168" s="143"/>
      <c r="C168" s="269"/>
      <c r="D168" s="270" t="s">
        <v>28</v>
      </c>
      <c r="E168" s="278" t="s">
        <v>0</v>
      </c>
      <c r="F168" s="271">
        <v>2.7</v>
      </c>
      <c r="G168" s="272">
        <v>945</v>
      </c>
      <c r="H168" s="272">
        <f t="shared" si="4"/>
        <v>2551.5</v>
      </c>
    </row>
    <row r="169" spans="1:8" s="15" customFormat="1" ht="22.5">
      <c r="A169" s="143"/>
      <c r="B169" s="143"/>
      <c r="C169" s="269">
        <v>3</v>
      </c>
      <c r="D169" s="270" t="s">
        <v>106</v>
      </c>
      <c r="E169" s="278" t="s">
        <v>0</v>
      </c>
      <c r="F169" s="271">
        <v>6</v>
      </c>
      <c r="G169" s="272">
        <v>777</v>
      </c>
      <c r="H169" s="272">
        <f t="shared" si="4"/>
        <v>4662</v>
      </c>
    </row>
    <row r="170" spans="1:8" s="15" customFormat="1" ht="22.5">
      <c r="A170" s="143"/>
      <c r="B170" s="143"/>
      <c r="C170" s="269">
        <v>5</v>
      </c>
      <c r="D170" s="270" t="s">
        <v>107</v>
      </c>
      <c r="E170" s="278" t="s">
        <v>18</v>
      </c>
      <c r="F170" s="271">
        <v>16.8</v>
      </c>
      <c r="G170" s="272">
        <v>78</v>
      </c>
      <c r="H170" s="272">
        <f t="shared" si="4"/>
        <v>1310.4000000000001</v>
      </c>
    </row>
    <row r="171" spans="1:8" s="15" customFormat="1" ht="22.5">
      <c r="A171" s="143"/>
      <c r="B171" s="143"/>
      <c r="C171" s="269"/>
      <c r="D171" s="270" t="s">
        <v>232</v>
      </c>
      <c r="E171" s="278" t="s">
        <v>1</v>
      </c>
      <c r="F171" s="271">
        <v>30</v>
      </c>
      <c r="G171" s="272">
        <v>225.52900000000002</v>
      </c>
      <c r="H171" s="272">
        <f t="shared" si="4"/>
        <v>6765.8700000000008</v>
      </c>
    </row>
    <row r="172" spans="1:8" s="15" customFormat="1" ht="22.5">
      <c r="A172" s="143"/>
      <c r="B172" s="143"/>
      <c r="C172" s="269">
        <v>6</v>
      </c>
      <c r="D172" s="270" t="s">
        <v>109</v>
      </c>
      <c r="E172" s="278">
        <v>0.25</v>
      </c>
      <c r="F172" s="271"/>
      <c r="G172" s="272"/>
      <c r="H172" s="272">
        <f>H171*E172</f>
        <v>1691.4675000000002</v>
      </c>
    </row>
    <row r="173" spans="1:8" s="15" customFormat="1" ht="22.5">
      <c r="A173" s="143"/>
      <c r="B173" s="143"/>
      <c r="C173" s="269"/>
      <c r="D173" s="270" t="s">
        <v>110</v>
      </c>
      <c r="E173" s="278" t="s">
        <v>111</v>
      </c>
      <c r="F173" s="271">
        <v>0.5</v>
      </c>
      <c r="G173" s="273">
        <v>20</v>
      </c>
      <c r="H173" s="272">
        <f>G173*F173</f>
        <v>10</v>
      </c>
    </row>
    <row r="174" spans="1:8" s="15" customFormat="1" ht="22.5">
      <c r="A174" s="143"/>
      <c r="B174" s="143"/>
      <c r="C174" s="264"/>
      <c r="D174" s="274" t="s">
        <v>29</v>
      </c>
      <c r="E174" s="279"/>
      <c r="F174" s="280"/>
      <c r="G174" s="271"/>
      <c r="H174" s="273">
        <f>SUM(H164:H173)</f>
        <v>51247.487500000003</v>
      </c>
    </row>
    <row r="175" spans="1:8" s="15" customFormat="1" ht="22.5">
      <c r="A175" s="143"/>
      <c r="B175" s="143"/>
      <c r="C175" s="264" t="s">
        <v>30</v>
      </c>
      <c r="D175" s="265"/>
      <c r="E175" s="266"/>
      <c r="F175" s="264"/>
      <c r="G175" s="267"/>
      <c r="H175" s="268"/>
    </row>
    <row r="176" spans="1:8" s="15" customFormat="1" ht="22.5">
      <c r="A176" s="143"/>
      <c r="B176" s="143"/>
      <c r="C176" s="264" t="s">
        <v>68</v>
      </c>
      <c r="D176" s="265" t="s">
        <v>6</v>
      </c>
      <c r="E176" s="278" t="s">
        <v>2</v>
      </c>
      <c r="F176" s="271" t="s">
        <v>3</v>
      </c>
      <c r="G176" s="272" t="s">
        <v>59</v>
      </c>
      <c r="H176" s="272" t="s">
        <v>60</v>
      </c>
    </row>
    <row r="177" spans="1:8" s="15" customFormat="1" ht="22.5">
      <c r="A177" s="143"/>
      <c r="B177" s="143"/>
      <c r="C177" s="264"/>
      <c r="D177" s="265"/>
      <c r="E177" s="278"/>
      <c r="F177" s="271"/>
      <c r="G177" s="272" t="s">
        <v>4</v>
      </c>
      <c r="H177" s="272" t="s">
        <v>4</v>
      </c>
    </row>
    <row r="178" spans="1:8" s="15" customFormat="1" ht="22.5">
      <c r="A178" s="143"/>
      <c r="B178" s="143"/>
      <c r="C178" s="269">
        <v>1</v>
      </c>
      <c r="D178" s="265" t="s">
        <v>112</v>
      </c>
      <c r="E178" s="278" t="s">
        <v>16</v>
      </c>
      <c r="F178" s="271">
        <v>8</v>
      </c>
      <c r="G178" s="272">
        <v>67.2</v>
      </c>
      <c r="H178" s="272">
        <f>F178*G178</f>
        <v>537.6</v>
      </c>
    </row>
    <row r="179" spans="1:8" s="15" customFormat="1" ht="22.5">
      <c r="A179" s="143"/>
      <c r="B179" s="143"/>
      <c r="C179" s="269"/>
      <c r="D179" s="265" t="s">
        <v>31</v>
      </c>
      <c r="E179" s="278" t="s">
        <v>16</v>
      </c>
      <c r="F179" s="271">
        <v>8</v>
      </c>
      <c r="G179" s="272">
        <v>142.80000000000001</v>
      </c>
      <c r="H179" s="272">
        <f t="shared" ref="H179:H185" si="5">F179*G179</f>
        <v>1142.4000000000001</v>
      </c>
    </row>
    <row r="180" spans="1:8" s="15" customFormat="1" ht="22.5">
      <c r="A180" s="143"/>
      <c r="B180" s="143"/>
      <c r="C180" s="269">
        <v>2</v>
      </c>
      <c r="D180" s="265" t="s">
        <v>113</v>
      </c>
      <c r="E180" s="278" t="s">
        <v>16</v>
      </c>
      <c r="F180" s="271">
        <v>0.5</v>
      </c>
      <c r="G180" s="272">
        <v>10.7</v>
      </c>
      <c r="H180" s="272">
        <f t="shared" si="5"/>
        <v>5.35</v>
      </c>
    </row>
    <row r="181" spans="1:8" s="15" customFormat="1" ht="22.5">
      <c r="A181" s="143"/>
      <c r="B181" s="143"/>
      <c r="C181" s="269"/>
      <c r="D181" s="265" t="s">
        <v>31</v>
      </c>
      <c r="E181" s="278" t="s">
        <v>16</v>
      </c>
      <c r="F181" s="271">
        <v>0.5</v>
      </c>
      <c r="G181" s="272">
        <v>142.80000000000001</v>
      </c>
      <c r="H181" s="272">
        <f t="shared" si="5"/>
        <v>71.400000000000006</v>
      </c>
    </row>
    <row r="182" spans="1:8" s="15" customFormat="1" ht="22.5">
      <c r="A182" s="143"/>
      <c r="B182" s="143"/>
      <c r="C182" s="269">
        <v>3</v>
      </c>
      <c r="D182" s="265" t="s">
        <v>114</v>
      </c>
      <c r="E182" s="278" t="s">
        <v>16</v>
      </c>
      <c r="F182" s="271">
        <v>1</v>
      </c>
      <c r="G182" s="272">
        <v>495.6</v>
      </c>
      <c r="H182" s="272">
        <f t="shared" si="5"/>
        <v>495.6</v>
      </c>
    </row>
    <row r="183" spans="1:8" s="15" customFormat="1" ht="22.5">
      <c r="A183" s="143"/>
      <c r="B183" s="143"/>
      <c r="C183" s="269"/>
      <c r="D183" s="265" t="s">
        <v>31</v>
      </c>
      <c r="E183" s="278" t="s">
        <v>16</v>
      </c>
      <c r="F183" s="271">
        <v>1</v>
      </c>
      <c r="G183" s="272">
        <v>539.6</v>
      </c>
      <c r="H183" s="272">
        <f t="shared" si="5"/>
        <v>539.6</v>
      </c>
    </row>
    <row r="184" spans="1:8" s="15" customFormat="1" ht="30">
      <c r="A184" s="143"/>
      <c r="B184" s="143"/>
      <c r="C184" s="269">
        <v>4</v>
      </c>
      <c r="D184" s="281" t="s">
        <v>115</v>
      </c>
      <c r="E184" s="278" t="s">
        <v>16</v>
      </c>
      <c r="F184" s="271">
        <v>8</v>
      </c>
      <c r="G184" s="272">
        <v>7.3</v>
      </c>
      <c r="H184" s="272">
        <f t="shared" si="5"/>
        <v>58.4</v>
      </c>
    </row>
    <row r="185" spans="1:8" s="15" customFormat="1" ht="22.5">
      <c r="A185" s="143"/>
      <c r="B185" s="143"/>
      <c r="C185" s="264"/>
      <c r="D185" s="265" t="s">
        <v>31</v>
      </c>
      <c r="E185" s="278" t="s">
        <v>16</v>
      </c>
      <c r="F185" s="271">
        <v>8</v>
      </c>
      <c r="G185" s="272">
        <v>31.8</v>
      </c>
      <c r="H185" s="272">
        <f t="shared" si="5"/>
        <v>254.4</v>
      </c>
    </row>
    <row r="186" spans="1:8" s="15" customFormat="1" ht="22.5">
      <c r="A186" s="143"/>
      <c r="B186" s="143"/>
      <c r="C186" s="264"/>
      <c r="D186" s="274" t="s">
        <v>32</v>
      </c>
      <c r="E186" s="279"/>
      <c r="F186" s="280"/>
      <c r="G186" s="273" t="s">
        <v>5</v>
      </c>
      <c r="H186" s="273">
        <f>SUM(H178:H185)</f>
        <v>3104.75</v>
      </c>
    </row>
    <row r="187" spans="1:8" s="15" customFormat="1" ht="22.5">
      <c r="A187" s="143"/>
      <c r="B187" s="143"/>
      <c r="C187" s="264" t="s">
        <v>33</v>
      </c>
      <c r="D187" s="265"/>
      <c r="E187" s="266"/>
      <c r="F187" s="264"/>
      <c r="G187" s="267"/>
      <c r="H187" s="268"/>
    </row>
    <row r="188" spans="1:8" s="15" customFormat="1" ht="22.5">
      <c r="A188" s="143"/>
      <c r="B188" s="143"/>
      <c r="C188" s="264" t="s">
        <v>68</v>
      </c>
      <c r="D188" s="265" t="s">
        <v>6</v>
      </c>
      <c r="E188" s="266" t="s">
        <v>2</v>
      </c>
      <c r="F188" s="264" t="s">
        <v>3</v>
      </c>
      <c r="G188" s="267" t="s">
        <v>59</v>
      </c>
      <c r="H188" s="268" t="s">
        <v>60</v>
      </c>
    </row>
    <row r="189" spans="1:8" s="15" customFormat="1" ht="22.5">
      <c r="A189" s="143"/>
      <c r="B189" s="143"/>
      <c r="C189" s="264"/>
      <c r="D189" s="265"/>
      <c r="E189" s="266"/>
      <c r="F189" s="264"/>
      <c r="G189" s="267" t="s">
        <v>4</v>
      </c>
      <c r="H189" s="268" t="s">
        <v>4</v>
      </c>
    </row>
    <row r="190" spans="1:8" s="15" customFormat="1" ht="22.5">
      <c r="A190" s="143"/>
      <c r="B190" s="143"/>
      <c r="C190" s="269">
        <v>1</v>
      </c>
      <c r="D190" s="265" t="s">
        <v>20</v>
      </c>
      <c r="E190" s="266" t="s">
        <v>16</v>
      </c>
      <c r="F190" s="282">
        <v>8</v>
      </c>
      <c r="G190" s="272">
        <v>375.7</v>
      </c>
      <c r="H190" s="272">
        <f>F190*G190</f>
        <v>3005.6</v>
      </c>
    </row>
    <row r="191" spans="1:8" s="15" customFormat="1" ht="22.5">
      <c r="A191" s="143"/>
      <c r="B191" s="143"/>
      <c r="C191" s="269">
        <v>2</v>
      </c>
      <c r="D191" s="265" t="s">
        <v>34</v>
      </c>
      <c r="E191" s="266" t="s">
        <v>16</v>
      </c>
      <c r="F191" s="282">
        <v>0.5</v>
      </c>
      <c r="G191" s="272">
        <v>187.2</v>
      </c>
      <c r="H191" s="272">
        <f t="shared" ref="H191:H202" si="6">F191*G191</f>
        <v>93.6</v>
      </c>
    </row>
    <row r="192" spans="1:8" s="15" customFormat="1" ht="22.5">
      <c r="A192" s="143"/>
      <c r="B192" s="143"/>
      <c r="C192" s="269">
        <v>3</v>
      </c>
      <c r="D192" s="265" t="s">
        <v>116</v>
      </c>
      <c r="E192" s="266" t="s">
        <v>16</v>
      </c>
      <c r="F192" s="282">
        <v>1</v>
      </c>
      <c r="G192" s="272">
        <v>293.5</v>
      </c>
      <c r="H192" s="272">
        <f t="shared" si="6"/>
        <v>293.5</v>
      </c>
    </row>
    <row r="193" spans="1:8" s="15" customFormat="1" ht="22.5">
      <c r="A193" s="143"/>
      <c r="B193" s="143"/>
      <c r="C193" s="269">
        <v>4</v>
      </c>
      <c r="D193" s="265" t="s">
        <v>122</v>
      </c>
      <c r="E193" s="266" t="s">
        <v>16</v>
      </c>
      <c r="F193" s="282">
        <v>8</v>
      </c>
      <c r="G193" s="272">
        <v>270.39999999999998</v>
      </c>
      <c r="H193" s="272">
        <f t="shared" si="6"/>
        <v>2163.1999999999998</v>
      </c>
    </row>
    <row r="194" spans="1:8" s="15" customFormat="1" ht="22.5">
      <c r="A194" s="143"/>
      <c r="B194" s="143"/>
      <c r="C194" s="269">
        <v>5</v>
      </c>
      <c r="D194" s="265" t="s">
        <v>35</v>
      </c>
      <c r="E194" s="266" t="s">
        <v>8</v>
      </c>
      <c r="F194" s="282">
        <v>1</v>
      </c>
      <c r="G194" s="272">
        <v>715</v>
      </c>
      <c r="H194" s="272">
        <f t="shared" si="6"/>
        <v>715</v>
      </c>
    </row>
    <row r="195" spans="1:8" s="15" customFormat="1" ht="22.5">
      <c r="A195" s="143"/>
      <c r="B195" s="143"/>
      <c r="C195" s="269">
        <v>6</v>
      </c>
      <c r="D195" s="265" t="s">
        <v>7</v>
      </c>
      <c r="E195" s="266" t="s">
        <v>8</v>
      </c>
      <c r="F195" s="282">
        <v>1</v>
      </c>
      <c r="G195" s="272">
        <v>845</v>
      </c>
      <c r="H195" s="272">
        <f t="shared" si="6"/>
        <v>845</v>
      </c>
    </row>
    <row r="196" spans="1:8" s="15" customFormat="1" ht="22.5">
      <c r="A196" s="143"/>
      <c r="B196" s="143"/>
      <c r="C196" s="269">
        <v>7</v>
      </c>
      <c r="D196" s="265" t="s">
        <v>9</v>
      </c>
      <c r="E196" s="266"/>
      <c r="F196" s="282"/>
      <c r="G196" s="272"/>
      <c r="H196" s="272">
        <f t="shared" si="6"/>
        <v>0</v>
      </c>
    </row>
    <row r="197" spans="1:8" s="15" customFormat="1" ht="22.5">
      <c r="A197" s="143"/>
      <c r="B197" s="143"/>
      <c r="C197" s="269"/>
      <c r="D197" s="265" t="s">
        <v>117</v>
      </c>
      <c r="E197" s="266" t="s">
        <v>8</v>
      </c>
      <c r="F197" s="282">
        <v>11</v>
      </c>
      <c r="G197" s="272">
        <v>635</v>
      </c>
      <c r="H197" s="272">
        <f t="shared" si="6"/>
        <v>6985</v>
      </c>
    </row>
    <row r="198" spans="1:8" s="15" customFormat="1" ht="22.5">
      <c r="A198" s="143"/>
      <c r="B198" s="143"/>
      <c r="C198" s="269"/>
      <c r="D198" s="265" t="s">
        <v>36</v>
      </c>
      <c r="E198" s="266" t="s">
        <v>8</v>
      </c>
      <c r="F198" s="282">
        <v>4</v>
      </c>
      <c r="G198" s="272">
        <v>635</v>
      </c>
      <c r="H198" s="272">
        <f t="shared" si="6"/>
        <v>2540</v>
      </c>
    </row>
    <row r="199" spans="1:8" s="15" customFormat="1" ht="22.5">
      <c r="A199" s="143"/>
      <c r="B199" s="143"/>
      <c r="C199" s="269"/>
      <c r="D199" s="265" t="s">
        <v>123</v>
      </c>
      <c r="E199" s="266" t="s">
        <v>8</v>
      </c>
      <c r="F199" s="282">
        <v>4</v>
      </c>
      <c r="G199" s="272">
        <v>635</v>
      </c>
      <c r="H199" s="272">
        <f t="shared" si="6"/>
        <v>2540</v>
      </c>
    </row>
    <row r="200" spans="1:8" s="15" customFormat="1" ht="22.5">
      <c r="A200" s="143"/>
      <c r="B200" s="143"/>
      <c r="C200" s="269"/>
      <c r="D200" s="265" t="s">
        <v>38</v>
      </c>
      <c r="E200" s="266" t="s">
        <v>8</v>
      </c>
      <c r="F200" s="282">
        <v>15</v>
      </c>
      <c r="G200" s="272">
        <v>635</v>
      </c>
      <c r="H200" s="272">
        <f t="shared" si="6"/>
        <v>9525</v>
      </c>
    </row>
    <row r="201" spans="1:8" s="15" customFormat="1" ht="22.5">
      <c r="A201" s="143"/>
      <c r="B201" s="143"/>
      <c r="C201" s="269"/>
      <c r="D201" s="265" t="s">
        <v>118</v>
      </c>
      <c r="E201" s="266" t="s">
        <v>8</v>
      </c>
      <c r="F201" s="282">
        <v>1</v>
      </c>
      <c r="G201" s="272">
        <v>635</v>
      </c>
      <c r="H201" s="272">
        <f t="shared" si="6"/>
        <v>635</v>
      </c>
    </row>
    <row r="202" spans="1:8" s="15" customFormat="1" ht="22.5">
      <c r="A202" s="143"/>
      <c r="B202" s="143"/>
      <c r="C202" s="269">
        <v>8</v>
      </c>
      <c r="D202" s="265" t="s">
        <v>119</v>
      </c>
      <c r="E202" s="266" t="s">
        <v>1</v>
      </c>
      <c r="F202" s="282">
        <v>15</v>
      </c>
      <c r="G202" s="272">
        <v>79.8</v>
      </c>
      <c r="H202" s="272">
        <f t="shared" si="6"/>
        <v>1197</v>
      </c>
    </row>
    <row r="203" spans="1:8" s="15" customFormat="1" ht="22.5">
      <c r="A203" s="143"/>
      <c r="B203" s="143"/>
      <c r="C203" s="264"/>
      <c r="D203" s="265" t="s">
        <v>120</v>
      </c>
      <c r="E203" s="266">
        <v>0.25</v>
      </c>
      <c r="F203" s="271"/>
      <c r="G203" s="272"/>
      <c r="H203" s="272">
        <f>H202*0.25</f>
        <v>299.25</v>
      </c>
    </row>
    <row r="204" spans="1:8" s="15" customFormat="1" ht="22.5">
      <c r="A204" s="143"/>
      <c r="B204" s="143"/>
      <c r="C204" s="264"/>
      <c r="D204" s="274" t="s">
        <v>39</v>
      </c>
      <c r="E204" s="275"/>
      <c r="F204" s="276"/>
      <c r="G204" s="283" t="s">
        <v>5</v>
      </c>
      <c r="H204" s="277">
        <f>SUM(H190:H203)</f>
        <v>30837.15</v>
      </c>
    </row>
    <row r="205" spans="1:8" s="15" customFormat="1" ht="22.5">
      <c r="A205" s="143"/>
      <c r="B205" s="143"/>
      <c r="C205" s="264" t="s">
        <v>10</v>
      </c>
      <c r="D205" s="265"/>
      <c r="E205" s="266"/>
      <c r="F205" s="299">
        <f>H204/G160</f>
        <v>2055.81</v>
      </c>
      <c r="G205" s="267"/>
      <c r="H205" s="268"/>
    </row>
    <row r="206" spans="1:8" s="15" customFormat="1" ht="22.5">
      <c r="A206" s="143"/>
      <c r="B206" s="143"/>
      <c r="C206" s="264" t="s">
        <v>11</v>
      </c>
      <c r="D206" s="265"/>
      <c r="E206" s="300">
        <v>0.13614999999999999</v>
      </c>
      <c r="F206" s="299">
        <f>F205*0.13615</f>
        <v>279.89853149999999</v>
      </c>
      <c r="G206" s="267"/>
      <c r="H206" s="268"/>
    </row>
    <row r="207" spans="1:8" s="15" customFormat="1" ht="22.5">
      <c r="A207" s="143"/>
      <c r="B207" s="143"/>
      <c r="C207" s="264" t="s">
        <v>12</v>
      </c>
      <c r="D207" s="265"/>
      <c r="E207" s="266"/>
      <c r="F207" s="299">
        <f>F205+F206</f>
        <v>2335.7085314999999</v>
      </c>
      <c r="G207" s="267"/>
      <c r="H207" s="268"/>
    </row>
    <row r="208" spans="1:8" s="15" customFormat="1" ht="22.5">
      <c r="A208" s="143"/>
      <c r="B208" s="143"/>
      <c r="C208" s="264" t="s">
        <v>40</v>
      </c>
      <c r="D208" s="265"/>
      <c r="E208" s="266"/>
      <c r="F208" s="264"/>
      <c r="G208" s="267"/>
      <c r="H208" s="268"/>
    </row>
    <row r="209" spans="1:8" s="15" customFormat="1" ht="22.5">
      <c r="A209" s="143"/>
      <c r="B209" s="143"/>
      <c r="C209" s="264" t="s">
        <v>54</v>
      </c>
      <c r="D209" s="265"/>
      <c r="E209" s="266"/>
      <c r="F209" s="264"/>
      <c r="G209" s="267" t="s">
        <v>5</v>
      </c>
      <c r="H209" s="272">
        <f>H174</f>
        <v>51247.487500000003</v>
      </c>
    </row>
    <row r="210" spans="1:8" s="15" customFormat="1" ht="22.5">
      <c r="A210" s="143"/>
      <c r="B210" s="143"/>
      <c r="C210" s="264" t="s">
        <v>41</v>
      </c>
      <c r="D210" s="265"/>
      <c r="E210" s="266"/>
      <c r="F210" s="264"/>
      <c r="G210" s="267" t="s">
        <v>5</v>
      </c>
      <c r="H210" s="272">
        <f>H186</f>
        <v>3104.75</v>
      </c>
    </row>
    <row r="211" spans="1:8" s="15" customFormat="1" ht="22.5">
      <c r="A211" s="143"/>
      <c r="B211" s="143"/>
      <c r="C211" s="264" t="s">
        <v>70</v>
      </c>
      <c r="D211" s="265"/>
      <c r="E211" s="266"/>
      <c r="F211" s="264"/>
      <c r="G211" s="267" t="s">
        <v>5</v>
      </c>
      <c r="H211" s="272">
        <f>H204</f>
        <v>30837.15</v>
      </c>
    </row>
    <row r="212" spans="1:8" s="15" customFormat="1" ht="22.5">
      <c r="A212" s="143"/>
      <c r="B212" s="143"/>
      <c r="C212" s="264"/>
      <c r="D212" s="265"/>
      <c r="E212" s="266"/>
      <c r="F212" s="264"/>
      <c r="G212" s="267" t="s">
        <v>124</v>
      </c>
      <c r="H212" s="273">
        <f>SUM(H209:H211)</f>
        <v>85189.387500000012</v>
      </c>
    </row>
    <row r="213" spans="1:8" s="15" customFormat="1" ht="22.5">
      <c r="A213" s="143"/>
      <c r="B213" s="143"/>
      <c r="C213" s="432" t="s">
        <v>13</v>
      </c>
      <c r="D213" s="433"/>
      <c r="E213" s="434"/>
      <c r="F213" s="301">
        <v>0.13614999999999999</v>
      </c>
      <c r="G213" s="267" t="s">
        <v>5</v>
      </c>
      <c r="H213" s="272">
        <f>H212*0.13615</f>
        <v>11598.535108125001</v>
      </c>
    </row>
    <row r="214" spans="1:8" s="15" customFormat="1" ht="22.5">
      <c r="A214" s="143"/>
      <c r="B214" s="143"/>
      <c r="C214" s="264" t="s">
        <v>14</v>
      </c>
      <c r="D214" s="265"/>
      <c r="E214" s="266">
        <v>15</v>
      </c>
      <c r="F214" s="264" t="s">
        <v>0</v>
      </c>
      <c r="G214" s="267" t="s">
        <v>5</v>
      </c>
      <c r="H214" s="272">
        <f>H212+H213</f>
        <v>96787.922608125009</v>
      </c>
    </row>
    <row r="215" spans="1:8" s="15" customFormat="1" ht="30">
      <c r="A215" s="143"/>
      <c r="B215" s="143"/>
      <c r="C215" s="264" t="s">
        <v>102</v>
      </c>
      <c r="D215" s="265" t="s">
        <v>0</v>
      </c>
      <c r="E215" s="266" t="s">
        <v>233</v>
      </c>
      <c r="F215" s="264"/>
      <c r="G215" s="267" t="s">
        <v>15</v>
      </c>
      <c r="H215" s="273">
        <f>ROUND(H214/E214,1)</f>
        <v>6452.5</v>
      </c>
    </row>
    <row r="216" spans="1:8" s="15" customFormat="1" ht="22.5">
      <c r="A216" s="143"/>
      <c r="B216" s="143"/>
      <c r="C216" s="284" t="s">
        <v>248</v>
      </c>
      <c r="D216" s="285"/>
      <c r="E216" s="286" t="s">
        <v>249</v>
      </c>
      <c r="F216" s="287" t="s">
        <v>250</v>
      </c>
      <c r="G216" s="287" t="s">
        <v>145</v>
      </c>
      <c r="H216" s="287"/>
    </row>
    <row r="217" spans="1:8" s="15" customFormat="1" ht="22.5">
      <c r="A217" s="143"/>
      <c r="B217" s="143"/>
      <c r="C217" s="288" t="s">
        <v>257</v>
      </c>
      <c r="D217" s="285"/>
      <c r="E217" s="289">
        <v>5.0999999999999996</v>
      </c>
      <c r="F217" s="290">
        <v>5.0999999999999996</v>
      </c>
      <c r="G217" s="291">
        <v>285</v>
      </c>
      <c r="H217" s="290">
        <f>(E217-F217)*G217</f>
        <v>0</v>
      </c>
    </row>
    <row r="218" spans="1:8" s="15" customFormat="1" ht="22.5">
      <c r="A218" s="143"/>
      <c r="B218" s="143"/>
      <c r="C218" s="288" t="s">
        <v>252</v>
      </c>
      <c r="D218" s="285"/>
      <c r="E218" s="292"/>
      <c r="F218" s="290"/>
      <c r="G218" s="290"/>
      <c r="H218" s="290">
        <f>ROUND((H217*13.615%),2)</f>
        <v>0</v>
      </c>
    </row>
    <row r="219" spans="1:8" s="15" customFormat="1" ht="22.5">
      <c r="A219" s="143"/>
      <c r="B219" s="143"/>
      <c r="C219" s="293"/>
      <c r="D219" s="294"/>
      <c r="E219" s="295"/>
      <c r="F219" s="296"/>
      <c r="G219" s="297"/>
      <c r="H219" s="297"/>
    </row>
    <row r="220" spans="1:8" s="15" customFormat="1" ht="22.5">
      <c r="A220" s="143"/>
      <c r="B220" s="143"/>
      <c r="C220" s="288" t="s">
        <v>258</v>
      </c>
      <c r="D220" s="285"/>
      <c r="E220" s="292"/>
      <c r="F220" s="290">
        <v>0.4</v>
      </c>
      <c r="G220" s="298">
        <f>'Lead  (2)'!M6</f>
        <v>292.7</v>
      </c>
      <c r="H220" s="296">
        <f>F220*G220</f>
        <v>117.08</v>
      </c>
    </row>
    <row r="221" spans="1:8" s="15" customFormat="1" ht="22.5">
      <c r="A221" s="143"/>
      <c r="B221" s="143"/>
      <c r="C221" s="288" t="s">
        <v>259</v>
      </c>
      <c r="D221" s="285"/>
      <c r="E221" s="292"/>
      <c r="F221" s="290">
        <v>0.9</v>
      </c>
      <c r="G221" s="298">
        <f>'Lead  (2)'!M7</f>
        <v>468.1</v>
      </c>
      <c r="H221" s="296">
        <f>F221*G221</f>
        <v>421.29</v>
      </c>
    </row>
    <row r="222" spans="1:8" s="15" customFormat="1" ht="22.5">
      <c r="A222" s="143"/>
      <c r="B222" s="143"/>
      <c r="C222" s="264"/>
      <c r="D222" s="265"/>
      <c r="E222" s="278"/>
      <c r="F222" s="271"/>
      <c r="G222" s="272"/>
      <c r="H222" s="272"/>
    </row>
    <row r="223" spans="1:8" s="15" customFormat="1" ht="22.5">
      <c r="A223" s="143"/>
      <c r="B223" s="143"/>
      <c r="C223" s="264"/>
      <c r="D223" s="265"/>
      <c r="E223" s="266"/>
      <c r="F223" s="271" t="s">
        <v>255</v>
      </c>
      <c r="G223" s="267"/>
      <c r="H223" s="272">
        <f>SUM(H215:H222)</f>
        <v>6990.87</v>
      </c>
    </row>
    <row r="224" spans="1:8" s="15" customFormat="1" ht="22.5">
      <c r="A224" s="143"/>
      <c r="B224" s="143"/>
      <c r="C224" s="264"/>
      <c r="D224" s="265"/>
      <c r="E224" s="266"/>
      <c r="F224" s="264"/>
      <c r="G224" s="267" t="s">
        <v>256</v>
      </c>
      <c r="H224" s="273">
        <f>ROUND(H223,1)</f>
        <v>6990.9</v>
      </c>
    </row>
    <row r="225" spans="1:8" s="15" customFormat="1" ht="22.5">
      <c r="A225" s="143"/>
      <c r="B225" s="143"/>
      <c r="C225" s="435"/>
      <c r="D225" s="436"/>
      <c r="E225" s="436"/>
      <c r="F225" s="436"/>
      <c r="G225" s="436"/>
      <c r="H225" s="437"/>
    </row>
    <row r="226" spans="1:8" s="15" customFormat="1" ht="60.75" customHeight="1">
      <c r="A226" s="181">
        <v>7</v>
      </c>
      <c r="B226" s="181" t="s">
        <v>307</v>
      </c>
      <c r="C226" s="416" t="s">
        <v>308</v>
      </c>
      <c r="D226" s="416"/>
      <c r="E226" s="416"/>
      <c r="F226" s="416"/>
      <c r="G226" s="416"/>
      <c r="H226" s="416"/>
    </row>
    <row r="227" spans="1:8" s="15" customFormat="1" ht="22.5">
      <c r="A227" s="181"/>
      <c r="B227" s="181" t="s">
        <v>287</v>
      </c>
      <c r="C227" s="181"/>
      <c r="D227" s="242" t="s">
        <v>23</v>
      </c>
      <c r="E227" s="234"/>
      <c r="F227" s="242" t="s">
        <v>24</v>
      </c>
      <c r="G227" s="243">
        <v>807</v>
      </c>
      <c r="H227" s="242" t="s">
        <v>63</v>
      </c>
    </row>
    <row r="228" spans="1:8" s="15" customFormat="1" ht="22.5">
      <c r="A228" s="181"/>
      <c r="B228" s="181"/>
      <c r="C228" s="302" t="s">
        <v>25</v>
      </c>
      <c r="D228" s="303"/>
      <c r="E228" s="304"/>
      <c r="F228" s="303"/>
      <c r="G228" s="303"/>
      <c r="H228" s="303"/>
    </row>
    <row r="229" spans="1:8" s="15" customFormat="1" ht="22.5">
      <c r="A229" s="181"/>
      <c r="B229" s="181"/>
      <c r="C229" s="235" t="s">
        <v>68</v>
      </c>
      <c r="D229" s="235" t="s">
        <v>17</v>
      </c>
      <c r="E229" s="234" t="s">
        <v>2</v>
      </c>
      <c r="F229" s="235" t="s">
        <v>3</v>
      </c>
      <c r="G229" s="235" t="s">
        <v>59</v>
      </c>
      <c r="H229" s="235" t="s">
        <v>60</v>
      </c>
    </row>
    <row r="230" spans="1:8" s="15" customFormat="1" ht="22.5">
      <c r="A230" s="181"/>
      <c r="B230" s="181"/>
      <c r="C230" s="235"/>
      <c r="D230" s="303"/>
      <c r="E230" s="234"/>
      <c r="F230" s="235"/>
      <c r="G230" s="235" t="s">
        <v>4</v>
      </c>
      <c r="H230" s="235" t="s">
        <v>4</v>
      </c>
    </row>
    <row r="231" spans="1:8" s="15" customFormat="1" ht="22.5">
      <c r="A231" s="181"/>
      <c r="B231" s="181"/>
      <c r="C231" s="235">
        <v>1</v>
      </c>
      <c r="D231" s="235" t="s">
        <v>234</v>
      </c>
      <c r="E231" s="234"/>
      <c r="F231" s="226">
        <v>0</v>
      </c>
      <c r="G231" s="226">
        <v>0</v>
      </c>
      <c r="H231" s="226">
        <f>F231*G231</f>
        <v>0</v>
      </c>
    </row>
    <row r="232" spans="1:8" s="15" customFormat="1" ht="22.5">
      <c r="A232" s="181"/>
      <c r="B232" s="181"/>
      <c r="C232" s="235"/>
      <c r="D232" s="305" t="s">
        <v>29</v>
      </c>
      <c r="E232" s="234"/>
      <c r="F232" s="235"/>
      <c r="G232" s="235" t="s">
        <v>5</v>
      </c>
      <c r="H232" s="243">
        <f>SUM(H231:H231)</f>
        <v>0</v>
      </c>
    </row>
    <row r="233" spans="1:8" s="15" customFormat="1" ht="22.5">
      <c r="A233" s="181"/>
      <c r="B233" s="181"/>
      <c r="C233" s="235"/>
      <c r="D233" s="303"/>
      <c r="E233" s="234"/>
      <c r="F233" s="235"/>
      <c r="G233" s="235"/>
      <c r="H233" s="235"/>
    </row>
    <row r="234" spans="1:8" s="15" customFormat="1" ht="22.5">
      <c r="A234" s="181"/>
      <c r="B234" s="181"/>
      <c r="C234" s="302" t="s">
        <v>30</v>
      </c>
      <c r="D234" s="303"/>
      <c r="E234" s="234"/>
      <c r="F234" s="235"/>
      <c r="G234" s="235"/>
      <c r="H234" s="235"/>
    </row>
    <row r="235" spans="1:8" s="15" customFormat="1" ht="22.5">
      <c r="A235" s="181"/>
      <c r="B235" s="181"/>
      <c r="C235" s="235" t="s">
        <v>68</v>
      </c>
      <c r="D235" s="235" t="s">
        <v>6</v>
      </c>
      <c r="E235" s="234" t="s">
        <v>2</v>
      </c>
      <c r="F235" s="235" t="s">
        <v>3</v>
      </c>
      <c r="G235" s="235" t="s">
        <v>59</v>
      </c>
      <c r="H235" s="235" t="s">
        <v>60</v>
      </c>
    </row>
    <row r="236" spans="1:8" s="15" customFormat="1" ht="22.5">
      <c r="A236" s="181"/>
      <c r="B236" s="181"/>
      <c r="C236" s="235">
        <v>1</v>
      </c>
      <c r="D236" s="220" t="s">
        <v>157</v>
      </c>
      <c r="E236" s="234" t="s">
        <v>16</v>
      </c>
      <c r="F236" s="226">
        <v>2.7</v>
      </c>
      <c r="G236" s="235">
        <v>2011.6</v>
      </c>
      <c r="H236" s="235">
        <f>F236*G236</f>
        <v>5431.32</v>
      </c>
    </row>
    <row r="237" spans="1:8" s="15" customFormat="1" ht="22.5">
      <c r="A237" s="181"/>
      <c r="B237" s="181"/>
      <c r="C237" s="235"/>
      <c r="D237" s="306" t="s">
        <v>31</v>
      </c>
      <c r="E237" s="234" t="s">
        <v>16</v>
      </c>
      <c r="F237" s="226">
        <v>2.7</v>
      </c>
      <c r="G237" s="235">
        <v>1098.5</v>
      </c>
      <c r="H237" s="235">
        <f t="shared" ref="H237:H241" si="7">F237*G237</f>
        <v>2965.9500000000003</v>
      </c>
    </row>
    <row r="238" spans="1:8" s="15" customFormat="1" ht="22.5">
      <c r="A238" s="181"/>
      <c r="B238" s="181"/>
      <c r="C238" s="235">
        <v>2</v>
      </c>
      <c r="D238" s="220" t="s">
        <v>235</v>
      </c>
      <c r="E238" s="234" t="s">
        <v>16</v>
      </c>
      <c r="F238" s="226">
        <v>8</v>
      </c>
      <c r="G238" s="235">
        <v>1964.8</v>
      </c>
      <c r="H238" s="235">
        <f t="shared" si="7"/>
        <v>15718.4</v>
      </c>
    </row>
    <row r="239" spans="1:8" s="15" customFormat="1" ht="22.5">
      <c r="A239" s="181"/>
      <c r="B239" s="181"/>
      <c r="C239" s="235"/>
      <c r="D239" s="306" t="s">
        <v>31</v>
      </c>
      <c r="E239" s="234" t="s">
        <v>16</v>
      </c>
      <c r="F239" s="226">
        <v>8</v>
      </c>
      <c r="G239" s="235">
        <v>1570.3</v>
      </c>
      <c r="H239" s="235">
        <f t="shared" si="7"/>
        <v>12562.4</v>
      </c>
    </row>
    <row r="240" spans="1:8" s="15" customFormat="1" ht="22.5">
      <c r="A240" s="181"/>
      <c r="B240" s="181"/>
      <c r="C240" s="235">
        <v>3</v>
      </c>
      <c r="D240" s="306" t="s">
        <v>236</v>
      </c>
      <c r="E240" s="234" t="s">
        <v>16</v>
      </c>
      <c r="F240" s="226">
        <v>40</v>
      </c>
      <c r="G240" s="226">
        <v>581.29999999999995</v>
      </c>
      <c r="H240" s="235">
        <f t="shared" si="7"/>
        <v>23252</v>
      </c>
    </row>
    <row r="241" spans="1:8" s="15" customFormat="1" ht="22.5">
      <c r="A241" s="181"/>
      <c r="B241" s="181"/>
      <c r="C241" s="306"/>
      <c r="D241" s="306" t="s">
        <v>31</v>
      </c>
      <c r="E241" s="234" t="s">
        <v>16</v>
      </c>
      <c r="F241" s="226">
        <v>40</v>
      </c>
      <c r="G241" s="226">
        <v>539.6</v>
      </c>
      <c r="H241" s="235">
        <f t="shared" si="7"/>
        <v>21584</v>
      </c>
    </row>
    <row r="242" spans="1:8" s="15" customFormat="1" ht="22.5">
      <c r="A242" s="181"/>
      <c r="B242" s="181"/>
      <c r="C242" s="235"/>
      <c r="D242" s="305" t="s">
        <v>32</v>
      </c>
      <c r="E242" s="234"/>
      <c r="F242" s="235"/>
      <c r="G242" s="235" t="s">
        <v>5</v>
      </c>
      <c r="H242" s="243">
        <f>SUM(H236:H241)</f>
        <v>81514.070000000007</v>
      </c>
    </row>
    <row r="243" spans="1:8" s="15" customFormat="1" ht="22.5">
      <c r="A243" s="181"/>
      <c r="B243" s="181"/>
      <c r="C243" s="235"/>
      <c r="D243" s="303"/>
      <c r="E243" s="234"/>
      <c r="F243" s="235"/>
      <c r="G243" s="235"/>
      <c r="H243" s="235"/>
    </row>
    <row r="244" spans="1:8" s="15" customFormat="1" ht="22.5">
      <c r="A244" s="181"/>
      <c r="B244" s="181"/>
      <c r="C244" s="302" t="s">
        <v>33</v>
      </c>
      <c r="D244" s="303"/>
      <c r="E244" s="234"/>
      <c r="F244" s="235"/>
      <c r="G244" s="235"/>
      <c r="H244" s="235"/>
    </row>
    <row r="245" spans="1:8" s="15" customFormat="1" ht="22.5">
      <c r="A245" s="181"/>
      <c r="B245" s="181"/>
      <c r="C245" s="235" t="s">
        <v>68</v>
      </c>
      <c r="D245" s="235" t="s">
        <v>6</v>
      </c>
      <c r="E245" s="234" t="s">
        <v>2</v>
      </c>
      <c r="F245" s="235" t="s">
        <v>3</v>
      </c>
      <c r="G245" s="235" t="s">
        <v>59</v>
      </c>
      <c r="H245" s="235" t="s">
        <v>60</v>
      </c>
    </row>
    <row r="246" spans="1:8" s="15" customFormat="1" ht="22.5">
      <c r="A246" s="181"/>
      <c r="B246" s="181"/>
      <c r="C246" s="235"/>
      <c r="D246" s="303"/>
      <c r="E246" s="234"/>
      <c r="F246" s="235"/>
      <c r="G246" s="235" t="s">
        <v>4</v>
      </c>
      <c r="H246" s="235" t="s">
        <v>4</v>
      </c>
    </row>
    <row r="247" spans="1:8" s="15" customFormat="1" ht="22.5">
      <c r="A247" s="181"/>
      <c r="B247" s="181"/>
      <c r="C247" s="235">
        <v>1</v>
      </c>
      <c r="D247" s="306" t="s">
        <v>158</v>
      </c>
      <c r="E247" s="234" t="s">
        <v>16</v>
      </c>
      <c r="F247" s="226">
        <v>2.7</v>
      </c>
      <c r="G247" s="226">
        <v>392.6</v>
      </c>
      <c r="H247" s="226">
        <f>F247*G247</f>
        <v>1060.0200000000002</v>
      </c>
    </row>
    <row r="248" spans="1:8" s="15" customFormat="1" ht="22.5">
      <c r="A248" s="181"/>
      <c r="B248" s="181"/>
      <c r="C248" s="235">
        <v>2</v>
      </c>
      <c r="D248" s="306" t="s">
        <v>159</v>
      </c>
      <c r="E248" s="234" t="s">
        <v>16</v>
      </c>
      <c r="F248" s="226">
        <v>8</v>
      </c>
      <c r="G248" s="226">
        <f>G247</f>
        <v>392.6</v>
      </c>
      <c r="H248" s="226">
        <f>F248*G248</f>
        <v>3140.8</v>
      </c>
    </row>
    <row r="249" spans="1:8" s="15" customFormat="1" ht="22.5">
      <c r="A249" s="181"/>
      <c r="B249" s="181"/>
      <c r="C249" s="235">
        <v>3</v>
      </c>
      <c r="D249" s="306" t="s">
        <v>237</v>
      </c>
      <c r="E249" s="234" t="s">
        <v>16</v>
      </c>
      <c r="F249" s="226">
        <v>40</v>
      </c>
      <c r="G249" s="226">
        <v>293.5</v>
      </c>
      <c r="H249" s="226">
        <f>F249*G249</f>
        <v>11740</v>
      </c>
    </row>
    <row r="250" spans="1:8" s="15" customFormat="1" ht="22.5">
      <c r="A250" s="181"/>
      <c r="B250" s="181"/>
      <c r="C250" s="235">
        <v>4</v>
      </c>
      <c r="D250" s="306" t="s">
        <v>7</v>
      </c>
      <c r="E250" s="234" t="s">
        <v>46</v>
      </c>
      <c r="F250" s="226">
        <v>1</v>
      </c>
      <c r="G250" s="226">
        <v>845</v>
      </c>
      <c r="H250" s="226">
        <f>F250*G250</f>
        <v>845</v>
      </c>
    </row>
    <row r="251" spans="1:8" s="15" customFormat="1" ht="22.5">
      <c r="A251" s="181"/>
      <c r="B251" s="181"/>
      <c r="C251" s="235">
        <v>5</v>
      </c>
      <c r="D251" s="306" t="s">
        <v>9</v>
      </c>
      <c r="E251" s="234" t="s">
        <v>46</v>
      </c>
      <c r="F251" s="226">
        <v>2</v>
      </c>
      <c r="G251" s="226">
        <v>635</v>
      </c>
      <c r="H251" s="226">
        <f>F251*G251</f>
        <v>1270</v>
      </c>
    </row>
    <row r="252" spans="1:8" s="15" customFormat="1" ht="22.5">
      <c r="A252" s="181"/>
      <c r="B252" s="181"/>
      <c r="C252" s="235"/>
      <c r="D252" s="305" t="s">
        <v>39</v>
      </c>
      <c r="E252" s="234"/>
      <c r="F252" s="235"/>
      <c r="G252" s="235" t="s">
        <v>5</v>
      </c>
      <c r="H252" s="243">
        <f>SUM(H247:H251)</f>
        <v>18055.82</v>
      </c>
    </row>
    <row r="253" spans="1:8" s="15" customFormat="1" ht="22.5">
      <c r="A253" s="181"/>
      <c r="B253" s="181"/>
      <c r="C253" s="303" t="s">
        <v>10</v>
      </c>
      <c r="D253" s="303"/>
      <c r="E253" s="234"/>
      <c r="F253" s="226">
        <f>H252/807</f>
        <v>22.374002478314747</v>
      </c>
      <c r="G253" s="235"/>
      <c r="H253" s="235"/>
    </row>
    <row r="254" spans="1:8" s="15" customFormat="1" ht="22.5">
      <c r="A254" s="181"/>
      <c r="B254" s="181"/>
      <c r="C254" s="303" t="s">
        <v>11</v>
      </c>
      <c r="D254" s="303"/>
      <c r="E254" s="311">
        <v>0.13614999999999999</v>
      </c>
      <c r="F254" s="226">
        <f>F253*E254</f>
        <v>3.0462204374225528</v>
      </c>
      <c r="G254" s="235"/>
      <c r="H254" s="235"/>
    </row>
    <row r="255" spans="1:8" s="15" customFormat="1" ht="22.5">
      <c r="A255" s="181"/>
      <c r="B255" s="181"/>
      <c r="C255" s="303" t="s">
        <v>12</v>
      </c>
      <c r="D255" s="303"/>
      <c r="E255" s="234"/>
      <c r="F255" s="243">
        <f>SUM(F253:F254)</f>
        <v>25.420222915737298</v>
      </c>
      <c r="G255" s="235"/>
      <c r="H255" s="235"/>
    </row>
    <row r="256" spans="1:8" s="15" customFormat="1" ht="22.5">
      <c r="A256" s="181"/>
      <c r="B256" s="181"/>
      <c r="C256" s="235"/>
      <c r="D256" s="303"/>
      <c r="E256" s="234"/>
      <c r="F256" s="235"/>
      <c r="G256" s="235"/>
      <c r="H256" s="235"/>
    </row>
    <row r="257" spans="1:11" s="15" customFormat="1" ht="22.5">
      <c r="A257" s="181"/>
      <c r="B257" s="181"/>
      <c r="C257" s="308" t="s">
        <v>40</v>
      </c>
      <c r="D257" s="303"/>
      <c r="E257" s="234"/>
      <c r="F257" s="235"/>
      <c r="G257" s="235"/>
      <c r="H257" s="235"/>
    </row>
    <row r="258" spans="1:11" s="15" customFormat="1" ht="22.5">
      <c r="A258" s="143"/>
      <c r="B258" s="143"/>
      <c r="C258" s="303" t="s">
        <v>54</v>
      </c>
      <c r="D258" s="303"/>
      <c r="E258" s="234"/>
      <c r="F258" s="235"/>
      <c r="G258" s="235" t="s">
        <v>5</v>
      </c>
      <c r="H258" s="226">
        <f>H232</f>
        <v>0</v>
      </c>
    </row>
    <row r="259" spans="1:11" s="15" customFormat="1" ht="22.5">
      <c r="A259" s="143"/>
      <c r="B259" s="143"/>
      <c r="C259" s="303" t="s">
        <v>41</v>
      </c>
      <c r="D259" s="303"/>
      <c r="E259" s="234"/>
      <c r="F259" s="235"/>
      <c r="G259" s="235" t="s">
        <v>5</v>
      </c>
      <c r="H259" s="226">
        <f>H242</f>
        <v>81514.070000000007</v>
      </c>
    </row>
    <row r="260" spans="1:11" s="15" customFormat="1" ht="22.5">
      <c r="A260" s="143"/>
      <c r="B260" s="143"/>
      <c r="C260" s="303" t="s">
        <v>70</v>
      </c>
      <c r="D260" s="303"/>
      <c r="E260" s="234"/>
      <c r="F260" s="235"/>
      <c r="G260" s="235" t="s">
        <v>5</v>
      </c>
      <c r="H260" s="226">
        <f>H252</f>
        <v>18055.82</v>
      </c>
    </row>
    <row r="261" spans="1:11" s="15" customFormat="1" ht="22.5">
      <c r="A261" s="143"/>
      <c r="B261" s="143"/>
      <c r="C261" s="235"/>
      <c r="D261" s="303"/>
      <c r="E261" s="234"/>
      <c r="F261" s="235"/>
      <c r="G261" s="235" t="s">
        <v>124</v>
      </c>
      <c r="H261" s="226">
        <f>H258+H259+H260</f>
        <v>99569.890000000014</v>
      </c>
    </row>
    <row r="262" spans="1:11" s="15" customFormat="1" ht="22.5">
      <c r="A262" s="143"/>
      <c r="B262" s="143"/>
      <c r="C262" s="306" t="s">
        <v>13</v>
      </c>
      <c r="D262" s="306"/>
      <c r="E262" s="234"/>
      <c r="F262" s="312">
        <v>0.13614999999999999</v>
      </c>
      <c r="G262" s="235" t="s">
        <v>5</v>
      </c>
      <c r="H262" s="313">
        <f>H261*F262</f>
        <v>13556.440523500001</v>
      </c>
    </row>
    <row r="263" spans="1:11" s="15" customFormat="1" ht="22.5">
      <c r="A263" s="143"/>
      <c r="B263" s="143"/>
      <c r="C263" s="303" t="s">
        <v>14</v>
      </c>
      <c r="D263" s="303"/>
      <c r="E263" s="314">
        <v>16.36</v>
      </c>
      <c r="F263" s="226" t="s">
        <v>0</v>
      </c>
      <c r="G263" s="235" t="s">
        <v>5</v>
      </c>
      <c r="H263" s="226">
        <f>H261+H262</f>
        <v>113126.33052350002</v>
      </c>
    </row>
    <row r="264" spans="1:11" s="15" customFormat="1" ht="30">
      <c r="A264" s="143"/>
      <c r="B264" s="143"/>
      <c r="C264" s="303" t="s">
        <v>102</v>
      </c>
      <c r="D264" s="307" t="s">
        <v>0</v>
      </c>
      <c r="E264" s="234" t="s">
        <v>238</v>
      </c>
      <c r="F264" s="235"/>
      <c r="G264" s="235" t="s">
        <v>15</v>
      </c>
      <c r="H264" s="226">
        <f>H263/807</f>
        <v>140.18132654708799</v>
      </c>
    </row>
    <row r="265" spans="1:11" s="15" customFormat="1" ht="22.5">
      <c r="A265" s="143"/>
      <c r="B265" s="143"/>
      <c r="C265" s="309"/>
      <c r="D265" s="310" t="s">
        <v>239</v>
      </c>
      <c r="E265" s="236"/>
      <c r="F265" s="315"/>
      <c r="G265" s="235" t="s">
        <v>15</v>
      </c>
      <c r="H265" s="315">
        <f>'Lead  (2)'!M8</f>
        <v>80.399999999999991</v>
      </c>
    </row>
    <row r="266" spans="1:11" s="15" customFormat="1" ht="22.5">
      <c r="A266" s="143"/>
      <c r="B266" s="143"/>
      <c r="C266" s="309"/>
      <c r="D266" s="309"/>
      <c r="E266" s="183"/>
      <c r="F266" s="316" t="s">
        <v>240</v>
      </c>
      <c r="G266" s="235" t="s">
        <v>15</v>
      </c>
      <c r="H266" s="317">
        <f>ROUND(H264+H265,1)</f>
        <v>220.6</v>
      </c>
    </row>
    <row r="267" spans="1:11" s="15" customFormat="1" ht="22.5">
      <c r="A267" s="143"/>
      <c r="B267" s="143"/>
      <c r="C267" s="435"/>
      <c r="D267" s="436"/>
      <c r="E267" s="436"/>
      <c r="F267" s="436"/>
      <c r="G267" s="436"/>
      <c r="H267" s="437"/>
    </row>
    <row r="268" spans="1:11">
      <c r="H268" s="62"/>
    </row>
    <row r="269" spans="1:11">
      <c r="H269" s="62"/>
    </row>
    <row r="270" spans="1:11">
      <c r="H270" s="62"/>
    </row>
    <row r="271" spans="1:11">
      <c r="H271" s="62"/>
    </row>
    <row r="272" spans="1:11" customFormat="1" ht="15.75">
      <c r="A272" s="366"/>
      <c r="B272" s="359"/>
      <c r="C272" s="366"/>
      <c r="D272" s="366"/>
      <c r="E272" s="366"/>
      <c r="F272" s="366"/>
      <c r="G272" s="366"/>
      <c r="H272" s="366"/>
      <c r="I272" s="366"/>
      <c r="J272" s="366"/>
      <c r="K272" s="366"/>
    </row>
    <row r="273" spans="1:11" customFormat="1" ht="15.75">
      <c r="A273" s="366"/>
      <c r="B273" s="367"/>
      <c r="C273" s="366"/>
      <c r="D273" s="358"/>
      <c r="E273" s="366"/>
      <c r="F273" s="366"/>
      <c r="G273" s="366"/>
      <c r="H273" s="366"/>
      <c r="I273" s="366"/>
      <c r="J273" s="366"/>
      <c r="K273" s="366"/>
    </row>
    <row r="274" spans="1:11" customFormat="1" ht="15.75">
      <c r="A274" s="366"/>
      <c r="B274" s="367"/>
      <c r="C274" s="366"/>
      <c r="D274" s="358"/>
      <c r="E274" s="366"/>
      <c r="F274" s="366"/>
      <c r="G274" s="366"/>
      <c r="H274" s="366"/>
      <c r="I274" s="366"/>
      <c r="J274" s="366"/>
      <c r="K274" s="366"/>
    </row>
    <row r="275" spans="1:11" customFormat="1" ht="15.75">
      <c r="A275" s="366"/>
      <c r="B275" s="367"/>
      <c r="C275" s="366"/>
      <c r="D275" s="358"/>
      <c r="E275" s="366"/>
      <c r="F275" s="366"/>
      <c r="G275" s="366"/>
      <c r="H275" s="366"/>
      <c r="I275" s="366"/>
      <c r="J275" s="366"/>
      <c r="K275" s="366"/>
    </row>
    <row r="276" spans="1:11" ht="12.75">
      <c r="B276" s="14"/>
      <c r="C276" s="14"/>
      <c r="D276" s="174"/>
      <c r="E276" s="14"/>
      <c r="F276" s="14"/>
      <c r="G276" s="14"/>
      <c r="H276" s="62"/>
    </row>
    <row r="277" spans="1:11" ht="12.75">
      <c r="B277" s="14"/>
      <c r="C277" s="14"/>
      <c r="D277" s="174"/>
      <c r="E277" s="14"/>
      <c r="F277" s="14"/>
      <c r="G277" s="14"/>
      <c r="H277" s="62"/>
    </row>
    <row r="278" spans="1:11" ht="12.75">
      <c r="B278" s="14"/>
      <c r="C278" s="14"/>
      <c r="D278" s="174"/>
      <c r="E278" s="14"/>
      <c r="F278" s="14"/>
      <c r="G278" s="14"/>
      <c r="H278" s="62"/>
    </row>
    <row r="279" spans="1:11" ht="12.75">
      <c r="B279" s="14"/>
      <c r="C279" s="14"/>
      <c r="D279" s="174"/>
      <c r="E279" s="14"/>
      <c r="F279" s="14"/>
      <c r="G279" s="14"/>
      <c r="H279" s="62"/>
    </row>
    <row r="280" spans="1:11" ht="12.75">
      <c r="B280" s="14"/>
      <c r="C280" s="14"/>
      <c r="D280" s="174"/>
      <c r="E280" s="14"/>
      <c r="F280" s="14"/>
      <c r="G280" s="14"/>
      <c r="H280" s="62"/>
    </row>
    <row r="281" spans="1:11" ht="12.75">
      <c r="B281" s="14"/>
      <c r="C281" s="14"/>
      <c r="D281" s="174"/>
      <c r="E281" s="14"/>
      <c r="F281" s="14"/>
      <c r="G281" s="14"/>
      <c r="H281" s="62"/>
    </row>
    <row r="282" spans="1:11" ht="12.75">
      <c r="B282" s="14"/>
      <c r="C282" s="14"/>
      <c r="D282" s="174"/>
      <c r="E282" s="14"/>
      <c r="F282" s="14"/>
      <c r="G282" s="14"/>
      <c r="H282" s="62"/>
    </row>
    <row r="283" spans="1:11" ht="12.75">
      <c r="B283" s="14"/>
      <c r="C283" s="14"/>
      <c r="D283" s="174"/>
      <c r="E283" s="14"/>
      <c r="F283" s="14"/>
      <c r="G283" s="14"/>
      <c r="H283" s="62"/>
    </row>
    <row r="284" spans="1:11" ht="12.75">
      <c r="B284" s="14"/>
      <c r="C284" s="14"/>
      <c r="D284" s="174"/>
      <c r="E284" s="14"/>
      <c r="F284" s="14"/>
      <c r="G284" s="14"/>
      <c r="H284" s="62"/>
    </row>
    <row r="285" spans="1:11" ht="12.75">
      <c r="B285" s="14"/>
      <c r="C285" s="14"/>
      <c r="D285" s="174"/>
      <c r="E285" s="14"/>
      <c r="F285" s="14"/>
      <c r="G285" s="14"/>
      <c r="H285" s="62"/>
    </row>
    <row r="286" spans="1:11" ht="12.75">
      <c r="B286" s="14"/>
      <c r="C286" s="14"/>
      <c r="D286" s="174"/>
      <c r="E286" s="14"/>
      <c r="F286" s="14"/>
      <c r="G286" s="14"/>
      <c r="H286" s="62"/>
    </row>
    <row r="287" spans="1:11" ht="12.75">
      <c r="B287" s="14"/>
      <c r="C287" s="14"/>
      <c r="D287" s="174"/>
      <c r="E287" s="14"/>
      <c r="F287" s="14"/>
      <c r="G287" s="14"/>
      <c r="H287" s="62"/>
    </row>
    <row r="288" spans="1:11" ht="12.75">
      <c r="B288" s="14"/>
      <c r="C288" s="14"/>
      <c r="D288" s="174"/>
      <c r="E288" s="14"/>
      <c r="F288" s="14"/>
      <c r="G288" s="14"/>
      <c r="H288" s="62"/>
    </row>
    <row r="289" spans="2:8" ht="12.75">
      <c r="B289" s="14"/>
      <c r="C289" s="14"/>
      <c r="D289" s="174"/>
      <c r="E289" s="14"/>
      <c r="F289" s="14"/>
      <c r="G289" s="14"/>
      <c r="H289" s="62"/>
    </row>
    <row r="290" spans="2:8" ht="12.75">
      <c r="B290" s="14"/>
      <c r="C290" s="14"/>
      <c r="D290" s="174"/>
      <c r="E290" s="14"/>
      <c r="F290" s="14"/>
      <c r="G290" s="14"/>
      <c r="H290" s="62"/>
    </row>
    <row r="291" spans="2:8" ht="12.75">
      <c r="B291" s="14"/>
      <c r="C291" s="14"/>
      <c r="D291" s="174"/>
      <c r="E291" s="14"/>
      <c r="F291" s="14"/>
      <c r="G291" s="14"/>
      <c r="H291" s="62"/>
    </row>
    <row r="292" spans="2:8" ht="12.75">
      <c r="B292" s="14"/>
      <c r="C292" s="14"/>
      <c r="D292" s="174"/>
      <c r="E292" s="14"/>
      <c r="F292" s="14"/>
      <c r="G292" s="14"/>
      <c r="H292" s="62"/>
    </row>
    <row r="293" spans="2:8" ht="12.75">
      <c r="B293" s="14"/>
      <c r="C293" s="14"/>
      <c r="D293" s="174"/>
      <c r="E293" s="14"/>
      <c r="F293" s="14"/>
      <c r="G293" s="14"/>
      <c r="H293" s="62"/>
    </row>
    <row r="294" spans="2:8" ht="12.75">
      <c r="B294" s="14"/>
      <c r="C294" s="14"/>
      <c r="D294" s="174"/>
      <c r="E294" s="14"/>
      <c r="F294" s="14"/>
      <c r="G294" s="14"/>
      <c r="H294" s="62"/>
    </row>
    <row r="295" spans="2:8" ht="12.75">
      <c r="B295" s="14"/>
      <c r="C295" s="14"/>
      <c r="D295" s="174"/>
      <c r="E295" s="14"/>
      <c r="F295" s="14"/>
      <c r="G295" s="14"/>
      <c r="H295" s="62"/>
    </row>
    <row r="296" spans="2:8" ht="12.75">
      <c r="B296" s="14"/>
      <c r="C296" s="14"/>
      <c r="D296" s="174"/>
      <c r="E296" s="14"/>
      <c r="F296" s="14"/>
      <c r="G296" s="14"/>
      <c r="H296" s="62"/>
    </row>
    <row r="297" spans="2:8" ht="12.75">
      <c r="B297" s="14"/>
      <c r="C297" s="14"/>
      <c r="D297" s="174"/>
      <c r="E297" s="14"/>
      <c r="F297" s="14"/>
      <c r="G297" s="14"/>
      <c r="H297" s="62"/>
    </row>
    <row r="298" spans="2:8" ht="12.75">
      <c r="B298" s="14"/>
      <c r="C298" s="14"/>
      <c r="D298" s="174"/>
      <c r="E298" s="14"/>
      <c r="F298" s="14"/>
      <c r="G298" s="14"/>
      <c r="H298" s="62"/>
    </row>
    <row r="299" spans="2:8" ht="12.75">
      <c r="B299" s="14"/>
      <c r="C299" s="14"/>
      <c r="D299" s="174"/>
      <c r="E299" s="14"/>
      <c r="F299" s="14"/>
      <c r="G299" s="14"/>
      <c r="H299" s="62"/>
    </row>
    <row r="300" spans="2:8" ht="12.75">
      <c r="B300" s="14"/>
      <c r="C300" s="14"/>
      <c r="D300" s="174"/>
      <c r="E300" s="14"/>
      <c r="F300" s="14"/>
      <c r="G300" s="14"/>
      <c r="H300" s="62"/>
    </row>
    <row r="301" spans="2:8" ht="12.75">
      <c r="B301" s="14"/>
      <c r="C301" s="14"/>
      <c r="D301" s="174"/>
      <c r="E301" s="14"/>
      <c r="F301" s="14"/>
      <c r="G301" s="14"/>
      <c r="H301" s="62"/>
    </row>
    <row r="302" spans="2:8" ht="12.75">
      <c r="B302" s="14"/>
      <c r="C302" s="14"/>
      <c r="D302" s="174"/>
      <c r="E302" s="14"/>
      <c r="F302" s="14"/>
      <c r="G302" s="14"/>
      <c r="H302" s="62"/>
    </row>
    <row r="303" spans="2:8" ht="12.75">
      <c r="B303" s="14"/>
      <c r="C303" s="14"/>
      <c r="D303" s="174"/>
      <c r="E303" s="14"/>
      <c r="F303" s="14"/>
      <c r="G303" s="14"/>
      <c r="H303" s="62"/>
    </row>
    <row r="304" spans="2:8" ht="12.75">
      <c r="B304" s="14"/>
      <c r="C304" s="14"/>
      <c r="D304" s="174"/>
      <c r="E304" s="14"/>
      <c r="F304" s="14"/>
      <c r="G304" s="14"/>
      <c r="H304" s="62"/>
    </row>
    <row r="305" spans="2:8" ht="12.75">
      <c r="B305" s="14"/>
      <c r="C305" s="14"/>
      <c r="D305" s="174"/>
      <c r="E305" s="14"/>
      <c r="F305" s="14"/>
      <c r="G305" s="14"/>
      <c r="H305" s="63"/>
    </row>
    <row r="306" spans="2:8" ht="12.75">
      <c r="B306" s="14"/>
      <c r="C306" s="14"/>
      <c r="D306" s="174"/>
      <c r="E306" s="14"/>
      <c r="F306" s="14"/>
      <c r="G306" s="14"/>
      <c r="H306" s="64">
        <v>3</v>
      </c>
    </row>
  </sheetData>
  <sheetProtection formatCells="0" formatColumns="0" formatRows="0" insertColumns="0" insertRows="0" insertHyperlinks="0" deleteColumns="0" deleteRows="0" sort="0" autoFilter="0" pivotTables="0"/>
  <mergeCells count="33">
    <mergeCell ref="C159:H159"/>
    <mergeCell ref="C213:E213"/>
    <mergeCell ref="C225:H225"/>
    <mergeCell ref="C226:H226"/>
    <mergeCell ref="C267:H267"/>
    <mergeCell ref="C124:H124"/>
    <mergeCell ref="C133:D133"/>
    <mergeCell ref="C158:H158"/>
    <mergeCell ref="C10:D10"/>
    <mergeCell ref="C11:H11"/>
    <mergeCell ref="C116:H116"/>
    <mergeCell ref="C117:D117"/>
    <mergeCell ref="C118:D118"/>
    <mergeCell ref="C119:E119"/>
    <mergeCell ref="C120:D120"/>
    <mergeCell ref="C122:D122"/>
    <mergeCell ref="C123:H123"/>
    <mergeCell ref="C121:D121"/>
    <mergeCell ref="C115:H115"/>
    <mergeCell ref="A1:H1"/>
    <mergeCell ref="A2:H2"/>
    <mergeCell ref="A3:H3"/>
    <mergeCell ref="C5:H5"/>
    <mergeCell ref="C6:D6"/>
    <mergeCell ref="C7:D7"/>
    <mergeCell ref="C8:E8"/>
    <mergeCell ref="C9:D9"/>
    <mergeCell ref="C103:E103"/>
    <mergeCell ref="C12:H12"/>
    <mergeCell ref="C35:F35"/>
    <mergeCell ref="D34:E34"/>
    <mergeCell ref="C47:H47"/>
    <mergeCell ref="C46:H46"/>
  </mergeCells>
  <pageMargins left="0.62992125984251968" right="0.31496062992125984" top="0.31496062992125984" bottom="0.31496062992125984" header="0.19685039370078741" footer="0.19685039370078741"/>
  <pageSetup paperSize="9" scale="82" orientation="portrait" r:id="rId1"/>
  <headerFooter alignWithMargins="0">
    <oddHeader>&amp;L&amp;5Page &amp;P</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O35"/>
  <sheetViews>
    <sheetView view="pageBreakPreview" topLeftCell="A6" zoomScale="115" zoomScaleSheetLayoutView="115" workbookViewId="0">
      <selection activeCell="P24" sqref="P24"/>
    </sheetView>
  </sheetViews>
  <sheetFormatPr defaultRowHeight="12.75"/>
  <cols>
    <col min="1" max="1" width="3.7109375" style="26" customWidth="1"/>
    <col min="2" max="4" width="9.140625" style="26"/>
    <col min="5" max="6" width="6" style="26" customWidth="1"/>
    <col min="7" max="7" width="7.7109375" style="26" customWidth="1"/>
    <col min="8" max="8" width="10.28515625" style="26" customWidth="1"/>
    <col min="9" max="11" width="9.140625" style="26"/>
    <col min="12" max="12" width="11" style="26" customWidth="1"/>
    <col min="13" max="257" width="9.140625" style="26"/>
    <col min="258" max="258" width="2.140625" style="26" customWidth="1"/>
    <col min="259" max="513" width="9.140625" style="26"/>
    <col min="514" max="514" width="2.140625" style="26" customWidth="1"/>
    <col min="515" max="769" width="9.140625" style="26"/>
    <col min="770" max="770" width="2.140625" style="26" customWidth="1"/>
    <col min="771" max="1025" width="9.140625" style="26"/>
    <col min="1026" max="1026" width="2.140625" style="26" customWidth="1"/>
    <col min="1027" max="1281" width="9.140625" style="26"/>
    <col min="1282" max="1282" width="2.140625" style="26" customWidth="1"/>
    <col min="1283" max="1537" width="9.140625" style="26"/>
    <col min="1538" max="1538" width="2.140625" style="26" customWidth="1"/>
    <col min="1539" max="1793" width="9.140625" style="26"/>
    <col min="1794" max="1794" width="2.140625" style="26" customWidth="1"/>
    <col min="1795" max="2049" width="9.140625" style="26"/>
    <col min="2050" max="2050" width="2.140625" style="26" customWidth="1"/>
    <col min="2051" max="2305" width="9.140625" style="26"/>
    <col min="2306" max="2306" width="2.140625" style="26" customWidth="1"/>
    <col min="2307" max="2561" width="9.140625" style="26"/>
    <col min="2562" max="2562" width="2.140625" style="26" customWidth="1"/>
    <col min="2563" max="2817" width="9.140625" style="26"/>
    <col min="2818" max="2818" width="2.140625" style="26" customWidth="1"/>
    <col min="2819" max="3073" width="9.140625" style="26"/>
    <col min="3074" max="3074" width="2.140625" style="26" customWidth="1"/>
    <col min="3075" max="3329" width="9.140625" style="26"/>
    <col min="3330" max="3330" width="2.140625" style="26" customWidth="1"/>
    <col min="3331" max="3585" width="9.140625" style="26"/>
    <col min="3586" max="3586" width="2.140625" style="26" customWidth="1"/>
    <col min="3587" max="3841" width="9.140625" style="26"/>
    <col min="3842" max="3842" width="2.140625" style="26" customWidth="1"/>
    <col min="3843" max="4097" width="9.140625" style="26"/>
    <col min="4098" max="4098" width="2.140625" style="26" customWidth="1"/>
    <col min="4099" max="4353" width="9.140625" style="26"/>
    <col min="4354" max="4354" width="2.140625" style="26" customWidth="1"/>
    <col min="4355" max="4609" width="9.140625" style="26"/>
    <col min="4610" max="4610" width="2.140625" style="26" customWidth="1"/>
    <col min="4611" max="4865" width="9.140625" style="26"/>
    <col min="4866" max="4866" width="2.140625" style="26" customWidth="1"/>
    <col min="4867" max="5121" width="9.140625" style="26"/>
    <col min="5122" max="5122" width="2.140625" style="26" customWidth="1"/>
    <col min="5123" max="5377" width="9.140625" style="26"/>
    <col min="5378" max="5378" width="2.140625" style="26" customWidth="1"/>
    <col min="5379" max="5633" width="9.140625" style="26"/>
    <col min="5634" max="5634" width="2.140625" style="26" customWidth="1"/>
    <col min="5635" max="5889" width="9.140625" style="26"/>
    <col min="5890" max="5890" width="2.140625" style="26" customWidth="1"/>
    <col min="5891" max="6145" width="9.140625" style="26"/>
    <col min="6146" max="6146" width="2.140625" style="26" customWidth="1"/>
    <col min="6147" max="6401" width="9.140625" style="26"/>
    <col min="6402" max="6402" width="2.140625" style="26" customWidth="1"/>
    <col min="6403" max="6657" width="9.140625" style="26"/>
    <col min="6658" max="6658" width="2.140625" style="26" customWidth="1"/>
    <col min="6659" max="6913" width="9.140625" style="26"/>
    <col min="6914" max="6914" width="2.140625" style="26" customWidth="1"/>
    <col min="6915" max="7169" width="9.140625" style="26"/>
    <col min="7170" max="7170" width="2.140625" style="26" customWidth="1"/>
    <col min="7171" max="7425" width="9.140625" style="26"/>
    <col min="7426" max="7426" width="2.140625" style="26" customWidth="1"/>
    <col min="7427" max="7681" width="9.140625" style="26"/>
    <col min="7682" max="7682" width="2.140625" style="26" customWidth="1"/>
    <col min="7683" max="7937" width="9.140625" style="26"/>
    <col min="7938" max="7938" width="2.140625" style="26" customWidth="1"/>
    <col min="7939" max="8193" width="9.140625" style="26"/>
    <col min="8194" max="8194" width="2.140625" style="26" customWidth="1"/>
    <col min="8195" max="8449" width="9.140625" style="26"/>
    <col min="8450" max="8450" width="2.140625" style="26" customWidth="1"/>
    <col min="8451" max="8705" width="9.140625" style="26"/>
    <col min="8706" max="8706" width="2.140625" style="26" customWidth="1"/>
    <col min="8707" max="8961" width="9.140625" style="26"/>
    <col min="8962" max="8962" width="2.140625" style="26" customWidth="1"/>
    <col min="8963" max="9217" width="9.140625" style="26"/>
    <col min="9218" max="9218" width="2.140625" style="26" customWidth="1"/>
    <col min="9219" max="9473" width="9.140625" style="26"/>
    <col min="9474" max="9474" width="2.140625" style="26" customWidth="1"/>
    <col min="9475" max="9729" width="9.140625" style="26"/>
    <col min="9730" max="9730" width="2.140625" style="26" customWidth="1"/>
    <col min="9731" max="9985" width="9.140625" style="26"/>
    <col min="9986" max="9986" width="2.140625" style="26" customWidth="1"/>
    <col min="9987" max="10241" width="9.140625" style="26"/>
    <col min="10242" max="10242" width="2.140625" style="26" customWidth="1"/>
    <col min="10243" max="10497" width="9.140625" style="26"/>
    <col min="10498" max="10498" width="2.140625" style="26" customWidth="1"/>
    <col min="10499" max="10753" width="9.140625" style="26"/>
    <col min="10754" max="10754" width="2.140625" style="26" customWidth="1"/>
    <col min="10755" max="11009" width="9.140625" style="26"/>
    <col min="11010" max="11010" width="2.140625" style="26" customWidth="1"/>
    <col min="11011" max="11265" width="9.140625" style="26"/>
    <col min="11266" max="11266" width="2.140625" style="26" customWidth="1"/>
    <col min="11267" max="11521" width="9.140625" style="26"/>
    <col min="11522" max="11522" width="2.140625" style="26" customWidth="1"/>
    <col min="11523" max="11777" width="9.140625" style="26"/>
    <col min="11778" max="11778" width="2.140625" style="26" customWidth="1"/>
    <col min="11779" max="12033" width="9.140625" style="26"/>
    <col min="12034" max="12034" width="2.140625" style="26" customWidth="1"/>
    <col min="12035" max="12289" width="9.140625" style="26"/>
    <col min="12290" max="12290" width="2.140625" style="26" customWidth="1"/>
    <col min="12291" max="12545" width="9.140625" style="26"/>
    <col min="12546" max="12546" width="2.140625" style="26" customWidth="1"/>
    <col min="12547" max="12801" width="9.140625" style="26"/>
    <col min="12802" max="12802" width="2.140625" style="26" customWidth="1"/>
    <col min="12803" max="13057" width="9.140625" style="26"/>
    <col min="13058" max="13058" width="2.140625" style="26" customWidth="1"/>
    <col min="13059" max="13313" width="9.140625" style="26"/>
    <col min="13314" max="13314" width="2.140625" style="26" customWidth="1"/>
    <col min="13315" max="13569" width="9.140625" style="26"/>
    <col min="13570" max="13570" width="2.140625" style="26" customWidth="1"/>
    <col min="13571" max="13825" width="9.140625" style="26"/>
    <col min="13826" max="13826" width="2.140625" style="26" customWidth="1"/>
    <col min="13827" max="14081" width="9.140625" style="26"/>
    <col min="14082" max="14082" width="2.140625" style="26" customWidth="1"/>
    <col min="14083" max="14337" width="9.140625" style="26"/>
    <col min="14338" max="14338" width="2.140625" style="26" customWidth="1"/>
    <col min="14339" max="14593" width="9.140625" style="26"/>
    <col min="14594" max="14594" width="2.140625" style="26" customWidth="1"/>
    <col min="14595" max="14849" width="9.140625" style="26"/>
    <col min="14850" max="14850" width="2.140625" style="26" customWidth="1"/>
    <col min="14851" max="15105" width="9.140625" style="26"/>
    <col min="15106" max="15106" width="2.140625" style="26" customWidth="1"/>
    <col min="15107" max="15361" width="9.140625" style="26"/>
    <col min="15362" max="15362" width="2.140625" style="26" customWidth="1"/>
    <col min="15363" max="15617" width="9.140625" style="26"/>
    <col min="15618" max="15618" width="2.140625" style="26" customWidth="1"/>
    <col min="15619" max="15873" width="9.140625" style="26"/>
    <col min="15874" max="15874" width="2.140625" style="26" customWidth="1"/>
    <col min="15875" max="16129" width="9.140625" style="26"/>
    <col min="16130" max="16130" width="2.140625" style="26" customWidth="1"/>
    <col min="16131" max="16384" width="9.140625" style="26"/>
  </cols>
  <sheetData>
    <row r="1" spans="1:15" s="19" customFormat="1" ht="48" customHeight="1">
      <c r="A1" s="438" t="s">
        <v>338</v>
      </c>
      <c r="B1" s="438"/>
      <c r="C1" s="438"/>
      <c r="D1" s="438"/>
      <c r="E1" s="438"/>
      <c r="F1" s="438"/>
      <c r="G1" s="438"/>
      <c r="H1" s="438"/>
      <c r="I1" s="438"/>
      <c r="J1" s="438"/>
      <c r="K1" s="438"/>
      <c r="L1" s="438"/>
      <c r="M1" s="438"/>
      <c r="N1" s="438"/>
      <c r="O1" s="80"/>
    </row>
    <row r="2" spans="1:15" s="19" customFormat="1" ht="15">
      <c r="A2" s="20"/>
      <c r="B2" s="20"/>
      <c r="C2" s="20"/>
      <c r="D2" s="20"/>
      <c r="E2" s="20"/>
      <c r="F2" s="20"/>
      <c r="G2" s="19" t="s">
        <v>125</v>
      </c>
      <c r="H2" s="20"/>
      <c r="I2" s="20"/>
      <c r="J2" s="20"/>
      <c r="K2" s="20"/>
    </row>
    <row r="3" spans="1:15" s="19" customFormat="1" ht="15">
      <c r="A3" s="20"/>
      <c r="B3" s="20"/>
      <c r="C3" s="20"/>
      <c r="D3" s="20"/>
      <c r="E3" s="20"/>
      <c r="F3" s="20"/>
      <c r="I3" s="20"/>
      <c r="J3" s="20"/>
      <c r="K3" s="20"/>
    </row>
    <row r="4" spans="1:15" s="19" customFormat="1" ht="15">
      <c r="A4" s="20"/>
      <c r="B4" s="20"/>
      <c r="C4" s="20"/>
      <c r="D4" s="20"/>
      <c r="E4" s="20"/>
      <c r="F4" s="20"/>
      <c r="G4" s="440" t="s">
        <v>126</v>
      </c>
      <c r="H4" s="440"/>
      <c r="I4" s="20"/>
    </row>
    <row r="5" spans="1:15" s="19" customFormat="1" ht="15">
      <c r="A5" s="20"/>
      <c r="B5" s="20"/>
      <c r="C5" s="20"/>
      <c r="D5" s="20"/>
      <c r="E5" s="20"/>
      <c r="F5" s="20"/>
      <c r="I5" s="20"/>
    </row>
    <row r="6" spans="1:15" s="19" customFormat="1" ht="15">
      <c r="A6" s="20"/>
      <c r="B6" s="20"/>
      <c r="C6" s="20"/>
      <c r="D6" s="20"/>
      <c r="E6" s="20"/>
      <c r="F6" s="20"/>
      <c r="G6" s="21"/>
      <c r="K6" s="20"/>
    </row>
    <row r="7" spans="1:15" s="19" customFormat="1" ht="15">
      <c r="A7" s="20"/>
      <c r="B7" s="20"/>
      <c r="C7" s="20"/>
      <c r="D7" s="20"/>
      <c r="E7" s="20"/>
      <c r="F7" s="20"/>
      <c r="G7" s="20"/>
      <c r="H7" s="20"/>
      <c r="I7" s="20"/>
      <c r="K7" s="20"/>
    </row>
    <row r="8" spans="1:15" s="19" customFormat="1" ht="15">
      <c r="A8" s="22"/>
      <c r="B8" s="439"/>
      <c r="C8" s="439"/>
      <c r="D8" s="439"/>
      <c r="E8" s="23"/>
      <c r="F8" s="23"/>
      <c r="G8" s="23"/>
      <c r="H8" s="22"/>
      <c r="I8" s="22"/>
      <c r="J8" s="442" t="s">
        <v>127</v>
      </c>
      <c r="K8" s="442"/>
    </row>
    <row r="9" spans="1:15" s="19" customFormat="1" ht="15" customHeight="1">
      <c r="A9" s="22"/>
      <c r="B9" s="440"/>
      <c r="C9" s="440"/>
      <c r="D9" s="440"/>
      <c r="G9" s="439" t="s">
        <v>128</v>
      </c>
      <c r="H9" s="439"/>
      <c r="I9" s="439"/>
      <c r="J9" s="442"/>
      <c r="K9" s="442"/>
    </row>
    <row r="10" spans="1:15" s="19" customFormat="1" ht="15" customHeight="1">
      <c r="A10" s="22"/>
      <c r="E10" s="444" t="s">
        <v>328</v>
      </c>
      <c r="F10" s="444"/>
      <c r="G10" s="444"/>
      <c r="H10" s="444"/>
      <c r="I10" s="444"/>
      <c r="J10" s="22"/>
    </row>
    <row r="11" spans="1:15" s="19" customFormat="1" ht="15">
      <c r="A11" s="22"/>
      <c r="B11" s="22"/>
      <c r="C11" s="22"/>
      <c r="D11" s="22"/>
      <c r="E11" s="22"/>
      <c r="F11" s="22"/>
      <c r="G11" s="22"/>
      <c r="H11" s="22"/>
      <c r="I11" s="22"/>
      <c r="J11" s="22"/>
    </row>
    <row r="12" spans="1:15" s="19" customFormat="1" ht="16.5" customHeight="1">
      <c r="A12" s="22"/>
      <c r="B12" s="22"/>
      <c r="C12" s="22"/>
      <c r="D12" s="22"/>
      <c r="E12" s="22"/>
      <c r="F12" s="22"/>
      <c r="G12" s="22"/>
      <c r="H12" s="22"/>
    </row>
    <row r="13" spans="1:15" s="19" customFormat="1" ht="15"/>
    <row r="14" spans="1:15" s="19" customFormat="1" ht="15">
      <c r="C14" s="443" t="s">
        <v>129</v>
      </c>
      <c r="D14" s="443"/>
      <c r="E14" s="19" t="s">
        <v>130</v>
      </c>
    </row>
    <row r="15" spans="1:15" s="19" customFormat="1" ht="15"/>
    <row r="16" spans="1:15" s="19" customFormat="1" ht="15" customHeight="1">
      <c r="K16" s="439"/>
      <c r="L16" s="439"/>
    </row>
    <row r="17" spans="1:15" s="19" customFormat="1" ht="15">
      <c r="C17" s="19" t="s">
        <v>131</v>
      </c>
      <c r="H17" s="440" t="s">
        <v>132</v>
      </c>
      <c r="I17" s="440"/>
    </row>
    <row r="18" spans="1:15" s="19" customFormat="1" ht="15">
      <c r="I18" s="23"/>
    </row>
    <row r="19" spans="1:15" s="19" customFormat="1" ht="23.25" customHeight="1">
      <c r="N19" s="353" t="s">
        <v>133</v>
      </c>
      <c r="O19" s="353"/>
    </row>
    <row r="20" spans="1:15" s="19" customFormat="1" ht="22.5" customHeight="1">
      <c r="A20" s="23"/>
      <c r="N20" s="24" t="s">
        <v>99</v>
      </c>
      <c r="O20" s="25">
        <v>25</v>
      </c>
    </row>
    <row r="21" spans="1:15" s="19" customFormat="1" ht="15">
      <c r="B21" s="441" t="s">
        <v>134</v>
      </c>
      <c r="C21" s="441"/>
      <c r="D21" s="441"/>
      <c r="N21" s="24" t="s">
        <v>98</v>
      </c>
      <c r="O21" s="25">
        <v>16</v>
      </c>
    </row>
    <row r="22" spans="1:15" s="19" customFormat="1" ht="15">
      <c r="N22" s="24" t="s">
        <v>329</v>
      </c>
      <c r="O22" s="25">
        <v>50</v>
      </c>
    </row>
    <row r="23" spans="1:15" s="19" customFormat="1" ht="15"/>
    <row r="24" spans="1:15" s="19" customFormat="1" ht="15"/>
    <row r="25" spans="1:15" s="19" customFormat="1" ht="15"/>
    <row r="26" spans="1:15" customFormat="1" ht="15.75">
      <c r="A26" s="366"/>
      <c r="B26" s="359"/>
      <c r="C26" s="366"/>
      <c r="D26" s="366"/>
      <c r="E26" s="366"/>
      <c r="F26" s="366"/>
      <c r="G26" s="366"/>
      <c r="H26" s="366"/>
      <c r="I26" s="366"/>
      <c r="J26" s="366"/>
      <c r="K26" s="366"/>
    </row>
    <row r="27" spans="1:15" customFormat="1" ht="15.75">
      <c r="A27" s="366"/>
      <c r="B27" s="367"/>
      <c r="C27" s="366"/>
      <c r="D27" s="358"/>
      <c r="E27" s="366"/>
      <c r="F27" s="366"/>
      <c r="G27" s="366"/>
      <c r="H27" s="366"/>
      <c r="I27" s="366"/>
      <c r="J27" s="366"/>
      <c r="K27" s="366"/>
    </row>
    <row r="28" spans="1:15" customFormat="1" ht="15.75">
      <c r="A28" s="366"/>
      <c r="B28" s="367"/>
      <c r="C28" s="366"/>
      <c r="D28" s="358"/>
      <c r="E28" s="366"/>
      <c r="F28" s="366"/>
      <c r="G28" s="366"/>
      <c r="H28" s="366"/>
      <c r="I28" s="366"/>
      <c r="J28" s="366"/>
      <c r="K28" s="366"/>
    </row>
    <row r="29" spans="1:15" customFormat="1" ht="15.75">
      <c r="A29" s="366"/>
      <c r="B29" s="367"/>
      <c r="C29" s="366"/>
      <c r="D29" s="358"/>
      <c r="E29" s="366"/>
      <c r="F29" s="366"/>
      <c r="G29" s="366"/>
      <c r="H29" s="366"/>
      <c r="I29" s="366"/>
      <c r="J29" s="366"/>
      <c r="K29" s="366"/>
    </row>
    <row r="30" spans="1:15" s="19" customFormat="1" ht="15">
      <c r="G30" s="26"/>
      <c r="H30" s="26"/>
      <c r="I30" s="26"/>
      <c r="J30" s="26"/>
      <c r="K30" s="26"/>
    </row>
    <row r="31" spans="1:15" s="19" customFormat="1" ht="15">
      <c r="G31" s="26"/>
      <c r="H31" s="26"/>
      <c r="I31" s="26"/>
      <c r="J31" s="26"/>
      <c r="K31" s="26"/>
    </row>
    <row r="32" spans="1:15" s="19" customFormat="1" ht="15">
      <c r="G32" s="26"/>
      <c r="H32" s="26"/>
      <c r="I32" s="26"/>
      <c r="J32" s="26"/>
      <c r="K32" s="26"/>
    </row>
    <row r="33" spans="7:11" s="19" customFormat="1" ht="15">
      <c r="G33" s="26"/>
      <c r="H33" s="26"/>
      <c r="I33" s="26"/>
      <c r="J33" s="26"/>
      <c r="K33" s="26"/>
    </row>
    <row r="34" spans="7:11" s="19" customFormat="1" ht="15"/>
    <row r="35" spans="7:11" s="19" customFormat="1" ht="15"/>
  </sheetData>
  <mergeCells count="11">
    <mergeCell ref="A1:N1"/>
    <mergeCell ref="K16:L16"/>
    <mergeCell ref="H17:I17"/>
    <mergeCell ref="B21:D21"/>
    <mergeCell ref="G4:H4"/>
    <mergeCell ref="J8:K9"/>
    <mergeCell ref="B8:D8"/>
    <mergeCell ref="C14:D14"/>
    <mergeCell ref="B9:D9"/>
    <mergeCell ref="G9:I9"/>
    <mergeCell ref="E10:I10"/>
  </mergeCells>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Q20"/>
  <sheetViews>
    <sheetView topLeftCell="A6" zoomScale="96" zoomScaleNormal="96" zoomScaleSheetLayoutView="90" workbookViewId="0">
      <selection activeCell="M15" sqref="M15"/>
    </sheetView>
  </sheetViews>
  <sheetFormatPr defaultRowHeight="15.75"/>
  <cols>
    <col min="1" max="1" width="4.28515625" style="11" bestFit="1" customWidth="1"/>
    <col min="2" max="2" width="17.85546875" style="11" customWidth="1"/>
    <col min="3" max="3" width="15.85546875" style="11" bestFit="1" customWidth="1"/>
    <col min="4" max="4" width="8.85546875" style="12" customWidth="1"/>
    <col min="5" max="5" width="6" style="12" customWidth="1"/>
    <col min="6" max="6" width="6.140625" style="11" customWidth="1"/>
    <col min="7" max="7" width="10.140625" style="11" customWidth="1"/>
    <col min="8" max="8" width="12" style="11" customWidth="1"/>
    <col min="9" max="9" width="12.28515625" style="12" customWidth="1"/>
    <col min="10" max="10" width="15.5703125" style="12" customWidth="1"/>
    <col min="11" max="12" width="13.42578125" style="12" customWidth="1"/>
    <col min="13" max="13" width="9" style="11" customWidth="1"/>
    <col min="14" max="256" width="9.140625" style="11"/>
    <col min="257" max="257" width="5.42578125" style="11" customWidth="1"/>
    <col min="258" max="258" width="18.7109375" style="11" customWidth="1"/>
    <col min="259" max="259" width="18.42578125" style="11" customWidth="1"/>
    <col min="260" max="260" width="7.85546875" style="11" customWidth="1"/>
    <col min="261" max="261" width="5.140625" style="11" customWidth="1"/>
    <col min="262" max="262" width="12.85546875" style="11" customWidth="1"/>
    <col min="263" max="263" width="11.140625" style="11" customWidth="1"/>
    <col min="264" max="264" width="9.28515625" style="11" customWidth="1"/>
    <col min="265" max="265" width="15.5703125" style="11" customWidth="1"/>
    <col min="266" max="266" width="13.42578125" style="11" customWidth="1"/>
    <col min="267" max="267" width="9" style="11" customWidth="1"/>
    <col min="268" max="512" width="9.140625" style="11"/>
    <col min="513" max="513" width="5.42578125" style="11" customWidth="1"/>
    <col min="514" max="514" width="18.7109375" style="11" customWidth="1"/>
    <col min="515" max="515" width="18.42578125" style="11" customWidth="1"/>
    <col min="516" max="516" width="7.85546875" style="11" customWidth="1"/>
    <col min="517" max="517" width="5.140625" style="11" customWidth="1"/>
    <col min="518" max="518" width="12.85546875" style="11" customWidth="1"/>
    <col min="519" max="519" width="11.140625" style="11" customWidth="1"/>
    <col min="520" max="520" width="9.28515625" style="11" customWidth="1"/>
    <col min="521" max="521" width="15.5703125" style="11" customWidth="1"/>
    <col min="522" max="522" width="13.42578125" style="11" customWidth="1"/>
    <col min="523" max="523" width="9" style="11" customWidth="1"/>
    <col min="524" max="768" width="9.140625" style="11"/>
    <col min="769" max="769" width="5.42578125" style="11" customWidth="1"/>
    <col min="770" max="770" width="18.7109375" style="11" customWidth="1"/>
    <col min="771" max="771" width="18.42578125" style="11" customWidth="1"/>
    <col min="772" max="772" width="7.85546875" style="11" customWidth="1"/>
    <col min="773" max="773" width="5.140625" style="11" customWidth="1"/>
    <col min="774" max="774" width="12.85546875" style="11" customWidth="1"/>
    <col min="775" max="775" width="11.140625" style="11" customWidth="1"/>
    <col min="776" max="776" width="9.28515625" style="11" customWidth="1"/>
    <col min="777" max="777" width="15.5703125" style="11" customWidth="1"/>
    <col min="778" max="778" width="13.42578125" style="11" customWidth="1"/>
    <col min="779" max="779" width="9" style="11" customWidth="1"/>
    <col min="780" max="1024" width="9.140625" style="11"/>
    <col min="1025" max="1025" width="5.42578125" style="11" customWidth="1"/>
    <col min="1026" max="1026" width="18.7109375" style="11" customWidth="1"/>
    <col min="1027" max="1027" width="18.42578125" style="11" customWidth="1"/>
    <col min="1028" max="1028" width="7.85546875" style="11" customWidth="1"/>
    <col min="1029" max="1029" width="5.140625" style="11" customWidth="1"/>
    <col min="1030" max="1030" width="12.85546875" style="11" customWidth="1"/>
    <col min="1031" max="1031" width="11.140625" style="11" customWidth="1"/>
    <col min="1032" max="1032" width="9.28515625" style="11" customWidth="1"/>
    <col min="1033" max="1033" width="15.5703125" style="11" customWidth="1"/>
    <col min="1034" max="1034" width="13.42578125" style="11" customWidth="1"/>
    <col min="1035" max="1035" width="9" style="11" customWidth="1"/>
    <col min="1036" max="1280" width="9.140625" style="11"/>
    <col min="1281" max="1281" width="5.42578125" style="11" customWidth="1"/>
    <col min="1282" max="1282" width="18.7109375" style="11" customWidth="1"/>
    <col min="1283" max="1283" width="18.42578125" style="11" customWidth="1"/>
    <col min="1284" max="1284" width="7.85546875" style="11" customWidth="1"/>
    <col min="1285" max="1285" width="5.140625" style="11" customWidth="1"/>
    <col min="1286" max="1286" width="12.85546875" style="11" customWidth="1"/>
    <col min="1287" max="1287" width="11.140625" style="11" customWidth="1"/>
    <col min="1288" max="1288" width="9.28515625" style="11" customWidth="1"/>
    <col min="1289" max="1289" width="15.5703125" style="11" customWidth="1"/>
    <col min="1290" max="1290" width="13.42578125" style="11" customWidth="1"/>
    <col min="1291" max="1291" width="9" style="11" customWidth="1"/>
    <col min="1292" max="1536" width="9.140625" style="11"/>
    <col min="1537" max="1537" width="5.42578125" style="11" customWidth="1"/>
    <col min="1538" max="1538" width="18.7109375" style="11" customWidth="1"/>
    <col min="1539" max="1539" width="18.42578125" style="11" customWidth="1"/>
    <col min="1540" max="1540" width="7.85546875" style="11" customWidth="1"/>
    <col min="1541" max="1541" width="5.140625" style="11" customWidth="1"/>
    <col min="1542" max="1542" width="12.85546875" style="11" customWidth="1"/>
    <col min="1543" max="1543" width="11.140625" style="11" customWidth="1"/>
    <col min="1544" max="1544" width="9.28515625" style="11" customWidth="1"/>
    <col min="1545" max="1545" width="15.5703125" style="11" customWidth="1"/>
    <col min="1546" max="1546" width="13.42578125" style="11" customWidth="1"/>
    <col min="1547" max="1547" width="9" style="11" customWidth="1"/>
    <col min="1548" max="1792" width="9.140625" style="11"/>
    <col min="1793" max="1793" width="5.42578125" style="11" customWidth="1"/>
    <col min="1794" max="1794" width="18.7109375" style="11" customWidth="1"/>
    <col min="1795" max="1795" width="18.42578125" style="11" customWidth="1"/>
    <col min="1796" max="1796" width="7.85546875" style="11" customWidth="1"/>
    <col min="1797" max="1797" width="5.140625" style="11" customWidth="1"/>
    <col min="1798" max="1798" width="12.85546875" style="11" customWidth="1"/>
    <col min="1799" max="1799" width="11.140625" style="11" customWidth="1"/>
    <col min="1800" max="1800" width="9.28515625" style="11" customWidth="1"/>
    <col min="1801" max="1801" width="15.5703125" style="11" customWidth="1"/>
    <col min="1802" max="1802" width="13.42578125" style="11" customWidth="1"/>
    <col min="1803" max="1803" width="9" style="11" customWidth="1"/>
    <col min="1804" max="2048" width="9.140625" style="11"/>
    <col min="2049" max="2049" width="5.42578125" style="11" customWidth="1"/>
    <col min="2050" max="2050" width="18.7109375" style="11" customWidth="1"/>
    <col min="2051" max="2051" width="18.42578125" style="11" customWidth="1"/>
    <col min="2052" max="2052" width="7.85546875" style="11" customWidth="1"/>
    <col min="2053" max="2053" width="5.140625" style="11" customWidth="1"/>
    <col min="2054" max="2054" width="12.85546875" style="11" customWidth="1"/>
    <col min="2055" max="2055" width="11.140625" style="11" customWidth="1"/>
    <col min="2056" max="2056" width="9.28515625" style="11" customWidth="1"/>
    <col min="2057" max="2057" width="15.5703125" style="11" customWidth="1"/>
    <col min="2058" max="2058" width="13.42578125" style="11" customWidth="1"/>
    <col min="2059" max="2059" width="9" style="11" customWidth="1"/>
    <col min="2060" max="2304" width="9.140625" style="11"/>
    <col min="2305" max="2305" width="5.42578125" style="11" customWidth="1"/>
    <col min="2306" max="2306" width="18.7109375" style="11" customWidth="1"/>
    <col min="2307" max="2307" width="18.42578125" style="11" customWidth="1"/>
    <col min="2308" max="2308" width="7.85546875" style="11" customWidth="1"/>
    <col min="2309" max="2309" width="5.140625" style="11" customWidth="1"/>
    <col min="2310" max="2310" width="12.85546875" style="11" customWidth="1"/>
    <col min="2311" max="2311" width="11.140625" style="11" customWidth="1"/>
    <col min="2312" max="2312" width="9.28515625" style="11" customWidth="1"/>
    <col min="2313" max="2313" width="15.5703125" style="11" customWidth="1"/>
    <col min="2314" max="2314" width="13.42578125" style="11" customWidth="1"/>
    <col min="2315" max="2315" width="9" style="11" customWidth="1"/>
    <col min="2316" max="2560" width="9.140625" style="11"/>
    <col min="2561" max="2561" width="5.42578125" style="11" customWidth="1"/>
    <col min="2562" max="2562" width="18.7109375" style="11" customWidth="1"/>
    <col min="2563" max="2563" width="18.42578125" style="11" customWidth="1"/>
    <col min="2564" max="2564" width="7.85546875" style="11" customWidth="1"/>
    <col min="2565" max="2565" width="5.140625" style="11" customWidth="1"/>
    <col min="2566" max="2566" width="12.85546875" style="11" customWidth="1"/>
    <col min="2567" max="2567" width="11.140625" style="11" customWidth="1"/>
    <col min="2568" max="2568" width="9.28515625" style="11" customWidth="1"/>
    <col min="2569" max="2569" width="15.5703125" style="11" customWidth="1"/>
    <col min="2570" max="2570" width="13.42578125" style="11" customWidth="1"/>
    <col min="2571" max="2571" width="9" style="11" customWidth="1"/>
    <col min="2572" max="2816" width="9.140625" style="11"/>
    <col min="2817" max="2817" width="5.42578125" style="11" customWidth="1"/>
    <col min="2818" max="2818" width="18.7109375" style="11" customWidth="1"/>
    <col min="2819" max="2819" width="18.42578125" style="11" customWidth="1"/>
    <col min="2820" max="2820" width="7.85546875" style="11" customWidth="1"/>
    <col min="2821" max="2821" width="5.140625" style="11" customWidth="1"/>
    <col min="2822" max="2822" width="12.85546875" style="11" customWidth="1"/>
    <col min="2823" max="2823" width="11.140625" style="11" customWidth="1"/>
    <col min="2824" max="2824" width="9.28515625" style="11" customWidth="1"/>
    <col min="2825" max="2825" width="15.5703125" style="11" customWidth="1"/>
    <col min="2826" max="2826" width="13.42578125" style="11" customWidth="1"/>
    <col min="2827" max="2827" width="9" style="11" customWidth="1"/>
    <col min="2828" max="3072" width="9.140625" style="11"/>
    <col min="3073" max="3073" width="5.42578125" style="11" customWidth="1"/>
    <col min="3074" max="3074" width="18.7109375" style="11" customWidth="1"/>
    <col min="3075" max="3075" width="18.42578125" style="11" customWidth="1"/>
    <col min="3076" max="3076" width="7.85546875" style="11" customWidth="1"/>
    <col min="3077" max="3077" width="5.140625" style="11" customWidth="1"/>
    <col min="3078" max="3078" width="12.85546875" style="11" customWidth="1"/>
    <col min="3079" max="3079" width="11.140625" style="11" customWidth="1"/>
    <col min="3080" max="3080" width="9.28515625" style="11" customWidth="1"/>
    <col min="3081" max="3081" width="15.5703125" style="11" customWidth="1"/>
    <col min="3082" max="3082" width="13.42578125" style="11" customWidth="1"/>
    <col min="3083" max="3083" width="9" style="11" customWidth="1"/>
    <col min="3084" max="3328" width="9.140625" style="11"/>
    <col min="3329" max="3329" width="5.42578125" style="11" customWidth="1"/>
    <col min="3330" max="3330" width="18.7109375" style="11" customWidth="1"/>
    <col min="3331" max="3331" width="18.42578125" style="11" customWidth="1"/>
    <col min="3332" max="3332" width="7.85546875" style="11" customWidth="1"/>
    <col min="3333" max="3333" width="5.140625" style="11" customWidth="1"/>
    <col min="3334" max="3334" width="12.85546875" style="11" customWidth="1"/>
    <col min="3335" max="3335" width="11.140625" style="11" customWidth="1"/>
    <col min="3336" max="3336" width="9.28515625" style="11" customWidth="1"/>
    <col min="3337" max="3337" width="15.5703125" style="11" customWidth="1"/>
    <col min="3338" max="3338" width="13.42578125" style="11" customWidth="1"/>
    <col min="3339" max="3339" width="9" style="11" customWidth="1"/>
    <col min="3340" max="3584" width="9.140625" style="11"/>
    <col min="3585" max="3585" width="5.42578125" style="11" customWidth="1"/>
    <col min="3586" max="3586" width="18.7109375" style="11" customWidth="1"/>
    <col min="3587" max="3587" width="18.42578125" style="11" customWidth="1"/>
    <col min="3588" max="3588" width="7.85546875" style="11" customWidth="1"/>
    <col min="3589" max="3589" width="5.140625" style="11" customWidth="1"/>
    <col min="3590" max="3590" width="12.85546875" style="11" customWidth="1"/>
    <col min="3591" max="3591" width="11.140625" style="11" customWidth="1"/>
    <col min="3592" max="3592" width="9.28515625" style="11" customWidth="1"/>
    <col min="3593" max="3593" width="15.5703125" style="11" customWidth="1"/>
    <col min="3594" max="3594" width="13.42578125" style="11" customWidth="1"/>
    <col min="3595" max="3595" width="9" style="11" customWidth="1"/>
    <col min="3596" max="3840" width="9.140625" style="11"/>
    <col min="3841" max="3841" width="5.42578125" style="11" customWidth="1"/>
    <col min="3842" max="3842" width="18.7109375" style="11" customWidth="1"/>
    <col min="3843" max="3843" width="18.42578125" style="11" customWidth="1"/>
    <col min="3844" max="3844" width="7.85546875" style="11" customWidth="1"/>
    <col min="3845" max="3845" width="5.140625" style="11" customWidth="1"/>
    <col min="3846" max="3846" width="12.85546875" style="11" customWidth="1"/>
    <col min="3847" max="3847" width="11.140625" style="11" customWidth="1"/>
    <col min="3848" max="3848" width="9.28515625" style="11" customWidth="1"/>
    <col min="3849" max="3849" width="15.5703125" style="11" customWidth="1"/>
    <col min="3850" max="3850" width="13.42578125" style="11" customWidth="1"/>
    <col min="3851" max="3851" width="9" style="11" customWidth="1"/>
    <col min="3852" max="4096" width="9.140625" style="11"/>
    <col min="4097" max="4097" width="5.42578125" style="11" customWidth="1"/>
    <col min="4098" max="4098" width="18.7109375" style="11" customWidth="1"/>
    <col min="4099" max="4099" width="18.42578125" style="11" customWidth="1"/>
    <col min="4100" max="4100" width="7.85546875" style="11" customWidth="1"/>
    <col min="4101" max="4101" width="5.140625" style="11" customWidth="1"/>
    <col min="4102" max="4102" width="12.85546875" style="11" customWidth="1"/>
    <col min="4103" max="4103" width="11.140625" style="11" customWidth="1"/>
    <col min="4104" max="4104" width="9.28515625" style="11" customWidth="1"/>
    <col min="4105" max="4105" width="15.5703125" style="11" customWidth="1"/>
    <col min="4106" max="4106" width="13.42578125" style="11" customWidth="1"/>
    <col min="4107" max="4107" width="9" style="11" customWidth="1"/>
    <col min="4108" max="4352" width="9.140625" style="11"/>
    <col min="4353" max="4353" width="5.42578125" style="11" customWidth="1"/>
    <col min="4354" max="4354" width="18.7109375" style="11" customWidth="1"/>
    <col min="4355" max="4355" width="18.42578125" style="11" customWidth="1"/>
    <col min="4356" max="4356" width="7.85546875" style="11" customWidth="1"/>
    <col min="4357" max="4357" width="5.140625" style="11" customWidth="1"/>
    <col min="4358" max="4358" width="12.85546875" style="11" customWidth="1"/>
    <col min="4359" max="4359" width="11.140625" style="11" customWidth="1"/>
    <col min="4360" max="4360" width="9.28515625" style="11" customWidth="1"/>
    <col min="4361" max="4361" width="15.5703125" style="11" customWidth="1"/>
    <col min="4362" max="4362" width="13.42578125" style="11" customWidth="1"/>
    <col min="4363" max="4363" width="9" style="11" customWidth="1"/>
    <col min="4364" max="4608" width="9.140625" style="11"/>
    <col min="4609" max="4609" width="5.42578125" style="11" customWidth="1"/>
    <col min="4610" max="4610" width="18.7109375" style="11" customWidth="1"/>
    <col min="4611" max="4611" width="18.42578125" style="11" customWidth="1"/>
    <col min="4612" max="4612" width="7.85546875" style="11" customWidth="1"/>
    <col min="4613" max="4613" width="5.140625" style="11" customWidth="1"/>
    <col min="4614" max="4614" width="12.85546875" style="11" customWidth="1"/>
    <col min="4615" max="4615" width="11.140625" style="11" customWidth="1"/>
    <col min="4616" max="4616" width="9.28515625" style="11" customWidth="1"/>
    <col min="4617" max="4617" width="15.5703125" style="11" customWidth="1"/>
    <col min="4618" max="4618" width="13.42578125" style="11" customWidth="1"/>
    <col min="4619" max="4619" width="9" style="11" customWidth="1"/>
    <col min="4620" max="4864" width="9.140625" style="11"/>
    <col min="4865" max="4865" width="5.42578125" style="11" customWidth="1"/>
    <col min="4866" max="4866" width="18.7109375" style="11" customWidth="1"/>
    <col min="4867" max="4867" width="18.42578125" style="11" customWidth="1"/>
    <col min="4868" max="4868" width="7.85546875" style="11" customWidth="1"/>
    <col min="4869" max="4869" width="5.140625" style="11" customWidth="1"/>
    <col min="4870" max="4870" width="12.85546875" style="11" customWidth="1"/>
    <col min="4871" max="4871" width="11.140625" style="11" customWidth="1"/>
    <col min="4872" max="4872" width="9.28515625" style="11" customWidth="1"/>
    <col min="4873" max="4873" width="15.5703125" style="11" customWidth="1"/>
    <col min="4874" max="4874" width="13.42578125" style="11" customWidth="1"/>
    <col min="4875" max="4875" width="9" style="11" customWidth="1"/>
    <col min="4876" max="5120" width="9.140625" style="11"/>
    <col min="5121" max="5121" width="5.42578125" style="11" customWidth="1"/>
    <col min="5122" max="5122" width="18.7109375" style="11" customWidth="1"/>
    <col min="5123" max="5123" width="18.42578125" style="11" customWidth="1"/>
    <col min="5124" max="5124" width="7.85546875" style="11" customWidth="1"/>
    <col min="5125" max="5125" width="5.140625" style="11" customWidth="1"/>
    <col min="5126" max="5126" width="12.85546875" style="11" customWidth="1"/>
    <col min="5127" max="5127" width="11.140625" style="11" customWidth="1"/>
    <col min="5128" max="5128" width="9.28515625" style="11" customWidth="1"/>
    <col min="5129" max="5129" width="15.5703125" style="11" customWidth="1"/>
    <col min="5130" max="5130" width="13.42578125" style="11" customWidth="1"/>
    <col min="5131" max="5131" width="9" style="11" customWidth="1"/>
    <col min="5132" max="5376" width="9.140625" style="11"/>
    <col min="5377" max="5377" width="5.42578125" style="11" customWidth="1"/>
    <col min="5378" max="5378" width="18.7109375" style="11" customWidth="1"/>
    <col min="5379" max="5379" width="18.42578125" style="11" customWidth="1"/>
    <col min="5380" max="5380" width="7.85546875" style="11" customWidth="1"/>
    <col min="5381" max="5381" width="5.140625" style="11" customWidth="1"/>
    <col min="5382" max="5382" width="12.85546875" style="11" customWidth="1"/>
    <col min="5383" max="5383" width="11.140625" style="11" customWidth="1"/>
    <col min="5384" max="5384" width="9.28515625" style="11" customWidth="1"/>
    <col min="5385" max="5385" width="15.5703125" style="11" customWidth="1"/>
    <col min="5386" max="5386" width="13.42578125" style="11" customWidth="1"/>
    <col min="5387" max="5387" width="9" style="11" customWidth="1"/>
    <col min="5388" max="5632" width="9.140625" style="11"/>
    <col min="5633" max="5633" width="5.42578125" style="11" customWidth="1"/>
    <col min="5634" max="5634" width="18.7109375" style="11" customWidth="1"/>
    <col min="5635" max="5635" width="18.42578125" style="11" customWidth="1"/>
    <col min="5636" max="5636" width="7.85546875" style="11" customWidth="1"/>
    <col min="5637" max="5637" width="5.140625" style="11" customWidth="1"/>
    <col min="5638" max="5638" width="12.85546875" style="11" customWidth="1"/>
    <col min="5639" max="5639" width="11.140625" style="11" customWidth="1"/>
    <col min="5640" max="5640" width="9.28515625" style="11" customWidth="1"/>
    <col min="5641" max="5641" width="15.5703125" style="11" customWidth="1"/>
    <col min="5642" max="5642" width="13.42578125" style="11" customWidth="1"/>
    <col min="5643" max="5643" width="9" style="11" customWidth="1"/>
    <col min="5644" max="5888" width="9.140625" style="11"/>
    <col min="5889" max="5889" width="5.42578125" style="11" customWidth="1"/>
    <col min="5890" max="5890" width="18.7109375" style="11" customWidth="1"/>
    <col min="5891" max="5891" width="18.42578125" style="11" customWidth="1"/>
    <col min="5892" max="5892" width="7.85546875" style="11" customWidth="1"/>
    <col min="5893" max="5893" width="5.140625" style="11" customWidth="1"/>
    <col min="5894" max="5894" width="12.85546875" style="11" customWidth="1"/>
    <col min="5895" max="5895" width="11.140625" style="11" customWidth="1"/>
    <col min="5896" max="5896" width="9.28515625" style="11" customWidth="1"/>
    <col min="5897" max="5897" width="15.5703125" style="11" customWidth="1"/>
    <col min="5898" max="5898" width="13.42578125" style="11" customWidth="1"/>
    <col min="5899" max="5899" width="9" style="11" customWidth="1"/>
    <col min="5900" max="6144" width="9.140625" style="11"/>
    <col min="6145" max="6145" width="5.42578125" style="11" customWidth="1"/>
    <col min="6146" max="6146" width="18.7109375" style="11" customWidth="1"/>
    <col min="6147" max="6147" width="18.42578125" style="11" customWidth="1"/>
    <col min="6148" max="6148" width="7.85546875" style="11" customWidth="1"/>
    <col min="6149" max="6149" width="5.140625" style="11" customWidth="1"/>
    <col min="6150" max="6150" width="12.85546875" style="11" customWidth="1"/>
    <col min="6151" max="6151" width="11.140625" style="11" customWidth="1"/>
    <col min="6152" max="6152" width="9.28515625" style="11" customWidth="1"/>
    <col min="6153" max="6153" width="15.5703125" style="11" customWidth="1"/>
    <col min="6154" max="6154" width="13.42578125" style="11" customWidth="1"/>
    <col min="6155" max="6155" width="9" style="11" customWidth="1"/>
    <col min="6156" max="6400" width="9.140625" style="11"/>
    <col min="6401" max="6401" width="5.42578125" style="11" customWidth="1"/>
    <col min="6402" max="6402" width="18.7109375" style="11" customWidth="1"/>
    <col min="6403" max="6403" width="18.42578125" style="11" customWidth="1"/>
    <col min="6404" max="6404" width="7.85546875" style="11" customWidth="1"/>
    <col min="6405" max="6405" width="5.140625" style="11" customWidth="1"/>
    <col min="6406" max="6406" width="12.85546875" style="11" customWidth="1"/>
    <col min="6407" max="6407" width="11.140625" style="11" customWidth="1"/>
    <col min="6408" max="6408" width="9.28515625" style="11" customWidth="1"/>
    <col min="6409" max="6409" width="15.5703125" style="11" customWidth="1"/>
    <col min="6410" max="6410" width="13.42578125" style="11" customWidth="1"/>
    <col min="6411" max="6411" width="9" style="11" customWidth="1"/>
    <col min="6412" max="6656" width="9.140625" style="11"/>
    <col min="6657" max="6657" width="5.42578125" style="11" customWidth="1"/>
    <col min="6658" max="6658" width="18.7109375" style="11" customWidth="1"/>
    <col min="6659" max="6659" width="18.42578125" style="11" customWidth="1"/>
    <col min="6660" max="6660" width="7.85546875" style="11" customWidth="1"/>
    <col min="6661" max="6661" width="5.140625" style="11" customWidth="1"/>
    <col min="6662" max="6662" width="12.85546875" style="11" customWidth="1"/>
    <col min="6663" max="6663" width="11.140625" style="11" customWidth="1"/>
    <col min="6664" max="6664" width="9.28515625" style="11" customWidth="1"/>
    <col min="6665" max="6665" width="15.5703125" style="11" customWidth="1"/>
    <col min="6666" max="6666" width="13.42578125" style="11" customWidth="1"/>
    <col min="6667" max="6667" width="9" style="11" customWidth="1"/>
    <col min="6668" max="6912" width="9.140625" style="11"/>
    <col min="6913" max="6913" width="5.42578125" style="11" customWidth="1"/>
    <col min="6914" max="6914" width="18.7109375" style="11" customWidth="1"/>
    <col min="6915" max="6915" width="18.42578125" style="11" customWidth="1"/>
    <col min="6916" max="6916" width="7.85546875" style="11" customWidth="1"/>
    <col min="6917" max="6917" width="5.140625" style="11" customWidth="1"/>
    <col min="6918" max="6918" width="12.85546875" style="11" customWidth="1"/>
    <col min="6919" max="6919" width="11.140625" style="11" customWidth="1"/>
    <col min="6920" max="6920" width="9.28515625" style="11" customWidth="1"/>
    <col min="6921" max="6921" width="15.5703125" style="11" customWidth="1"/>
    <col min="6922" max="6922" width="13.42578125" style="11" customWidth="1"/>
    <col min="6923" max="6923" width="9" style="11" customWidth="1"/>
    <col min="6924" max="7168" width="9.140625" style="11"/>
    <col min="7169" max="7169" width="5.42578125" style="11" customWidth="1"/>
    <col min="7170" max="7170" width="18.7109375" style="11" customWidth="1"/>
    <col min="7171" max="7171" width="18.42578125" style="11" customWidth="1"/>
    <col min="7172" max="7172" width="7.85546875" style="11" customWidth="1"/>
    <col min="7173" max="7173" width="5.140625" style="11" customWidth="1"/>
    <col min="7174" max="7174" width="12.85546875" style="11" customWidth="1"/>
    <col min="7175" max="7175" width="11.140625" style="11" customWidth="1"/>
    <col min="7176" max="7176" width="9.28515625" style="11" customWidth="1"/>
    <col min="7177" max="7177" width="15.5703125" style="11" customWidth="1"/>
    <col min="7178" max="7178" width="13.42578125" style="11" customWidth="1"/>
    <col min="7179" max="7179" width="9" style="11" customWidth="1"/>
    <col min="7180" max="7424" width="9.140625" style="11"/>
    <col min="7425" max="7425" width="5.42578125" style="11" customWidth="1"/>
    <col min="7426" max="7426" width="18.7109375" style="11" customWidth="1"/>
    <col min="7427" max="7427" width="18.42578125" style="11" customWidth="1"/>
    <col min="7428" max="7428" width="7.85546875" style="11" customWidth="1"/>
    <col min="7429" max="7429" width="5.140625" style="11" customWidth="1"/>
    <col min="7430" max="7430" width="12.85546875" style="11" customWidth="1"/>
    <col min="7431" max="7431" width="11.140625" style="11" customWidth="1"/>
    <col min="7432" max="7432" width="9.28515625" style="11" customWidth="1"/>
    <col min="7433" max="7433" width="15.5703125" style="11" customWidth="1"/>
    <col min="7434" max="7434" width="13.42578125" style="11" customWidth="1"/>
    <col min="7435" max="7435" width="9" style="11" customWidth="1"/>
    <col min="7436" max="7680" width="9.140625" style="11"/>
    <col min="7681" max="7681" width="5.42578125" style="11" customWidth="1"/>
    <col min="7682" max="7682" width="18.7109375" style="11" customWidth="1"/>
    <col min="7683" max="7683" width="18.42578125" style="11" customWidth="1"/>
    <col min="7684" max="7684" width="7.85546875" style="11" customWidth="1"/>
    <col min="7685" max="7685" width="5.140625" style="11" customWidth="1"/>
    <col min="7686" max="7686" width="12.85546875" style="11" customWidth="1"/>
    <col min="7687" max="7687" width="11.140625" style="11" customWidth="1"/>
    <col min="7688" max="7688" width="9.28515625" style="11" customWidth="1"/>
    <col min="7689" max="7689" width="15.5703125" style="11" customWidth="1"/>
    <col min="7690" max="7690" width="13.42578125" style="11" customWidth="1"/>
    <col min="7691" max="7691" width="9" style="11" customWidth="1"/>
    <col min="7692" max="7936" width="9.140625" style="11"/>
    <col min="7937" max="7937" width="5.42578125" style="11" customWidth="1"/>
    <col min="7938" max="7938" width="18.7109375" style="11" customWidth="1"/>
    <col min="7939" max="7939" width="18.42578125" style="11" customWidth="1"/>
    <col min="7940" max="7940" width="7.85546875" style="11" customWidth="1"/>
    <col min="7941" max="7941" width="5.140625" style="11" customWidth="1"/>
    <col min="7942" max="7942" width="12.85546875" style="11" customWidth="1"/>
    <col min="7943" max="7943" width="11.140625" style="11" customWidth="1"/>
    <col min="7944" max="7944" width="9.28515625" style="11" customWidth="1"/>
    <col min="7945" max="7945" width="15.5703125" style="11" customWidth="1"/>
    <col min="7946" max="7946" width="13.42578125" style="11" customWidth="1"/>
    <col min="7947" max="7947" width="9" style="11" customWidth="1"/>
    <col min="7948" max="8192" width="9.140625" style="11"/>
    <col min="8193" max="8193" width="5.42578125" style="11" customWidth="1"/>
    <col min="8194" max="8194" width="18.7109375" style="11" customWidth="1"/>
    <col min="8195" max="8195" width="18.42578125" style="11" customWidth="1"/>
    <col min="8196" max="8196" width="7.85546875" style="11" customWidth="1"/>
    <col min="8197" max="8197" width="5.140625" style="11" customWidth="1"/>
    <col min="8198" max="8198" width="12.85546875" style="11" customWidth="1"/>
    <col min="8199" max="8199" width="11.140625" style="11" customWidth="1"/>
    <col min="8200" max="8200" width="9.28515625" style="11" customWidth="1"/>
    <col min="8201" max="8201" width="15.5703125" style="11" customWidth="1"/>
    <col min="8202" max="8202" width="13.42578125" style="11" customWidth="1"/>
    <col min="8203" max="8203" width="9" style="11" customWidth="1"/>
    <col min="8204" max="8448" width="9.140625" style="11"/>
    <col min="8449" max="8449" width="5.42578125" style="11" customWidth="1"/>
    <col min="8450" max="8450" width="18.7109375" style="11" customWidth="1"/>
    <col min="8451" max="8451" width="18.42578125" style="11" customWidth="1"/>
    <col min="8452" max="8452" width="7.85546875" style="11" customWidth="1"/>
    <col min="8453" max="8453" width="5.140625" style="11" customWidth="1"/>
    <col min="8454" max="8454" width="12.85546875" style="11" customWidth="1"/>
    <col min="8455" max="8455" width="11.140625" style="11" customWidth="1"/>
    <col min="8456" max="8456" width="9.28515625" style="11" customWidth="1"/>
    <col min="8457" max="8457" width="15.5703125" style="11" customWidth="1"/>
    <col min="8458" max="8458" width="13.42578125" style="11" customWidth="1"/>
    <col min="8459" max="8459" width="9" style="11" customWidth="1"/>
    <col min="8460" max="8704" width="9.140625" style="11"/>
    <col min="8705" max="8705" width="5.42578125" style="11" customWidth="1"/>
    <col min="8706" max="8706" width="18.7109375" style="11" customWidth="1"/>
    <col min="8707" max="8707" width="18.42578125" style="11" customWidth="1"/>
    <col min="8708" max="8708" width="7.85546875" style="11" customWidth="1"/>
    <col min="8709" max="8709" width="5.140625" style="11" customWidth="1"/>
    <col min="8710" max="8710" width="12.85546875" style="11" customWidth="1"/>
    <col min="8711" max="8711" width="11.140625" style="11" customWidth="1"/>
    <col min="8712" max="8712" width="9.28515625" style="11" customWidth="1"/>
    <col min="8713" max="8713" width="15.5703125" style="11" customWidth="1"/>
    <col min="8714" max="8714" width="13.42578125" style="11" customWidth="1"/>
    <col min="8715" max="8715" width="9" style="11" customWidth="1"/>
    <col min="8716" max="8960" width="9.140625" style="11"/>
    <col min="8961" max="8961" width="5.42578125" style="11" customWidth="1"/>
    <col min="8962" max="8962" width="18.7109375" style="11" customWidth="1"/>
    <col min="8963" max="8963" width="18.42578125" style="11" customWidth="1"/>
    <col min="8964" max="8964" width="7.85546875" style="11" customWidth="1"/>
    <col min="8965" max="8965" width="5.140625" style="11" customWidth="1"/>
    <col min="8966" max="8966" width="12.85546875" style="11" customWidth="1"/>
    <col min="8967" max="8967" width="11.140625" style="11" customWidth="1"/>
    <col min="8968" max="8968" width="9.28515625" style="11" customWidth="1"/>
    <col min="8969" max="8969" width="15.5703125" style="11" customWidth="1"/>
    <col min="8970" max="8970" width="13.42578125" style="11" customWidth="1"/>
    <col min="8971" max="8971" width="9" style="11" customWidth="1"/>
    <col min="8972" max="9216" width="9.140625" style="11"/>
    <col min="9217" max="9217" width="5.42578125" style="11" customWidth="1"/>
    <col min="9218" max="9218" width="18.7109375" style="11" customWidth="1"/>
    <col min="9219" max="9219" width="18.42578125" style="11" customWidth="1"/>
    <col min="9220" max="9220" width="7.85546875" style="11" customWidth="1"/>
    <col min="9221" max="9221" width="5.140625" style="11" customWidth="1"/>
    <col min="9222" max="9222" width="12.85546875" style="11" customWidth="1"/>
    <col min="9223" max="9223" width="11.140625" style="11" customWidth="1"/>
    <col min="9224" max="9224" width="9.28515625" style="11" customWidth="1"/>
    <col min="9225" max="9225" width="15.5703125" style="11" customWidth="1"/>
    <col min="9226" max="9226" width="13.42578125" style="11" customWidth="1"/>
    <col min="9227" max="9227" width="9" style="11" customWidth="1"/>
    <col min="9228" max="9472" width="9.140625" style="11"/>
    <col min="9473" max="9473" width="5.42578125" style="11" customWidth="1"/>
    <col min="9474" max="9474" width="18.7109375" style="11" customWidth="1"/>
    <col min="9475" max="9475" width="18.42578125" style="11" customWidth="1"/>
    <col min="9476" max="9476" width="7.85546875" style="11" customWidth="1"/>
    <col min="9477" max="9477" width="5.140625" style="11" customWidth="1"/>
    <col min="9478" max="9478" width="12.85546875" style="11" customWidth="1"/>
    <col min="9479" max="9479" width="11.140625" style="11" customWidth="1"/>
    <col min="9480" max="9480" width="9.28515625" style="11" customWidth="1"/>
    <col min="9481" max="9481" width="15.5703125" style="11" customWidth="1"/>
    <col min="9482" max="9482" width="13.42578125" style="11" customWidth="1"/>
    <col min="9483" max="9483" width="9" style="11" customWidth="1"/>
    <col min="9484" max="9728" width="9.140625" style="11"/>
    <col min="9729" max="9729" width="5.42578125" style="11" customWidth="1"/>
    <col min="9730" max="9730" width="18.7109375" style="11" customWidth="1"/>
    <col min="9731" max="9731" width="18.42578125" style="11" customWidth="1"/>
    <col min="9732" max="9732" width="7.85546875" style="11" customWidth="1"/>
    <col min="9733" max="9733" width="5.140625" style="11" customWidth="1"/>
    <col min="9734" max="9734" width="12.85546875" style="11" customWidth="1"/>
    <col min="9735" max="9735" width="11.140625" style="11" customWidth="1"/>
    <col min="9736" max="9736" width="9.28515625" style="11" customWidth="1"/>
    <col min="9737" max="9737" width="15.5703125" style="11" customWidth="1"/>
    <col min="9738" max="9738" width="13.42578125" style="11" customWidth="1"/>
    <col min="9739" max="9739" width="9" style="11" customWidth="1"/>
    <col min="9740" max="9984" width="9.140625" style="11"/>
    <col min="9985" max="9985" width="5.42578125" style="11" customWidth="1"/>
    <col min="9986" max="9986" width="18.7109375" style="11" customWidth="1"/>
    <col min="9987" max="9987" width="18.42578125" style="11" customWidth="1"/>
    <col min="9988" max="9988" width="7.85546875" style="11" customWidth="1"/>
    <col min="9989" max="9989" width="5.140625" style="11" customWidth="1"/>
    <col min="9990" max="9990" width="12.85546875" style="11" customWidth="1"/>
    <col min="9991" max="9991" width="11.140625" style="11" customWidth="1"/>
    <col min="9992" max="9992" width="9.28515625" style="11" customWidth="1"/>
    <col min="9993" max="9993" width="15.5703125" style="11" customWidth="1"/>
    <col min="9994" max="9994" width="13.42578125" style="11" customWidth="1"/>
    <col min="9995" max="9995" width="9" style="11" customWidth="1"/>
    <col min="9996" max="10240" width="9.140625" style="11"/>
    <col min="10241" max="10241" width="5.42578125" style="11" customWidth="1"/>
    <col min="10242" max="10242" width="18.7109375" style="11" customWidth="1"/>
    <col min="10243" max="10243" width="18.42578125" style="11" customWidth="1"/>
    <col min="10244" max="10244" width="7.85546875" style="11" customWidth="1"/>
    <col min="10245" max="10245" width="5.140625" style="11" customWidth="1"/>
    <col min="10246" max="10246" width="12.85546875" style="11" customWidth="1"/>
    <col min="10247" max="10247" width="11.140625" style="11" customWidth="1"/>
    <col min="10248" max="10248" width="9.28515625" style="11" customWidth="1"/>
    <col min="10249" max="10249" width="15.5703125" style="11" customWidth="1"/>
    <col min="10250" max="10250" width="13.42578125" style="11" customWidth="1"/>
    <col min="10251" max="10251" width="9" style="11" customWidth="1"/>
    <col min="10252" max="10496" width="9.140625" style="11"/>
    <col min="10497" max="10497" width="5.42578125" style="11" customWidth="1"/>
    <col min="10498" max="10498" width="18.7109375" style="11" customWidth="1"/>
    <col min="10499" max="10499" width="18.42578125" style="11" customWidth="1"/>
    <col min="10500" max="10500" width="7.85546875" style="11" customWidth="1"/>
    <col min="10501" max="10501" width="5.140625" style="11" customWidth="1"/>
    <col min="10502" max="10502" width="12.85546875" style="11" customWidth="1"/>
    <col min="10503" max="10503" width="11.140625" style="11" customWidth="1"/>
    <col min="10504" max="10504" width="9.28515625" style="11" customWidth="1"/>
    <col min="10505" max="10505" width="15.5703125" style="11" customWidth="1"/>
    <col min="10506" max="10506" width="13.42578125" style="11" customWidth="1"/>
    <col min="10507" max="10507" width="9" style="11" customWidth="1"/>
    <col min="10508" max="10752" width="9.140625" style="11"/>
    <col min="10753" max="10753" width="5.42578125" style="11" customWidth="1"/>
    <col min="10754" max="10754" width="18.7109375" style="11" customWidth="1"/>
    <col min="10755" max="10755" width="18.42578125" style="11" customWidth="1"/>
    <col min="10756" max="10756" width="7.85546875" style="11" customWidth="1"/>
    <col min="10757" max="10757" width="5.140625" style="11" customWidth="1"/>
    <col min="10758" max="10758" width="12.85546875" style="11" customWidth="1"/>
    <col min="10759" max="10759" width="11.140625" style="11" customWidth="1"/>
    <col min="10760" max="10760" width="9.28515625" style="11" customWidth="1"/>
    <col min="10761" max="10761" width="15.5703125" style="11" customWidth="1"/>
    <col min="10762" max="10762" width="13.42578125" style="11" customWidth="1"/>
    <col min="10763" max="10763" width="9" style="11" customWidth="1"/>
    <col min="10764" max="11008" width="9.140625" style="11"/>
    <col min="11009" max="11009" width="5.42578125" style="11" customWidth="1"/>
    <col min="11010" max="11010" width="18.7109375" style="11" customWidth="1"/>
    <col min="11011" max="11011" width="18.42578125" style="11" customWidth="1"/>
    <col min="11012" max="11012" width="7.85546875" style="11" customWidth="1"/>
    <col min="11013" max="11013" width="5.140625" style="11" customWidth="1"/>
    <col min="11014" max="11014" width="12.85546875" style="11" customWidth="1"/>
    <col min="11015" max="11015" width="11.140625" style="11" customWidth="1"/>
    <col min="11016" max="11016" width="9.28515625" style="11" customWidth="1"/>
    <col min="11017" max="11017" width="15.5703125" style="11" customWidth="1"/>
    <col min="11018" max="11018" width="13.42578125" style="11" customWidth="1"/>
    <col min="11019" max="11019" width="9" style="11" customWidth="1"/>
    <col min="11020" max="11264" width="9.140625" style="11"/>
    <col min="11265" max="11265" width="5.42578125" style="11" customWidth="1"/>
    <col min="11266" max="11266" width="18.7109375" style="11" customWidth="1"/>
    <col min="11267" max="11267" width="18.42578125" style="11" customWidth="1"/>
    <col min="11268" max="11268" width="7.85546875" style="11" customWidth="1"/>
    <col min="11269" max="11269" width="5.140625" style="11" customWidth="1"/>
    <col min="11270" max="11270" width="12.85546875" style="11" customWidth="1"/>
    <col min="11271" max="11271" width="11.140625" style="11" customWidth="1"/>
    <col min="11272" max="11272" width="9.28515625" style="11" customWidth="1"/>
    <col min="11273" max="11273" width="15.5703125" style="11" customWidth="1"/>
    <col min="11274" max="11274" width="13.42578125" style="11" customWidth="1"/>
    <col min="11275" max="11275" width="9" style="11" customWidth="1"/>
    <col min="11276" max="11520" width="9.140625" style="11"/>
    <col min="11521" max="11521" width="5.42578125" style="11" customWidth="1"/>
    <col min="11522" max="11522" width="18.7109375" style="11" customWidth="1"/>
    <col min="11523" max="11523" width="18.42578125" style="11" customWidth="1"/>
    <col min="11524" max="11524" width="7.85546875" style="11" customWidth="1"/>
    <col min="11525" max="11525" width="5.140625" style="11" customWidth="1"/>
    <col min="11526" max="11526" width="12.85546875" style="11" customWidth="1"/>
    <col min="11527" max="11527" width="11.140625" style="11" customWidth="1"/>
    <col min="11528" max="11528" width="9.28515625" style="11" customWidth="1"/>
    <col min="11529" max="11529" width="15.5703125" style="11" customWidth="1"/>
    <col min="11530" max="11530" width="13.42578125" style="11" customWidth="1"/>
    <col min="11531" max="11531" width="9" style="11" customWidth="1"/>
    <col min="11532" max="11776" width="9.140625" style="11"/>
    <col min="11777" max="11777" width="5.42578125" style="11" customWidth="1"/>
    <col min="11778" max="11778" width="18.7109375" style="11" customWidth="1"/>
    <col min="11779" max="11779" width="18.42578125" style="11" customWidth="1"/>
    <col min="11780" max="11780" width="7.85546875" style="11" customWidth="1"/>
    <col min="11781" max="11781" width="5.140625" style="11" customWidth="1"/>
    <col min="11782" max="11782" width="12.85546875" style="11" customWidth="1"/>
    <col min="11783" max="11783" width="11.140625" style="11" customWidth="1"/>
    <col min="11784" max="11784" width="9.28515625" style="11" customWidth="1"/>
    <col min="11785" max="11785" width="15.5703125" style="11" customWidth="1"/>
    <col min="11786" max="11786" width="13.42578125" style="11" customWidth="1"/>
    <col min="11787" max="11787" width="9" style="11" customWidth="1"/>
    <col min="11788" max="12032" width="9.140625" style="11"/>
    <col min="12033" max="12033" width="5.42578125" style="11" customWidth="1"/>
    <col min="12034" max="12034" width="18.7109375" style="11" customWidth="1"/>
    <col min="12035" max="12035" width="18.42578125" style="11" customWidth="1"/>
    <col min="12036" max="12036" width="7.85546875" style="11" customWidth="1"/>
    <col min="12037" max="12037" width="5.140625" style="11" customWidth="1"/>
    <col min="12038" max="12038" width="12.85546875" style="11" customWidth="1"/>
    <col min="12039" max="12039" width="11.140625" style="11" customWidth="1"/>
    <col min="12040" max="12040" width="9.28515625" style="11" customWidth="1"/>
    <col min="12041" max="12041" width="15.5703125" style="11" customWidth="1"/>
    <col min="12042" max="12042" width="13.42578125" style="11" customWidth="1"/>
    <col min="12043" max="12043" width="9" style="11" customWidth="1"/>
    <col min="12044" max="12288" width="9.140625" style="11"/>
    <col min="12289" max="12289" width="5.42578125" style="11" customWidth="1"/>
    <col min="12290" max="12290" width="18.7109375" style="11" customWidth="1"/>
    <col min="12291" max="12291" width="18.42578125" style="11" customWidth="1"/>
    <col min="12292" max="12292" width="7.85546875" style="11" customWidth="1"/>
    <col min="12293" max="12293" width="5.140625" style="11" customWidth="1"/>
    <col min="12294" max="12294" width="12.85546875" style="11" customWidth="1"/>
    <col min="12295" max="12295" width="11.140625" style="11" customWidth="1"/>
    <col min="12296" max="12296" width="9.28515625" style="11" customWidth="1"/>
    <col min="12297" max="12297" width="15.5703125" style="11" customWidth="1"/>
    <col min="12298" max="12298" width="13.42578125" style="11" customWidth="1"/>
    <col min="12299" max="12299" width="9" style="11" customWidth="1"/>
    <col min="12300" max="12544" width="9.140625" style="11"/>
    <col min="12545" max="12545" width="5.42578125" style="11" customWidth="1"/>
    <col min="12546" max="12546" width="18.7109375" style="11" customWidth="1"/>
    <col min="12547" max="12547" width="18.42578125" style="11" customWidth="1"/>
    <col min="12548" max="12548" width="7.85546875" style="11" customWidth="1"/>
    <col min="12549" max="12549" width="5.140625" style="11" customWidth="1"/>
    <col min="12550" max="12550" width="12.85546875" style="11" customWidth="1"/>
    <col min="12551" max="12551" width="11.140625" style="11" customWidth="1"/>
    <col min="12552" max="12552" width="9.28515625" style="11" customWidth="1"/>
    <col min="12553" max="12553" width="15.5703125" style="11" customWidth="1"/>
    <col min="12554" max="12554" width="13.42578125" style="11" customWidth="1"/>
    <col min="12555" max="12555" width="9" style="11" customWidth="1"/>
    <col min="12556" max="12800" width="9.140625" style="11"/>
    <col min="12801" max="12801" width="5.42578125" style="11" customWidth="1"/>
    <col min="12802" max="12802" width="18.7109375" style="11" customWidth="1"/>
    <col min="12803" max="12803" width="18.42578125" style="11" customWidth="1"/>
    <col min="12804" max="12804" width="7.85546875" style="11" customWidth="1"/>
    <col min="12805" max="12805" width="5.140625" style="11" customWidth="1"/>
    <col min="12806" max="12806" width="12.85546875" style="11" customWidth="1"/>
    <col min="12807" max="12807" width="11.140625" style="11" customWidth="1"/>
    <col min="12808" max="12808" width="9.28515625" style="11" customWidth="1"/>
    <col min="12809" max="12809" width="15.5703125" style="11" customWidth="1"/>
    <col min="12810" max="12810" width="13.42578125" style="11" customWidth="1"/>
    <col min="12811" max="12811" width="9" style="11" customWidth="1"/>
    <col min="12812" max="13056" width="9.140625" style="11"/>
    <col min="13057" max="13057" width="5.42578125" style="11" customWidth="1"/>
    <col min="13058" max="13058" width="18.7109375" style="11" customWidth="1"/>
    <col min="13059" max="13059" width="18.42578125" style="11" customWidth="1"/>
    <col min="13060" max="13060" width="7.85546875" style="11" customWidth="1"/>
    <col min="13061" max="13061" width="5.140625" style="11" customWidth="1"/>
    <col min="13062" max="13062" width="12.85546875" style="11" customWidth="1"/>
    <col min="13063" max="13063" width="11.140625" style="11" customWidth="1"/>
    <col min="13064" max="13064" width="9.28515625" style="11" customWidth="1"/>
    <col min="13065" max="13065" width="15.5703125" style="11" customWidth="1"/>
    <col min="13066" max="13066" width="13.42578125" style="11" customWidth="1"/>
    <col min="13067" max="13067" width="9" style="11" customWidth="1"/>
    <col min="13068" max="13312" width="9.140625" style="11"/>
    <col min="13313" max="13313" width="5.42578125" style="11" customWidth="1"/>
    <col min="13314" max="13314" width="18.7109375" style="11" customWidth="1"/>
    <col min="13315" max="13315" width="18.42578125" style="11" customWidth="1"/>
    <col min="13316" max="13316" width="7.85546875" style="11" customWidth="1"/>
    <col min="13317" max="13317" width="5.140625" style="11" customWidth="1"/>
    <col min="13318" max="13318" width="12.85546875" style="11" customWidth="1"/>
    <col min="13319" max="13319" width="11.140625" style="11" customWidth="1"/>
    <col min="13320" max="13320" width="9.28515625" style="11" customWidth="1"/>
    <col min="13321" max="13321" width="15.5703125" style="11" customWidth="1"/>
    <col min="13322" max="13322" width="13.42578125" style="11" customWidth="1"/>
    <col min="13323" max="13323" width="9" style="11" customWidth="1"/>
    <col min="13324" max="13568" width="9.140625" style="11"/>
    <col min="13569" max="13569" width="5.42578125" style="11" customWidth="1"/>
    <col min="13570" max="13570" width="18.7109375" style="11" customWidth="1"/>
    <col min="13571" max="13571" width="18.42578125" style="11" customWidth="1"/>
    <col min="13572" max="13572" width="7.85546875" style="11" customWidth="1"/>
    <col min="13573" max="13573" width="5.140625" style="11" customWidth="1"/>
    <col min="13574" max="13574" width="12.85546875" style="11" customWidth="1"/>
    <col min="13575" max="13575" width="11.140625" style="11" customWidth="1"/>
    <col min="13576" max="13576" width="9.28515625" style="11" customWidth="1"/>
    <col min="13577" max="13577" width="15.5703125" style="11" customWidth="1"/>
    <col min="13578" max="13578" width="13.42578125" style="11" customWidth="1"/>
    <col min="13579" max="13579" width="9" style="11" customWidth="1"/>
    <col min="13580" max="13824" width="9.140625" style="11"/>
    <col min="13825" max="13825" width="5.42578125" style="11" customWidth="1"/>
    <col min="13826" max="13826" width="18.7109375" style="11" customWidth="1"/>
    <col min="13827" max="13827" width="18.42578125" style="11" customWidth="1"/>
    <col min="13828" max="13828" width="7.85546875" style="11" customWidth="1"/>
    <col min="13829" max="13829" width="5.140625" style="11" customWidth="1"/>
    <col min="13830" max="13830" width="12.85546875" style="11" customWidth="1"/>
    <col min="13831" max="13831" width="11.140625" style="11" customWidth="1"/>
    <col min="13832" max="13832" width="9.28515625" style="11" customWidth="1"/>
    <col min="13833" max="13833" width="15.5703125" style="11" customWidth="1"/>
    <col min="13834" max="13834" width="13.42578125" style="11" customWidth="1"/>
    <col min="13835" max="13835" width="9" style="11" customWidth="1"/>
    <col min="13836" max="14080" width="9.140625" style="11"/>
    <col min="14081" max="14081" width="5.42578125" style="11" customWidth="1"/>
    <col min="14082" max="14082" width="18.7109375" style="11" customWidth="1"/>
    <col min="14083" max="14083" width="18.42578125" style="11" customWidth="1"/>
    <col min="14084" max="14084" width="7.85546875" style="11" customWidth="1"/>
    <col min="14085" max="14085" width="5.140625" style="11" customWidth="1"/>
    <col min="14086" max="14086" width="12.85546875" style="11" customWidth="1"/>
    <col min="14087" max="14087" width="11.140625" style="11" customWidth="1"/>
    <col min="14088" max="14088" width="9.28515625" style="11" customWidth="1"/>
    <col min="14089" max="14089" width="15.5703125" style="11" customWidth="1"/>
    <col min="14090" max="14090" width="13.42578125" style="11" customWidth="1"/>
    <col min="14091" max="14091" width="9" style="11" customWidth="1"/>
    <col min="14092" max="14336" width="9.140625" style="11"/>
    <col min="14337" max="14337" width="5.42578125" style="11" customWidth="1"/>
    <col min="14338" max="14338" width="18.7109375" style="11" customWidth="1"/>
    <col min="14339" max="14339" width="18.42578125" style="11" customWidth="1"/>
    <col min="14340" max="14340" width="7.85546875" style="11" customWidth="1"/>
    <col min="14341" max="14341" width="5.140625" style="11" customWidth="1"/>
    <col min="14342" max="14342" width="12.85546875" style="11" customWidth="1"/>
    <col min="14343" max="14343" width="11.140625" style="11" customWidth="1"/>
    <col min="14344" max="14344" width="9.28515625" style="11" customWidth="1"/>
    <col min="14345" max="14345" width="15.5703125" style="11" customWidth="1"/>
    <col min="14346" max="14346" width="13.42578125" style="11" customWidth="1"/>
    <col min="14347" max="14347" width="9" style="11" customWidth="1"/>
    <col min="14348" max="14592" width="9.140625" style="11"/>
    <col min="14593" max="14593" width="5.42578125" style="11" customWidth="1"/>
    <col min="14594" max="14594" width="18.7109375" style="11" customWidth="1"/>
    <col min="14595" max="14595" width="18.42578125" style="11" customWidth="1"/>
    <col min="14596" max="14596" width="7.85546875" style="11" customWidth="1"/>
    <col min="14597" max="14597" width="5.140625" style="11" customWidth="1"/>
    <col min="14598" max="14598" width="12.85546875" style="11" customWidth="1"/>
    <col min="14599" max="14599" width="11.140625" style="11" customWidth="1"/>
    <col min="14600" max="14600" width="9.28515625" style="11" customWidth="1"/>
    <col min="14601" max="14601" width="15.5703125" style="11" customWidth="1"/>
    <col min="14602" max="14602" width="13.42578125" style="11" customWidth="1"/>
    <col min="14603" max="14603" width="9" style="11" customWidth="1"/>
    <col min="14604" max="14848" width="9.140625" style="11"/>
    <col min="14849" max="14849" width="5.42578125" style="11" customWidth="1"/>
    <col min="14850" max="14850" width="18.7109375" style="11" customWidth="1"/>
    <col min="14851" max="14851" width="18.42578125" style="11" customWidth="1"/>
    <col min="14852" max="14852" width="7.85546875" style="11" customWidth="1"/>
    <col min="14853" max="14853" width="5.140625" style="11" customWidth="1"/>
    <col min="14854" max="14854" width="12.85546875" style="11" customWidth="1"/>
    <col min="14855" max="14855" width="11.140625" style="11" customWidth="1"/>
    <col min="14856" max="14856" width="9.28515625" style="11" customWidth="1"/>
    <col min="14857" max="14857" width="15.5703125" style="11" customWidth="1"/>
    <col min="14858" max="14858" width="13.42578125" style="11" customWidth="1"/>
    <col min="14859" max="14859" width="9" style="11" customWidth="1"/>
    <col min="14860" max="15104" width="9.140625" style="11"/>
    <col min="15105" max="15105" width="5.42578125" style="11" customWidth="1"/>
    <col min="15106" max="15106" width="18.7109375" style="11" customWidth="1"/>
    <col min="15107" max="15107" width="18.42578125" style="11" customWidth="1"/>
    <col min="15108" max="15108" width="7.85546875" style="11" customWidth="1"/>
    <col min="15109" max="15109" width="5.140625" style="11" customWidth="1"/>
    <col min="15110" max="15110" width="12.85546875" style="11" customWidth="1"/>
    <col min="15111" max="15111" width="11.140625" style="11" customWidth="1"/>
    <col min="15112" max="15112" width="9.28515625" style="11" customWidth="1"/>
    <col min="15113" max="15113" width="15.5703125" style="11" customWidth="1"/>
    <col min="15114" max="15114" width="13.42578125" style="11" customWidth="1"/>
    <col min="15115" max="15115" width="9" style="11" customWidth="1"/>
    <col min="15116" max="15360" width="9.140625" style="11"/>
    <col min="15361" max="15361" width="5.42578125" style="11" customWidth="1"/>
    <col min="15362" max="15362" width="18.7109375" style="11" customWidth="1"/>
    <col min="15363" max="15363" width="18.42578125" style="11" customWidth="1"/>
    <col min="15364" max="15364" width="7.85546875" style="11" customWidth="1"/>
    <col min="15365" max="15365" width="5.140625" style="11" customWidth="1"/>
    <col min="15366" max="15366" width="12.85546875" style="11" customWidth="1"/>
    <col min="15367" max="15367" width="11.140625" style="11" customWidth="1"/>
    <col min="15368" max="15368" width="9.28515625" style="11" customWidth="1"/>
    <col min="15369" max="15369" width="15.5703125" style="11" customWidth="1"/>
    <col min="15370" max="15370" width="13.42578125" style="11" customWidth="1"/>
    <col min="15371" max="15371" width="9" style="11" customWidth="1"/>
    <col min="15372" max="15616" width="9.140625" style="11"/>
    <col min="15617" max="15617" width="5.42578125" style="11" customWidth="1"/>
    <col min="15618" max="15618" width="18.7109375" style="11" customWidth="1"/>
    <col min="15619" max="15619" width="18.42578125" style="11" customWidth="1"/>
    <col min="15620" max="15620" width="7.85546875" style="11" customWidth="1"/>
    <col min="15621" max="15621" width="5.140625" style="11" customWidth="1"/>
    <col min="15622" max="15622" width="12.85546875" style="11" customWidth="1"/>
    <col min="15623" max="15623" width="11.140625" style="11" customWidth="1"/>
    <col min="15624" max="15624" width="9.28515625" style="11" customWidth="1"/>
    <col min="15625" max="15625" width="15.5703125" style="11" customWidth="1"/>
    <col min="15626" max="15626" width="13.42578125" style="11" customWidth="1"/>
    <col min="15627" max="15627" width="9" style="11" customWidth="1"/>
    <col min="15628" max="15872" width="9.140625" style="11"/>
    <col min="15873" max="15873" width="5.42578125" style="11" customWidth="1"/>
    <col min="15874" max="15874" width="18.7109375" style="11" customWidth="1"/>
    <col min="15875" max="15875" width="18.42578125" style="11" customWidth="1"/>
    <col min="15876" max="15876" width="7.85546875" style="11" customWidth="1"/>
    <col min="15877" max="15877" width="5.140625" style="11" customWidth="1"/>
    <col min="15878" max="15878" width="12.85546875" style="11" customWidth="1"/>
    <col min="15879" max="15879" width="11.140625" style="11" customWidth="1"/>
    <col min="15880" max="15880" width="9.28515625" style="11" customWidth="1"/>
    <col min="15881" max="15881" width="15.5703125" style="11" customWidth="1"/>
    <col min="15882" max="15882" width="13.42578125" style="11" customWidth="1"/>
    <col min="15883" max="15883" width="9" style="11" customWidth="1"/>
    <col min="15884" max="16128" width="9.140625" style="11"/>
    <col min="16129" max="16129" width="5.42578125" style="11" customWidth="1"/>
    <col min="16130" max="16130" width="18.7109375" style="11" customWidth="1"/>
    <col min="16131" max="16131" width="18.42578125" style="11" customWidth="1"/>
    <col min="16132" max="16132" width="7.85546875" style="11" customWidth="1"/>
    <col min="16133" max="16133" width="5.140625" style="11" customWidth="1"/>
    <col min="16134" max="16134" width="12.85546875" style="11" customWidth="1"/>
    <col min="16135" max="16135" width="11.140625" style="11" customWidth="1"/>
    <col min="16136" max="16136" width="9.28515625" style="11" customWidth="1"/>
    <col min="16137" max="16137" width="15.5703125" style="11" customWidth="1"/>
    <col min="16138" max="16138" width="13.42578125" style="11" customWidth="1"/>
    <col min="16139" max="16139" width="9" style="11" customWidth="1"/>
    <col min="16140" max="16384" width="9.140625" style="11"/>
  </cols>
  <sheetData>
    <row r="1" spans="1:17" s="9" customFormat="1" ht="23.25">
      <c r="A1" s="446" t="s">
        <v>325</v>
      </c>
      <c r="B1" s="446"/>
      <c r="C1" s="446"/>
      <c r="D1" s="446"/>
      <c r="E1" s="446"/>
      <c r="F1" s="446"/>
      <c r="G1" s="446"/>
      <c r="H1" s="446"/>
      <c r="I1" s="446"/>
      <c r="J1" s="446"/>
      <c r="K1" s="446"/>
      <c r="L1" s="446"/>
      <c r="M1" s="446"/>
    </row>
    <row r="2" spans="1:17" s="9" customFormat="1" ht="36" customHeight="1">
      <c r="A2" s="452" t="s">
        <v>338</v>
      </c>
      <c r="B2" s="452"/>
      <c r="C2" s="452"/>
      <c r="D2" s="452"/>
      <c r="E2" s="452"/>
      <c r="F2" s="452"/>
      <c r="G2" s="452"/>
      <c r="H2" s="452"/>
      <c r="I2" s="452"/>
      <c r="J2" s="452"/>
      <c r="K2" s="452"/>
      <c r="L2" s="452"/>
      <c r="M2" s="452"/>
    </row>
    <row r="3" spans="1:17" s="10" customFormat="1" ht="47.25">
      <c r="A3" s="321" t="s">
        <v>75</v>
      </c>
      <c r="B3" s="321" t="s">
        <v>76</v>
      </c>
      <c r="C3" s="321" t="s">
        <v>77</v>
      </c>
      <c r="D3" s="321" t="s">
        <v>2</v>
      </c>
      <c r="E3" s="447" t="s">
        <v>83</v>
      </c>
      <c r="F3" s="448"/>
      <c r="G3" s="322" t="s">
        <v>84</v>
      </c>
      <c r="H3" s="322" t="s">
        <v>85</v>
      </c>
      <c r="I3" s="321" t="s">
        <v>78</v>
      </c>
      <c r="J3" s="321" t="s">
        <v>79</v>
      </c>
      <c r="K3" s="321" t="s">
        <v>80</v>
      </c>
      <c r="L3" s="321" t="s">
        <v>86</v>
      </c>
      <c r="M3" s="321" t="s">
        <v>81</v>
      </c>
    </row>
    <row r="4" spans="1:17" s="10" customFormat="1">
      <c r="A4" s="321"/>
      <c r="B4" s="321"/>
      <c r="C4" s="321"/>
      <c r="D4" s="321"/>
      <c r="E4" s="321" t="s">
        <v>87</v>
      </c>
      <c r="F4" s="321" t="s">
        <v>88</v>
      </c>
      <c r="G4" s="323"/>
      <c r="H4" s="323"/>
      <c r="I4" s="321"/>
      <c r="J4" s="321"/>
      <c r="K4" s="321"/>
      <c r="L4" s="321"/>
      <c r="M4" s="321"/>
    </row>
    <row r="5" spans="1:17" s="10" customFormat="1" ht="51.75" customHeight="1">
      <c r="A5" s="57">
        <v>1</v>
      </c>
      <c r="B5" s="318" t="s">
        <v>62</v>
      </c>
      <c r="C5" s="57" t="s">
        <v>89</v>
      </c>
      <c r="D5" s="57" t="s">
        <v>90</v>
      </c>
      <c r="E5" s="449" t="s">
        <v>161</v>
      </c>
      <c r="F5" s="450"/>
      <c r="G5" s="450"/>
      <c r="H5" s="450"/>
      <c r="I5" s="450"/>
      <c r="J5" s="450"/>
      <c r="K5" s="451"/>
      <c r="L5" s="319"/>
      <c r="M5" s="58">
        <v>5100</v>
      </c>
    </row>
    <row r="6" spans="1:17" ht="63" customHeight="1">
      <c r="A6" s="57">
        <v>2</v>
      </c>
      <c r="B6" s="57" t="s">
        <v>92</v>
      </c>
      <c r="C6" s="57" t="s">
        <v>326</v>
      </c>
      <c r="D6" s="57" t="s">
        <v>93</v>
      </c>
      <c r="E6" s="57">
        <v>16</v>
      </c>
      <c r="F6" s="57" t="s">
        <v>91</v>
      </c>
      <c r="G6" s="58">
        <v>16</v>
      </c>
      <c r="H6" s="320">
        <v>48.2</v>
      </c>
      <c r="I6" s="82">
        <v>128.6</v>
      </c>
      <c r="J6" s="81">
        <v>19.3</v>
      </c>
      <c r="K6" s="58">
        <v>16.100000000000001</v>
      </c>
      <c r="L6" s="58" t="s">
        <v>91</v>
      </c>
      <c r="M6" s="58">
        <f>I6-H6+(G6-5)*J6</f>
        <v>292.7</v>
      </c>
      <c r="Q6" s="27"/>
    </row>
    <row r="7" spans="1:17" ht="59.25" customHeight="1">
      <c r="A7" s="57">
        <v>3</v>
      </c>
      <c r="B7" s="57" t="s">
        <v>156</v>
      </c>
      <c r="C7" s="57" t="s">
        <v>94</v>
      </c>
      <c r="D7" s="57" t="s">
        <v>93</v>
      </c>
      <c r="E7" s="57">
        <v>25</v>
      </c>
      <c r="F7" s="57" t="s">
        <v>91</v>
      </c>
      <c r="G7" s="58">
        <f t="shared" ref="G7" si="0">E7</f>
        <v>25</v>
      </c>
      <c r="H7" s="320">
        <v>46.5</v>
      </c>
      <c r="I7" s="82">
        <v>128.6</v>
      </c>
      <c r="J7" s="58">
        <f>J6</f>
        <v>19.3</v>
      </c>
      <c r="K7" s="58">
        <f>K6</f>
        <v>16.100000000000001</v>
      </c>
      <c r="L7" s="58" t="s">
        <v>91</v>
      </c>
      <c r="M7" s="58">
        <f>((I7-H7)+(J7*(G7-5)))</f>
        <v>468.1</v>
      </c>
      <c r="Q7" s="27"/>
    </row>
    <row r="8" spans="1:17" ht="30.75" customHeight="1">
      <c r="A8" s="57">
        <v>4</v>
      </c>
      <c r="B8" s="56" t="s">
        <v>160</v>
      </c>
      <c r="C8" s="57" t="s">
        <v>162</v>
      </c>
      <c r="D8" s="57" t="s">
        <v>163</v>
      </c>
      <c r="E8" s="57">
        <v>5</v>
      </c>
      <c r="F8" s="57" t="s">
        <v>91</v>
      </c>
      <c r="G8" s="58">
        <v>5</v>
      </c>
      <c r="H8" s="58">
        <v>48.2</v>
      </c>
      <c r="I8" s="58">
        <v>128.6</v>
      </c>
      <c r="J8" s="58">
        <v>19.3</v>
      </c>
      <c r="K8" s="58">
        <v>16.100000000000001</v>
      </c>
      <c r="L8" s="58"/>
      <c r="M8" s="58">
        <f>(I8-H8)</f>
        <v>80.399999999999991</v>
      </c>
    </row>
    <row r="9" spans="1:17" ht="30.75" customHeight="1">
      <c r="A9" s="134">
        <v>5</v>
      </c>
      <c r="B9" s="133" t="s">
        <v>264</v>
      </c>
      <c r="C9" s="134" t="s">
        <v>265</v>
      </c>
      <c r="D9" s="134" t="s">
        <v>267</v>
      </c>
      <c r="E9" s="134">
        <v>50</v>
      </c>
      <c r="F9" s="134" t="s">
        <v>266</v>
      </c>
      <c r="G9" s="135">
        <v>50</v>
      </c>
      <c r="H9" s="135" t="s">
        <v>266</v>
      </c>
      <c r="I9" s="135">
        <v>73.91</v>
      </c>
      <c r="J9" s="135">
        <v>2.33</v>
      </c>
      <c r="K9" s="135">
        <v>2.33</v>
      </c>
      <c r="L9" s="135">
        <v>2.33</v>
      </c>
      <c r="M9" s="135">
        <f>I9+(J9*45)</f>
        <v>178.76</v>
      </c>
    </row>
    <row r="10" spans="1:17" ht="30.75" customHeight="1">
      <c r="A10" s="59"/>
      <c r="C10" s="12"/>
      <c r="F10" s="12"/>
      <c r="G10" s="60"/>
      <c r="H10" s="61"/>
      <c r="I10" s="60"/>
      <c r="J10" s="60"/>
      <c r="K10" s="60"/>
      <c r="L10" s="60"/>
      <c r="M10" s="60"/>
    </row>
    <row r="11" spans="1:17" ht="30.75" customHeight="1">
      <c r="A11" s="28">
        <v>1</v>
      </c>
      <c r="B11" s="445" t="s">
        <v>95</v>
      </c>
      <c r="C11" s="445"/>
      <c r="D11" s="445"/>
      <c r="E11" s="445"/>
      <c r="F11" s="445"/>
      <c r="G11" s="445"/>
      <c r="H11" s="445"/>
      <c r="I11" s="445"/>
      <c r="J11" s="445"/>
      <c r="K11" s="445"/>
      <c r="L11" s="445"/>
      <c r="M11" s="445"/>
    </row>
    <row r="12" spans="1:17" ht="30.75" customHeight="1">
      <c r="A12" s="28">
        <v>2</v>
      </c>
      <c r="B12" s="445" t="s">
        <v>96</v>
      </c>
      <c r="C12" s="445"/>
      <c r="D12" s="445"/>
      <c r="E12" s="445"/>
      <c r="F12" s="445"/>
      <c r="G12" s="445"/>
      <c r="H12" s="445"/>
      <c r="I12" s="445"/>
      <c r="J12" s="445"/>
      <c r="K12" s="445"/>
      <c r="L12" s="445"/>
      <c r="M12" s="445"/>
    </row>
    <row r="13" spans="1:17" ht="46.5" customHeight="1">
      <c r="A13" s="28">
        <v>3</v>
      </c>
      <c r="B13" s="445" t="s">
        <v>327</v>
      </c>
      <c r="C13" s="445"/>
      <c r="D13" s="445"/>
      <c r="E13" s="445"/>
      <c r="F13" s="445"/>
      <c r="G13" s="445"/>
      <c r="H13" s="445"/>
      <c r="I13" s="445"/>
      <c r="J13" s="445"/>
      <c r="K13" s="445"/>
      <c r="L13" s="445"/>
      <c r="M13" s="445"/>
    </row>
    <row r="14" spans="1:17" ht="30.75" customHeight="1">
      <c r="A14" s="28">
        <v>4</v>
      </c>
      <c r="B14" s="445" t="s">
        <v>97</v>
      </c>
      <c r="C14" s="445"/>
      <c r="D14" s="445"/>
      <c r="E14" s="445"/>
      <c r="F14" s="445"/>
      <c r="G14" s="445"/>
      <c r="H14" s="445"/>
      <c r="I14" s="445"/>
      <c r="J14" s="445"/>
      <c r="K14" s="445"/>
      <c r="L14" s="445"/>
      <c r="M14" s="445"/>
    </row>
    <row r="17" spans="1:11" customFormat="1">
      <c r="A17" s="366"/>
      <c r="B17" s="359"/>
      <c r="C17" s="366"/>
      <c r="D17" s="366"/>
      <c r="E17" s="366"/>
      <c r="F17" s="366"/>
      <c r="G17" s="366"/>
      <c r="H17" s="366"/>
      <c r="I17" s="366"/>
      <c r="J17" s="366"/>
      <c r="K17" s="366"/>
    </row>
    <row r="18" spans="1:11" customFormat="1">
      <c r="A18" s="366"/>
      <c r="B18" s="367"/>
      <c r="C18" s="366"/>
      <c r="D18" s="358"/>
      <c r="E18" s="366"/>
      <c r="F18" s="366"/>
      <c r="G18" s="366"/>
      <c r="H18" s="366"/>
      <c r="I18" s="366"/>
      <c r="J18" s="366"/>
      <c r="K18" s="366"/>
    </row>
    <row r="19" spans="1:11" customFormat="1">
      <c r="A19" s="366"/>
      <c r="B19" s="367"/>
      <c r="C19" s="366"/>
      <c r="D19" s="358"/>
      <c r="E19" s="366"/>
      <c r="F19" s="366"/>
      <c r="G19" s="366"/>
      <c r="H19" s="366"/>
      <c r="I19" s="366"/>
      <c r="J19" s="366"/>
      <c r="K19" s="366"/>
    </row>
    <row r="20" spans="1:11" customFormat="1">
      <c r="A20" s="366"/>
      <c r="B20" s="367"/>
      <c r="C20" s="366"/>
      <c r="D20" s="358"/>
      <c r="E20" s="366"/>
      <c r="F20" s="366"/>
      <c r="G20" s="366"/>
      <c r="H20" s="366"/>
      <c r="I20" s="366"/>
      <c r="J20" s="366"/>
      <c r="K20" s="366"/>
    </row>
  </sheetData>
  <mergeCells count="8">
    <mergeCell ref="B13:M13"/>
    <mergeCell ref="B14:M14"/>
    <mergeCell ref="A1:M1"/>
    <mergeCell ref="E3:F3"/>
    <mergeCell ref="E5:K5"/>
    <mergeCell ref="B11:M11"/>
    <mergeCell ref="B12:M12"/>
    <mergeCell ref="A2:M2"/>
  </mergeCells>
  <printOptions horizontalCentered="1"/>
  <pageMargins left="0.43307086614173229" right="0.31496062992125984" top="0.31496062992125984" bottom="0.31496062992125984" header="0.19685039370078741" footer="0.19685039370078741"/>
  <pageSetup paperSize="9" scale="9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2"/>
  <sheetViews>
    <sheetView view="pageBreakPreview" topLeftCell="A4" zoomScaleSheetLayoutView="100" workbookViewId="0">
      <selection activeCell="B10" sqref="B10"/>
    </sheetView>
  </sheetViews>
  <sheetFormatPr defaultRowHeight="15"/>
  <cols>
    <col min="1" max="1" width="5.7109375" style="67" bestFit="1" customWidth="1"/>
    <col min="2" max="2" width="19.140625" style="67" customWidth="1"/>
    <col min="3" max="3" width="15.7109375" style="67" customWidth="1"/>
    <col min="4" max="4" width="14.28515625" style="67" customWidth="1"/>
    <col min="5" max="5" width="14.7109375" style="67" customWidth="1"/>
    <col min="6" max="6" width="11.5703125" style="67" customWidth="1"/>
    <col min="7" max="7" width="19" style="67" customWidth="1"/>
    <col min="8" max="16384" width="9.140625" style="67"/>
  </cols>
  <sheetData>
    <row r="1" spans="1:11" ht="75" customHeight="1">
      <c r="A1" s="457" t="s">
        <v>339</v>
      </c>
      <c r="B1" s="457"/>
      <c r="C1" s="457"/>
      <c r="D1" s="457"/>
      <c r="E1" s="457"/>
      <c r="F1" s="457"/>
      <c r="G1" s="457"/>
      <c r="H1" s="65"/>
      <c r="I1" s="65"/>
      <c r="J1" s="65"/>
      <c r="K1" s="66"/>
    </row>
    <row r="2" spans="1:11" ht="15.75">
      <c r="A2" s="459" t="s">
        <v>310</v>
      </c>
      <c r="B2" s="460"/>
      <c r="C2" s="460"/>
      <c r="D2" s="460"/>
      <c r="E2" s="460"/>
      <c r="F2" s="460"/>
      <c r="G2" s="461"/>
    </row>
    <row r="3" spans="1:11" ht="32.25" customHeight="1">
      <c r="A3" s="327" t="s">
        <v>143</v>
      </c>
      <c r="B3" s="327" t="s">
        <v>169</v>
      </c>
      <c r="C3" s="327" t="s">
        <v>170</v>
      </c>
      <c r="D3" s="327" t="s">
        <v>311</v>
      </c>
      <c r="E3" s="327" t="s">
        <v>55</v>
      </c>
      <c r="F3" s="458" t="s">
        <v>171</v>
      </c>
      <c r="G3" s="458"/>
    </row>
    <row r="4" spans="1:11" ht="31.5" customHeight="1">
      <c r="A4" s="327">
        <v>1</v>
      </c>
      <c r="B4" s="327" t="s">
        <v>172</v>
      </c>
      <c r="C4" s="325"/>
      <c r="D4" s="327"/>
      <c r="E4" s="327"/>
      <c r="F4" s="325"/>
      <c r="G4" s="325"/>
    </row>
    <row r="5" spans="1:11" ht="30" customHeight="1">
      <c r="A5" s="327"/>
      <c r="B5" s="327" t="s">
        <v>99</v>
      </c>
      <c r="C5" s="324">
        <f>Detail!J20</f>
        <v>27.161999999999999</v>
      </c>
      <c r="D5" s="325">
        <v>0.9</v>
      </c>
      <c r="E5" s="325">
        <v>117</v>
      </c>
      <c r="F5" s="325"/>
      <c r="G5" s="325">
        <f>ROUNDUP(C5*D5*E5,2)</f>
        <v>2860.1600000000003</v>
      </c>
    </row>
    <row r="6" spans="1:11" ht="30" customHeight="1">
      <c r="A6" s="327"/>
      <c r="B6" s="327" t="s">
        <v>173</v>
      </c>
      <c r="C6" s="324">
        <f>C5</f>
        <v>27.161999999999999</v>
      </c>
      <c r="D6" s="325">
        <v>0.4</v>
      </c>
      <c r="E6" s="325">
        <v>40</v>
      </c>
      <c r="F6" s="327"/>
      <c r="G6" s="325">
        <f>ROUNDUP(C6*D6*E6,2)</f>
        <v>434.59999999999997</v>
      </c>
    </row>
    <row r="7" spans="1:11" ht="36" customHeight="1">
      <c r="A7" s="327">
        <v>2</v>
      </c>
      <c r="B7" s="328" t="s">
        <v>174</v>
      </c>
      <c r="C7" s="331"/>
      <c r="D7" s="332"/>
      <c r="E7" s="332"/>
      <c r="F7" s="331"/>
      <c r="G7" s="325"/>
    </row>
    <row r="8" spans="1:11" ht="23.25" customHeight="1">
      <c r="A8" s="327"/>
      <c r="B8" s="327" t="s">
        <v>175</v>
      </c>
      <c r="C8" s="324">
        <f>Detail!J31</f>
        <v>76.95</v>
      </c>
      <c r="D8" s="325">
        <v>0.9</v>
      </c>
      <c r="E8" s="325">
        <f>E5</f>
        <v>117</v>
      </c>
      <c r="F8" s="327"/>
      <c r="G8" s="325">
        <f>ROUNDUP(C8*D8*E8,2)</f>
        <v>8102.84</v>
      </c>
    </row>
    <row r="9" spans="1:11" ht="23.25" customHeight="1">
      <c r="A9" s="327"/>
      <c r="B9" s="327" t="s">
        <v>98</v>
      </c>
      <c r="C9" s="324">
        <f>C8</f>
        <v>76.95</v>
      </c>
      <c r="D9" s="325">
        <v>0.4</v>
      </c>
      <c r="E9" s="325">
        <v>40</v>
      </c>
      <c r="F9" s="327"/>
      <c r="G9" s="325">
        <f>ROUNDUP(C9*D9*E9,2)</f>
        <v>1231.2</v>
      </c>
    </row>
    <row r="10" spans="1:11" ht="72" customHeight="1">
      <c r="A10" s="327">
        <v>3</v>
      </c>
      <c r="B10" s="328" t="s">
        <v>344</v>
      </c>
      <c r="C10" s="325">
        <f>Detail!J35</f>
        <v>76.14</v>
      </c>
      <c r="D10" s="325">
        <v>1</v>
      </c>
      <c r="E10" s="325">
        <v>39</v>
      </c>
      <c r="F10" s="327"/>
      <c r="G10" s="325">
        <f>ROUNDUP(C10*D10*E10,2)</f>
        <v>2969.46</v>
      </c>
    </row>
    <row r="11" spans="1:11" ht="25.5" customHeight="1">
      <c r="A11" s="326"/>
      <c r="B11" s="331"/>
      <c r="C11" s="327"/>
      <c r="D11" s="327"/>
      <c r="E11" s="327"/>
      <c r="F11" s="327" t="s">
        <v>52</v>
      </c>
      <c r="G11" s="325">
        <f>SUM(G5:G10)</f>
        <v>15598.260000000002</v>
      </c>
    </row>
    <row r="12" spans="1:11" s="13" customFormat="1" ht="15.75">
      <c r="A12" s="83"/>
      <c r="B12" s="87"/>
      <c r="C12" s="329"/>
      <c r="D12" s="87"/>
      <c r="E12" s="455" t="s">
        <v>100</v>
      </c>
      <c r="F12" s="456"/>
      <c r="G12" s="330">
        <f>ROUND(G11*2%,0)</f>
        <v>312</v>
      </c>
    </row>
    <row r="13" spans="1:11" s="13" customFormat="1" ht="15.75">
      <c r="A13" s="83"/>
      <c r="B13" s="87"/>
      <c r="C13" s="87"/>
      <c r="D13" s="87"/>
      <c r="E13" s="455" t="s">
        <v>101</v>
      </c>
      <c r="F13" s="456"/>
      <c r="G13" s="330">
        <f>ROUND(G11*30%,0)</f>
        <v>4679</v>
      </c>
    </row>
    <row r="14" spans="1:11" ht="15.75">
      <c r="A14" s="333"/>
      <c r="B14" s="453" t="s">
        <v>168</v>
      </c>
      <c r="C14" s="453"/>
      <c r="D14" s="454" t="s">
        <v>309</v>
      </c>
      <c r="E14" s="454"/>
      <c r="F14" s="454"/>
      <c r="G14" s="357">
        <f>0.8*(G5+G8+G10)</f>
        <v>11145.968000000001</v>
      </c>
    </row>
    <row r="19" spans="1:11" customFormat="1" ht="15.75">
      <c r="A19" s="366"/>
      <c r="B19" s="359"/>
      <c r="C19" s="366"/>
      <c r="D19" s="366"/>
      <c r="E19" s="366"/>
      <c r="F19" s="366"/>
      <c r="G19" s="366"/>
      <c r="H19" s="366"/>
      <c r="I19" s="366"/>
      <c r="J19" s="366"/>
      <c r="K19" s="366"/>
    </row>
    <row r="20" spans="1:11" customFormat="1" ht="15.75">
      <c r="A20" s="366"/>
      <c r="B20" s="367"/>
      <c r="C20" s="366"/>
      <c r="D20" s="358"/>
      <c r="E20" s="366"/>
      <c r="F20" s="366"/>
      <c r="G20" s="366"/>
      <c r="H20" s="366"/>
      <c r="I20" s="366"/>
      <c r="J20" s="366"/>
      <c r="K20" s="366"/>
    </row>
    <row r="21" spans="1:11" customFormat="1" ht="15.75">
      <c r="A21" s="366"/>
      <c r="B21" s="367"/>
      <c r="C21" s="366"/>
      <c r="D21" s="358"/>
      <c r="E21" s="366"/>
      <c r="F21" s="366"/>
      <c r="G21" s="366"/>
      <c r="H21" s="366"/>
      <c r="I21" s="366"/>
      <c r="J21" s="366"/>
      <c r="K21" s="366"/>
    </row>
    <row r="22" spans="1:11" customFormat="1" ht="15.75">
      <c r="A22" s="366"/>
      <c r="B22" s="367"/>
      <c r="C22" s="366"/>
      <c r="D22" s="358"/>
      <c r="E22" s="366"/>
      <c r="F22" s="366"/>
      <c r="G22" s="366"/>
      <c r="H22" s="366"/>
      <c r="I22" s="366"/>
      <c r="J22" s="366"/>
      <c r="K22" s="366"/>
    </row>
  </sheetData>
  <mergeCells count="7">
    <mergeCell ref="B14:C14"/>
    <mergeCell ref="D14:F14"/>
    <mergeCell ref="E12:F12"/>
    <mergeCell ref="E13:F13"/>
    <mergeCell ref="A1:G1"/>
    <mergeCell ref="F3:G3"/>
    <mergeCell ref="A2:G2"/>
  </mergeCells>
  <pageMargins left="0.53" right="0.7" top="0.75" bottom="0.75" header="0.3" footer="0.3"/>
  <pageSetup paperSize="9" scale="91"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0"/>
  <sheetViews>
    <sheetView workbookViewId="0">
      <selection activeCell="A2" sqref="A2:D2"/>
    </sheetView>
  </sheetViews>
  <sheetFormatPr defaultRowHeight="12.75"/>
  <cols>
    <col min="1" max="1" width="7.140625" customWidth="1"/>
    <col min="2" max="2" width="29" customWidth="1"/>
    <col min="3" max="3" width="26.28515625" customWidth="1"/>
    <col min="4" max="4" width="31.5703125" customWidth="1"/>
  </cols>
  <sheetData>
    <row r="1" spans="1:16" ht="33" customHeight="1">
      <c r="A1" s="370" t="s">
        <v>69</v>
      </c>
      <c r="B1" s="370"/>
      <c r="C1" s="370"/>
      <c r="D1" s="370"/>
    </row>
    <row r="2" spans="1:16" ht="72.75" customHeight="1">
      <c r="A2" s="371" t="s">
        <v>338</v>
      </c>
      <c r="B2" s="371"/>
      <c r="C2" s="371"/>
      <c r="D2" s="371"/>
    </row>
    <row r="3" spans="1:16" ht="18.75">
      <c r="A3" s="360">
        <v>1</v>
      </c>
      <c r="B3" s="369" t="s">
        <v>330</v>
      </c>
      <c r="C3" s="369"/>
      <c r="D3" s="369"/>
    </row>
    <row r="4" spans="1:16" ht="18.75">
      <c r="A4" s="360">
        <v>2</v>
      </c>
      <c r="B4" s="369" t="s">
        <v>337</v>
      </c>
      <c r="C4" s="369"/>
      <c r="D4" s="369"/>
    </row>
    <row r="5" spans="1:16" ht="18.75">
      <c r="A5" s="360">
        <v>3</v>
      </c>
      <c r="B5" s="369" t="s">
        <v>331</v>
      </c>
      <c r="C5" s="369"/>
      <c r="D5" s="369"/>
    </row>
    <row r="6" spans="1:16" ht="32.25" customHeight="1">
      <c r="A6" s="360">
        <v>4</v>
      </c>
      <c r="B6" s="369" t="s">
        <v>332</v>
      </c>
      <c r="C6" s="369"/>
      <c r="D6" s="369"/>
    </row>
    <row r="7" spans="1:16" ht="18.75">
      <c r="A7" s="360">
        <v>5</v>
      </c>
      <c r="B7" s="369" t="s">
        <v>333</v>
      </c>
      <c r="C7" s="369"/>
      <c r="D7" s="369"/>
    </row>
    <row r="8" spans="1:16" ht="18.75">
      <c r="A8" s="360">
        <v>6</v>
      </c>
      <c r="B8" s="369" t="s">
        <v>334</v>
      </c>
      <c r="C8" s="369"/>
      <c r="D8" s="369"/>
    </row>
    <row r="9" spans="1:16" ht="18.75">
      <c r="A9" s="360">
        <v>7</v>
      </c>
      <c r="B9" s="369" t="s">
        <v>335</v>
      </c>
      <c r="C9" s="369"/>
      <c r="D9" s="369"/>
    </row>
    <row r="10" spans="1:16" ht="18.75">
      <c r="A10" s="360">
        <v>8</v>
      </c>
      <c r="B10" s="369" t="s">
        <v>336</v>
      </c>
      <c r="C10" s="369"/>
      <c r="D10" s="369"/>
    </row>
    <row r="11" spans="1:16" ht="18.75">
      <c r="A11" s="360"/>
      <c r="B11" s="359"/>
      <c r="C11" s="359"/>
      <c r="D11" s="359"/>
    </row>
    <row r="12" spans="1:16" ht="18.75">
      <c r="A12" s="360"/>
      <c r="B12" s="359"/>
      <c r="C12" s="359"/>
      <c r="D12" s="359"/>
    </row>
    <row r="13" spans="1:16" ht="18.75">
      <c r="A13" s="360"/>
      <c r="B13" s="359"/>
      <c r="C13" s="359"/>
      <c r="D13" s="359"/>
    </row>
    <row r="14" spans="1:16" s="1" customFormat="1" ht="15" customHeight="1">
      <c r="A14" s="2"/>
      <c r="B14" s="369"/>
      <c r="C14" s="369"/>
      <c r="D14" s="369"/>
      <c r="E14" s="3"/>
      <c r="F14" s="4"/>
      <c r="G14" s="3"/>
      <c r="H14" s="4"/>
      <c r="I14" s="4"/>
      <c r="J14" s="5"/>
      <c r="K14" s="5"/>
      <c r="L14" s="5"/>
      <c r="M14" s="5"/>
      <c r="N14" s="5"/>
      <c r="O14" s="5"/>
      <c r="P14" s="3"/>
    </row>
    <row r="15" spans="1:16" s="1" customFormat="1" ht="15" customHeight="1">
      <c r="A15" s="2"/>
      <c r="B15" s="369"/>
      <c r="C15" s="369"/>
      <c r="D15" s="369"/>
      <c r="E15" s="3"/>
      <c r="F15" s="4"/>
      <c r="G15" s="3"/>
      <c r="H15" s="4"/>
      <c r="I15" s="4"/>
      <c r="J15" s="5"/>
      <c r="K15" s="5"/>
      <c r="L15" s="5"/>
      <c r="M15" s="5"/>
      <c r="N15" s="5"/>
      <c r="O15" s="5"/>
      <c r="P15" s="3"/>
    </row>
    <row r="16" spans="1:16" s="1" customFormat="1" ht="15" customHeight="1">
      <c r="A16" s="2"/>
      <c r="B16" s="3"/>
      <c r="C16" s="3"/>
      <c r="D16" s="3"/>
      <c r="E16" s="3"/>
      <c r="F16" s="4"/>
      <c r="G16" s="3"/>
      <c r="H16" s="4"/>
      <c r="I16" s="4"/>
      <c r="J16" s="5"/>
      <c r="K16" s="5"/>
      <c r="L16" s="5"/>
      <c r="M16" s="5"/>
      <c r="N16" s="5"/>
      <c r="O16" s="5"/>
      <c r="P16" s="3"/>
    </row>
    <row r="17" spans="1:11" ht="15.75">
      <c r="A17" s="366"/>
      <c r="B17" s="367"/>
      <c r="C17" s="366"/>
      <c r="D17" s="358"/>
      <c r="E17" s="366"/>
      <c r="F17" s="366"/>
      <c r="G17" s="366"/>
      <c r="H17" s="366"/>
      <c r="I17" s="366"/>
      <c r="J17" s="366"/>
      <c r="K17" s="366"/>
    </row>
    <row r="18" spans="1:11" ht="15.75">
      <c r="A18" s="366"/>
      <c r="B18" s="367"/>
      <c r="C18" s="366"/>
      <c r="D18" s="358"/>
      <c r="E18" s="366"/>
      <c r="F18" s="366"/>
      <c r="G18" s="366"/>
      <c r="H18" s="366"/>
      <c r="I18" s="366"/>
      <c r="J18" s="366"/>
      <c r="K18" s="366"/>
    </row>
    <row r="19" spans="1:11" ht="15.75">
      <c r="A19" s="366"/>
      <c r="B19" s="367"/>
      <c r="C19" s="366"/>
      <c r="D19" s="358"/>
      <c r="E19" s="366"/>
      <c r="F19" s="366"/>
      <c r="G19" s="366"/>
      <c r="H19" s="366"/>
      <c r="I19" s="366"/>
      <c r="J19" s="366"/>
      <c r="K19" s="366"/>
    </row>
    <row r="20" spans="1:11" s="67" customFormat="1" ht="15"/>
  </sheetData>
  <mergeCells count="12">
    <mergeCell ref="A1:D1"/>
    <mergeCell ref="B4:D4"/>
    <mergeCell ref="B5:D5"/>
    <mergeCell ref="B6:D6"/>
    <mergeCell ref="A2:D2"/>
    <mergeCell ref="B3:D3"/>
    <mergeCell ref="B15:D15"/>
    <mergeCell ref="B7:D7"/>
    <mergeCell ref="B8:D8"/>
    <mergeCell ref="B9:D9"/>
    <mergeCell ref="B10:D10"/>
    <mergeCell ref="B14:D14"/>
  </mergeCells>
  <phoneticPr fontId="11" type="noConversion"/>
  <pageMargins left="0.75" right="0.5" top="0.75" bottom="0.75" header="0.5" footer="0.5"/>
  <pageSetup orientation="portrait"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Check slip</vt:lpstr>
      <vt:lpstr>COVER (2)</vt:lpstr>
      <vt:lpstr>Abstract </vt:lpstr>
      <vt:lpstr>Detail</vt:lpstr>
      <vt:lpstr>Datas - 2026-27</vt:lpstr>
      <vt:lpstr>Quarry Map (2)</vt:lpstr>
      <vt:lpstr>Lead  (2)</vt:lpstr>
      <vt:lpstr>Seignorage (2)</vt:lpstr>
      <vt:lpstr>Certificates</vt:lpstr>
      <vt:lpstr>'Abstract '!Print_Area</vt:lpstr>
      <vt:lpstr>'Datas - 2026-27'!Print_Area</vt:lpstr>
      <vt:lpstr>'Quarry Map (2)'!Print_Area</vt:lpstr>
      <vt:lpstr>'Seignorage (2)'!Print_Area</vt:lpstr>
      <vt:lpstr>'Abstract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RDDTP WGL</dc:creator>
  <cp:lastModifiedBy>Office</cp:lastModifiedBy>
  <cp:lastPrinted>2026-09-05T06:47:36Z</cp:lastPrinted>
  <dcterms:created xsi:type="dcterms:W3CDTF">2007-11-26T04:36:12Z</dcterms:created>
  <dcterms:modified xsi:type="dcterms:W3CDTF">2026-09-20T12:40:27Z</dcterms:modified>
</cp:coreProperties>
</file>